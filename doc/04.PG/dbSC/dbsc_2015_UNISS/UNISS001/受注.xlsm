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5.xml" ContentType="application/vnd.openxmlformats-officedocument.drawing+xml"/>
  <Override PartName="/xl/ctrlProps/ctrlProp46.xml" ContentType="application/vnd.ms-excel.controlproperties+xml"/>
  <Override PartName="/xl/drawings/drawing6.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7.xml" ContentType="application/vnd.openxmlformats-officedocument.drawing+xml"/>
  <Override PartName="/xl/ctrlProps/ctrlProp61.xml" ContentType="application/vnd.ms-excel.controlproperties+xml"/>
  <Override PartName="/xl/drawings/drawing8.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9.xml" ContentType="application/vnd.openxmlformats-officedocument.drawing+xml"/>
  <Override PartName="/xl/ctrlProps/ctrlProp66.xml" ContentType="application/vnd.ms-excel.controlproperties+xml"/>
  <Override PartName="/xl/ctrlProps/ctrlProp67.xml" ContentType="application/vnd.ms-excel.controlproperties+xml"/>
  <Override PartName="/xl/drawings/drawing10.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11.xml" ContentType="application/vnd.openxmlformats-officedocument.drawing+xml"/>
  <Override PartName="/xl/ctrlProps/ctrlProp72.xml" ContentType="application/vnd.ms-excel.controlproperties+xml"/>
  <Override PartName="/xl/ctrlProps/ctrlProp73.xml" ContentType="application/vnd.ms-excel.controlproperties+xml"/>
  <Override PartName="/xl/drawings/drawing12.xml" ContentType="application/vnd.openxmlformats-officedocument.drawing+xml"/>
  <Override PartName="/xl/ctrlProps/ctrlProp74.xml" ContentType="application/vnd.ms-excel.controlproperties+xml"/>
  <Override PartName="/xl/drawings/drawing1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14.xml" ContentType="application/vnd.openxmlformats-officedocument.drawing+xml"/>
  <Override PartName="/xl/ctrlProps/ctrlProp79.xml" ContentType="application/vnd.ms-excel.controlproperties+xml"/>
  <Override PartName="/xl/drawings/drawing15.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omments1.xml" ContentType="application/vnd.openxmlformats-officedocument.spreadsheetml.comments+xml"/>
  <Override PartName="/xl/drawings/drawing16.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1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1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19.xml" ContentType="application/vnd.openxmlformats-officedocument.drawing+xml"/>
  <Override PartName="/xl/ctrlProps/ctrlProp104.xml" ContentType="application/vnd.ms-excel.controlproperties+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dbsc_2015_UNISS\UNISS001\"/>
    </mc:Choice>
  </mc:AlternateContent>
  <bookViews>
    <workbookView xWindow="0" yWindow="0" windowWidth="28800" windowHeight="10830" tabRatio="851" firstSheet="37" activeTab="41"/>
  </bookViews>
  <sheets>
    <sheet name="UNJC0020_H" sheetId="202" r:id="rId1"/>
    <sheet name="UNJC0020_B" sheetId="203" r:id="rId2"/>
    <sheet name="UNJC0020_IF" sheetId="204" r:id="rId3"/>
    <sheet name="UNJC0020_IF2" sheetId="248" r:id="rId4"/>
    <sheet name="UNJC0020_SQL" sheetId="205" r:id="rId5"/>
    <sheet name="UNJC0030_H" sheetId="206" r:id="rId6"/>
    <sheet name="UNJC0030_B" sheetId="207" r:id="rId7"/>
    <sheet name="UNJC0030_IF" sheetId="208" r:id="rId8"/>
    <sheet name="UNJC0030_SQL" sheetId="209" r:id="rId9"/>
    <sheet name="UNJC0030_FAX" sheetId="210" r:id="rId10"/>
    <sheet name="UNJC0030_REPORT" sheetId="211" r:id="rId11"/>
    <sheet name="UNJC0030_REPORT_IF" sheetId="212" r:id="rId12"/>
    <sheet name="UNJC0030_REPORT_SQL" sheetId="213" r:id="rId13"/>
    <sheet name="UNJC0030_LABEL" sheetId="214" r:id="rId14"/>
    <sheet name="UNJC0030_LABEL_IF" sheetId="215" r:id="rId15"/>
    <sheet name="UNJC0040" sheetId="216" r:id="rId16"/>
    <sheet name="UNJC0040_IF" sheetId="217" r:id="rId17"/>
    <sheet name="UNJC0040_SQL" sheetId="218" r:id="rId18"/>
    <sheet name="UNJC0060_H" sheetId="220" r:id="rId19"/>
    <sheet name="UNJC0060_B" sheetId="221" r:id="rId20"/>
    <sheet name="UNJC0060_IF" sheetId="222" r:id="rId21"/>
    <sheet name="UNJC0060_SQL" sheetId="223" r:id="rId22"/>
    <sheet name="UNJC0070_H" sheetId="224" r:id="rId23"/>
    <sheet name="UNJC0070_B" sheetId="225" r:id="rId24"/>
    <sheet name="UNJC0070_IF" sheetId="226" r:id="rId25"/>
    <sheet name="UNJC0070_SQL" sheetId="227" r:id="rId26"/>
    <sheet name="UNJC0180_H" sheetId="228" r:id="rId27"/>
    <sheet name="UNJC0180_B" sheetId="229" r:id="rId28"/>
    <sheet name="UNJC0180_IF" sheetId="230" r:id="rId29"/>
    <sheet name="UNJC0180_SQL" sheetId="231" r:id="rId30"/>
    <sheet name="UNJC0180_PRINT" sheetId="232" r:id="rId31"/>
    <sheet name="UNJC0180_PRINT_IF" sheetId="233" r:id="rId32"/>
    <sheet name="UNJC0190_H" sheetId="234" r:id="rId33"/>
    <sheet name="UNJC0190_B" sheetId="235" r:id="rId34"/>
    <sheet name="UNJC0190_IF" sheetId="236" r:id="rId35"/>
    <sheet name="UNJC0190_IF_EXCEL" sheetId="237" r:id="rId36"/>
    <sheet name="UNJC0190_SQL" sheetId="238" r:id="rId37"/>
    <sheet name="UNJC0190_PRINT" sheetId="239" r:id="rId38"/>
    <sheet name="UNJC0190_PRINT_IF" sheetId="240" r:id="rId39"/>
    <sheet name="UNJC0210_H" sheetId="241" r:id="rId40"/>
    <sheet name="UNJC0210_B" sheetId="242" r:id="rId41"/>
    <sheet name="UNJC0210_IF" sheetId="243" r:id="rId42"/>
    <sheet name="UNJC0210_SQL" sheetId="244" r:id="rId43"/>
    <sheet name="UNJC0210_PRINT" sheetId="245" r:id="rId44"/>
    <sheet name="UNJC0210_PRINT_IF" sheetId="246" r:id="rId45"/>
    <sheet name="UNJC0210_PRINT_IF_SUB" sheetId="247" r:id="rId46"/>
    <sheet name="UNJC0220_H" sheetId="250" r:id="rId47"/>
    <sheet name="UNJC0220_B" sheetId="251" r:id="rId48"/>
    <sheet name="UNJC0220_IF" sheetId="252" r:id="rId49"/>
    <sheet name="UNJC0220_SQL" sheetId="253" r:id="rId50"/>
    <sheet name="UNJC0230_H" sheetId="254" r:id="rId51"/>
    <sheet name="UNJC0230_B" sheetId="255" r:id="rId52"/>
    <sheet name="UNJC0230_IF" sheetId="256" r:id="rId53"/>
    <sheet name="UNJC0230_SQL" sheetId="257" r:id="rId54"/>
    <sheet name="UNJC0240_H" sheetId="258" r:id="rId55"/>
    <sheet name="UNJC0240_B" sheetId="259" r:id="rId56"/>
    <sheet name="UNJC0240_IF" sheetId="260" r:id="rId57"/>
    <sheet name="UNJC0240_SQL" sheetId="261" r:id="rId58"/>
    <sheet name="UNJC0250_H" sheetId="262" r:id="rId59"/>
    <sheet name="UNJC0250_B" sheetId="263" r:id="rId60"/>
    <sheet name="UNJC0250_IF" sheetId="264" r:id="rId61"/>
    <sheet name="UNJC0250_SQL" sheetId="265" r:id="rId62"/>
    <sheet name="UNJC1020_H" sheetId="185" r:id="rId63"/>
    <sheet name="UNJC1020_B" sheetId="186" r:id="rId64"/>
    <sheet name="UNJC1020_IF" sheetId="187" r:id="rId65"/>
    <sheet name="UNJC1020_SQL" sheetId="188" r:id="rId66"/>
    <sheet name="UNJC1030_H" sheetId="191" r:id="rId67"/>
    <sheet name="UNJC1030_B" sheetId="192" r:id="rId68"/>
    <sheet name="UNJC1030_IF" sheetId="194" r:id="rId69"/>
    <sheet name="UNJC1030_SQL" sheetId="193" r:id="rId70"/>
    <sheet name="UNJC1030_REPORT_SHIYAKU" sheetId="197" r:id="rId71"/>
    <sheet name="UNJC1030_REPORT_SHIYAKU_IF" sheetId="200" r:id="rId72"/>
    <sheet name="UNJC1030_REPORT_DOKU" sheetId="198" r:id="rId73"/>
    <sheet name="UNJC1030_REPORT_DOKU_IF" sheetId="201" r:id="rId74"/>
    <sheet name="UNJC_COMMON_SQL" sheetId="196" r:id="rId75"/>
    <sheet name="UNJC_COMMON" sheetId="219" r:id="rId76"/>
    <sheet name="UNJC_BUNSEKI_HOHO_IF" sheetId="266" r:id="rId77"/>
    <sheet name="Excel_Save_H" sheetId="189" r:id="rId78"/>
    <sheet name="Excel_Save_B" sheetId="190" r:id="rId79"/>
    <sheet name="Excel_Save_R" sheetId="249" r:id="rId80"/>
  </sheets>
  <functionGroups builtInGroupCount="18"/>
  <definedNames>
    <definedName name="_xlnm._FilterDatabase" localSheetId="8" hidden="1">UNJC0030_SQL!$B$2:$G$102</definedName>
    <definedName name="LIST_BUNSEKI_KBN_HOHO">OFFSET(LIST_BUNSEKI_KBN_TENKAIICHI,,,IF(LIST_BUNSEKI_KBN_HOHO_KENSU=0,1,LIST_BUNSEKI_KBN_HOHO_KENSU),1)</definedName>
    <definedName name="LIST_BUNSEKI_KBN_HOHO_KENSU">UNJC0020_IF!$C$37</definedName>
    <definedName name="LIST_BUNSEKI_KBN_TENKAIICHI">UNJC0020_IF!$B$40</definedName>
    <definedName name="LIST_DEMPYO_STS_HOHO">OFFSET(LIST_DEMPYO_STS_TENKAIICHI,,,IF(LIST_DEMPYO_STS_HOHO_KENSU=0,1,LIST_DEMPYO_STS_HOHO_KENSU),1)</definedName>
    <definedName name="LIST_DEMPYO_STS_HOHO_KENSU">UNJC0020_IF!$F$37</definedName>
    <definedName name="LIST_DEMPYO_STS_TENKAIICHI">UNJC0020_IF!$E$40</definedName>
    <definedName name="LIST_HASU_SHORI">OFFSET(LIST_HASU_SHORI_TENKAIICHI,,,IF(LIST_HASU_SHORI_KENSU=0,1,LIST_HASU_SHORI_KENSU),1)</definedName>
    <definedName name="LIST_KAISHU_SHUBETSU">OFFSET(LIST_KAISHU_SHUBETSU_TENKAIICHI,,,IF(LIST_KAISHU_SHUBETSU_KENSU=0,1,LIST_KAISHU_SHUBETSU_KENSU),1)</definedName>
    <definedName name="LIST_SEIKYU_HOHO">OFFSET(LIST_SEIKYU_TENKAIICHI,,,IF(LIST_SEIKYU_HOHO_KENSU=0,1,LIST_SEIKYU_HOHO_KENSU),1)</definedName>
    <definedName name="LIST_SHIIRE_HASU">OFFSET(LIST_SHIIRE_HASU_TENKAIICHI,,,IF(LIST_SHIIRE_HASU_KENSU=0,1,LIST_SHIIRE_HASU_KENSU),1)</definedName>
    <definedName name="LIST_SHIIRE_SHIHARAI">OFFSET(LIST_SHIIRE_SHIHARAI_TENKAIICHI,,,IF(LIST_SHIIRE_SHIHARAI_KENSU=0,1,LIST_SHIIRE_SHIHARAI_KENSU),1)</definedName>
    <definedName name="LIST_SHIIRE_TESURYO">OFFSET(LIST_SHIIRE_TESURYO_TENKAIICHI,,,IF(LIST_SHIIRE_TESURYO_KENSU=0,1,LIST_SHIIRE_TESURYO_KENSU),1)</definedName>
    <definedName name="LIST_SHOHIN_STS_HOHO">OFFSET(LIST_SHOHIN_STS_TENKAIICHI,,,IF(LIST_SHOHIN_STS_HOHO_KENSU=0,1,LIST_SHOHIN_STS_HOHO_KENSU),1)</definedName>
    <definedName name="LIST_TAX_KBN">OFFSET(LIST_TAX_KBN_TENKAIICHI,,,IF(LIST_TAX_KBN_KENSU=0,1,LIST_TAX_KBN_KENSU),1)</definedName>
    <definedName name="LIST_TESURYO_KBN">OFFSET(LIST_TESURYO_KBN_TENKAIICHI,,,IF(LIST_TESURYO_KBN_KENSU=0,1,LIST_TESURYO_KBN_KENSU),1)</definedName>
    <definedName name="_xlnm.Print_Area" localSheetId="0">UNJC0020_H!$A$1:$AK$21</definedName>
    <definedName name="_xlnm.Print_Area" localSheetId="2">OFFSET(UNJC0020_IF_PRINT_LIST_START,-1,0,1+UNJC0020_IF_PRINT_KENSAKU_KENSU,COLUMNS(UNJC0020_IF_PRINT_SHOSHIKI_COPY_MOTO))</definedName>
    <definedName name="_xlnm.Print_Area" localSheetId="3">OFFSET(UNJC0020_IF2_PRINT_LIST_START,-1,0,1+UNJC0020_IF2_PRINT_KENSAKU_KENSU,COLUMNS(UNJC0020_IF2_PRINT_SHOSHIKI_COPY_MOTO))</definedName>
    <definedName name="_xlnm.Print_Area" localSheetId="9">UNJC0030_FAX!$A$1:$R$62</definedName>
    <definedName name="_xlnm.Print_Area" localSheetId="5">UNJC0030_H!$I$2:$AI$45</definedName>
    <definedName name="_xlnm.Print_Area" localSheetId="7">OFFSET(UNJC0030_IF_EXCEL_AREA,,0,1+UNJC0030_IF_EXCEL_CNT,COLUMNS(UNJC0030_IF_EXCEL_AREA))</definedName>
    <definedName name="_xlnm.Print_Area" localSheetId="13">UNJC0030_LABEL!$A$1:$O$13</definedName>
    <definedName name="_xlnm.Print_Area" localSheetId="14">UNJC0030_LABEL_IF!$P$1:$AM$19</definedName>
    <definedName name="_xlnm.Print_Area" localSheetId="10">OFFSET(UNJC0030_REPORT_H_AREA,0,0,IF(UNJC0030_REPORT_LAST_ROW=0,ROWS(UNJC0030_REPORT_H_AREA),UNJC0030_REPORT_LAST_ROW),COLUMNS(UNJC0030_REPORT_H_AREA))</definedName>
    <definedName name="_xlnm.Print_Area" localSheetId="26">UNJC0180_H!$K$1:$AM$15</definedName>
    <definedName name="_xlnm.Print_Area" localSheetId="28">OFFSET(UNJC0180_IF_SENTAKU,,,1+UNJC0180_IF_EXCEL_DATA_CNT,COLUMNS(UNJC0180_IF_EXCEL_LIST_COPY_MOTO)-99+UNJC0180_IF_EXCEL_ItemsMaxCount)</definedName>
    <definedName name="_xlnm.Print_Area" localSheetId="32">UNJC0190_H!$F$1:$AG$17</definedName>
    <definedName name="_xlnm.Print_Area" localSheetId="35">OFFSET(UNJC0190_IF_EXCEL_TitleStart,,,1+UNJC0190_IF_EXCEL_DATA_CNT,COLUMNS(UNJC0190_IF_LAYOUT_HEADER_COPY))</definedName>
    <definedName name="_xlnm.Print_Area" localSheetId="39">UNJC0210_H!$L$1:$AL$20</definedName>
    <definedName name="_xlnm.Print_Area" localSheetId="41">OFFSET(UNJC0210_IF_SENTAKU,0,0,1+UNJC0210_IF_EXCEL_DATA_CNT,COLUMNS(UNJC0210_IF_EXCEL_LIST_COPY_MOTO))</definedName>
    <definedName name="_xlnm.Print_Area" localSheetId="46">UNJC0220_H!$F$1:$N$15</definedName>
    <definedName name="_xlnm.Print_Area" localSheetId="48">OFFSET(UNJC0220_IF_PRINT_START,-1,0,1+UNJC0220_IF_PRINT_COUNT,COLUMNS(UNJC0220_IF_PRINT_SHOSHIKI_COPY_MOTO))</definedName>
    <definedName name="_xlnm.Print_Area" localSheetId="51">UNJC0230_B!$F$6:$L$25</definedName>
    <definedName name="_xlnm.Print_Area" localSheetId="50">UNJC0230_H!$F$1:$I$4</definedName>
    <definedName name="_xlnm.Print_Area" localSheetId="54">UNJC0240_H!$F$1:$T$12</definedName>
    <definedName name="_xlnm.Print_Area" localSheetId="56">OFFSET(UNJC0240_IF_PRINT_START,-1,0,1+UNJC0240_IF_PRINT_COUNT,COLUMNS(UNJC0240_IF_PRINT_SHOSHIKI_COPY_MOTO))</definedName>
    <definedName name="_xlnm.Print_Area" localSheetId="59">UNJC0250_B!$F$6:$L$20</definedName>
    <definedName name="_xlnm.Print_Area" localSheetId="58">UNJC0250_H!$F$1:$I$4</definedName>
    <definedName name="_xlnm.Print_Area" localSheetId="62">UNJC1020_H!$H$1:$W$16</definedName>
    <definedName name="_xlnm.Print_Area" localSheetId="64">OFFSET(UNJC1020_IF_PRINT_START,-1,0,1+UNJC1020_IF_PRINT_COUNT,COLUMNS(UNJC1020_IF_PRINT_SHOSHIKI_COPY_MOTO))</definedName>
    <definedName name="_xlnm.Print_Area" localSheetId="67">OFFSET(UNJC1030_B_GYO,0,0,1+UNJC1030_B_GYO_COUNT,COLUMNS(UNJC1030_IF_COPY_B_MEISAI_SHINKI))</definedName>
    <definedName name="_xlnm.Print_Area" localSheetId="66">UNJC1030_H!$G$1:$R$19</definedName>
    <definedName name="_xlnm.Print_Area" localSheetId="70">UNJC1030_REPORT_SHIYAKU!$A$1:$I$68</definedName>
    <definedName name="_xlnm.Print_Titles" localSheetId="10">UNJC0030_REPORT!$1:$5</definedName>
    <definedName name="_xlnm.Print_Titles" localSheetId="30">UNJC0180_PRINT!$1:$11</definedName>
    <definedName name="_xlnm.Print_Titles" localSheetId="37">UNJC0190_PRINT!$1:$4</definedName>
    <definedName name="UNJC_BUNSEKI_HOHO_IF_KENSU">UNJC_BUNSEKI_HOHO_IF!$C$3</definedName>
    <definedName name="UNJC_BUNSEKI_HOHO_IF_LIST">OFFSET(UNJC_BUNSEKI_HOHO_IF_START,,,IF(UNJC_BUNSEKI_HOHO_IF_KENSU=0,1,UNJC_BUNSEKI_HOHO_IF_KENSU),2)</definedName>
    <definedName name="UNJC_BUNSEKI_HOHO_IF_LIST2">OFFSET(UNJC_BUNSEKI_HOHO_IF_START,,,IF(UNJC_BUNSEKI_HOHO_IF_KENSU=0,1,UNJC_BUNSEKI_HOHO_IF_KENSU),1)</definedName>
    <definedName name="UNJC_BUNSEKI_HOHO_IF_START">UNJC_BUNSEKI_HOHO_IF!$B$7</definedName>
    <definedName name="UNJC_COMMON_ACTIVE_SHEET_NAME">UNJC_COMMON!$D$4</definedName>
    <definedName name="UNJC_COMMON_CHANGE_CHECK">UNJC_COMMON!$D$2</definedName>
    <definedName name="UNJC_COMMON_CHANGE_CHECK_AREA">UNJC_COMMON!$D$7:$F$11</definedName>
    <definedName name="UNJC_COMMON_SQL_AITESAKI_SEARCH">UNJC_COMMON_SQL!$D$11</definedName>
    <definedName name="UNJC_COMMON_SQL_BUN_SORT_SEQ_SEARCH">UNJC_COMMON_SQL!$D$24</definedName>
    <definedName name="UNJC_COMMON_SQL_BUNSEKI_HOHO_SEARCH">UNJC_COMMON_SQL!$D$18</definedName>
    <definedName name="UNJC_COMMON_SQL_BUSHO_SEARCH">UNJC_COMMON_SQL!$D$9</definedName>
    <definedName name="UNJC_COMMON_SQL_HAN_STS_SEARCH">UNJC_COMMON_SQL!$D$32</definedName>
    <definedName name="UNJC_COMMON_SQL_HASSOSAKI_SEARCH">UNJC_COMMON_SQL!$D$33</definedName>
    <definedName name="UNJC_COMMON_SQL_HOKAN_BASHO_SEARCH">UNJC_COMMON_SQL!$D$40</definedName>
    <definedName name="UNJC_COMMON_SQL_HOKOKULIST_SEARCH">UNJC_COMMON_SQL!$D$15</definedName>
    <definedName name="UNJC_COMMON_SQL_HOKOKUSAKI">UNJC_COMMON_SQL!$D$14</definedName>
    <definedName name="UNJC_COMMON_SQL_HOKOKUSHO_KEISHIKI_SEARCH">UNJC_COMMON_SQL!$D$22</definedName>
    <definedName name="UNJC_COMMON_SQL_JURI_NO_SEARCH">UNJC_COMMON_SQL!$D$10</definedName>
    <definedName name="UNJC_COMMON_SQL_KEISHO_SEARCH">UNJC_COMMON_SQL!$D$21</definedName>
    <definedName name="UNJC_COMMON_SQL_KOBAIHIN_SEARCH">UNJC_COMMON_SQL!$D$39</definedName>
    <definedName name="UNJC_COMMON_SQL_KOMOKU_GUN_SEARCH">UNJC_COMMON_SQL!$D$19</definedName>
    <definedName name="UNJC_COMMON_SQL_KOMOKU_SEARCH">UNJC_COMMON_SQL!$D$20</definedName>
    <definedName name="UNJC_COMMON_SQL_MAKER_SEARCH">UNJC_COMMON_SQL!$D$34</definedName>
    <definedName name="UNJC_COMMON_SQL_MITSU_NO_SEARCH">UNJC_COMMON_SQL!$D$12</definedName>
    <definedName name="UNJC_COMMON_SQL_MITSU_NO_SEARCH_HAN">UNJC_COMMON_SQL!$D$30</definedName>
    <definedName name="UNJC_COMMON_SQL_NOHIN_HOHO_SEARCH">UNJC_COMMON_SQL!$D$23</definedName>
    <definedName name="UNJC_COMMON_SQL_NYUSHUKKO_NO_SEARCH">UNJC_COMMON_SQL!$D$43</definedName>
    <definedName name="UNJC_COMMON_SQL_SEIKYUSAKI_SEARCH">UNJC_COMMON_SQL!$D$13</definedName>
    <definedName name="UNJC_COMMON_SQL_SELECT_CTRL_HYOJI_GYO_SU">UNJC_COMMON_SQL!$D$2</definedName>
    <definedName name="UNJC_COMMON_SQL_SHAIN_SEARCH">UNJC_COMMON_SQL!$D$8</definedName>
    <definedName name="UNJC_COMMON_SQL_SHIIRESAKI_SEARCH">UNJC_COMMON_SQL!$D$41</definedName>
    <definedName name="UNJC_COMMON_SQL_SHIRESAKI_SEARCH">UNJC_COMMON_SQL!$D$31</definedName>
    <definedName name="UNJC_COMMON_SQL_SHIRYO_MEI_SEARCH">UNJC_COMMON_SQL!$D$17</definedName>
    <definedName name="UNJC_COMMON_SQL_SHIRYO_SHURUI_SEARCH">UNJC_COMMON_SQL!$D$16</definedName>
    <definedName name="UNJC_COMMON_SQL_SHOHIN_BUNRUI_SEARCH">UNJC_COMMON_SQL!$D$36</definedName>
    <definedName name="UNJC_COMMON_SQL_SHOHIN_SEARCH">UNJC_COMMON_SQL!$D$35</definedName>
    <definedName name="UNJC_COMMON_SQL_ZAIKO_NO_SEARCH">UNJC_COMMON_SQL!$D$42</definedName>
    <definedName name="UNJC0020_B_ALL_PAGE_SU">UNJC0020_B!$D$29</definedName>
    <definedName name="UNJC0020_B_ATENA">UNJC0020_B!$L$22</definedName>
    <definedName name="UNJC0020_B_ATENA_CD">UNJC0020_B!$AE$22</definedName>
    <definedName name="UNJC0020_B_BUNSEKI_STS">UNJC0020_B!$AG$22</definedName>
    <definedName name="UNJC0020_B_BUNSEKIKUBUN_KBN">UNJC0020_B!$AI$22</definedName>
    <definedName name="UNJC0020_B_BUSHO_CD">UNJC0020_B!$AL$22</definedName>
    <definedName name="UNJC0020_B_BUSHO_MEI">UNJC0020_B!$W$22</definedName>
    <definedName name="UNJC0020_B_CHUKAN_1">UNJC0020_B!$O$22</definedName>
    <definedName name="UNJC0020_B_CHUKAN_2">UNJC0020_B!$P$22</definedName>
    <definedName name="UNJC0020_B_CHUKAN_3">UNJC0020_B!$Q$22</definedName>
    <definedName name="UNJC0020_B_COPY_SAKI">UNJC0020_B!$D$33</definedName>
    <definedName name="UNJC0020_B_CTRL_HYOJI_GYO_SU">UNJC0020_B!$D$24</definedName>
    <definedName name="UNJC0020_B_DEL_FLG">UNJC0020_B!$AC$22</definedName>
    <definedName name="UNJC0020_B_DEMPYO_HAKKO_FLG">UNJC0020_B!$AB$22</definedName>
    <definedName name="UNJC0020_B_DEMPYO_HAKKO_JOTAI_KBN">UNJC0020_B!$AH$22</definedName>
    <definedName name="UNJC0020_B_EIGYO_TANTO_CD">UNJC0020_B!$AJ$22</definedName>
    <definedName name="UNJC0020_B_EIGYO_TANTOSHA_MEI">UNJC0020_B!$T$22</definedName>
    <definedName name="UNJC0020_B_EXIST_NEXT_PAGE">UNJC0020_B!$D$39</definedName>
    <definedName name="UNJC0020_B_EXIST_PREV_PAGE">UNJC0020_B!$D$40</definedName>
    <definedName name="UNJC0020_B_FORMAT_COPY_FLG">UNJC0020_B!$D$36</definedName>
    <definedName name="UNJC0020_B_FREEWD">UNJC0020_B!$AO$22</definedName>
    <definedName name="UNJC0020_B_HIDE_COLUMN">UNJC0020_B!$D$58</definedName>
    <definedName name="UNJC0020_B_HIDE_ROW">UNJC0020_B!$D$57</definedName>
    <definedName name="UNJC0020_B_HOKOKUSHO_KEISHIKI">UNJC0020_B!$X$22</definedName>
    <definedName name="UNJC0020_B_HOKOKUSYO_KBN">UNJC0020_B!$AD$22</definedName>
    <definedName name="UNJC0020_B_HYOJI_KENSU">UNJC0020_B!$D$30</definedName>
    <definedName name="UNJC0020_B_IRAI_DATE">UNJC0020_B!$N$22</definedName>
    <definedName name="UNJC0020_B_JURI_NO">UNJC0020_B!$K$22</definedName>
    <definedName name="UNJC0020_B_KANSEI_DATE">UNJC0020_B!$R$22</definedName>
    <definedName name="UNJC0020_B_KENMEI">UNJC0020_B!$M$22</definedName>
    <definedName name="UNJC0020_B_KENSAKU_KENSU">UNJC0020_B!$D$27</definedName>
    <definedName name="UNJC0020_B_LIST_CLEAR">UNJC0020_B!$D$34</definedName>
    <definedName name="UNJC0020_B_LIST_START">UNJC0020_B!$D$32</definedName>
    <definedName name="UNJC0020_B_MITSUMORI_NO">UNJC0020_B!$AA$22</definedName>
    <definedName name="UNJC0020_B_NEXT_PAGE_NO">UNJC0020_B!$D$42</definedName>
    <definedName name="UNJC0020_B_NOHIN_DATE">UNJC0020_B!$S$22</definedName>
    <definedName name="UNJC0020_B_NYURYOKUSHA_CD">UNJC0020_B!$AK$22</definedName>
    <definedName name="UNJC0020_B_NYURYOKUSHA_MEI">UNJC0020_B!$U$22</definedName>
    <definedName name="UNJC0020_B_PAGE_NO">UNJC0020_B!$D$28</definedName>
    <definedName name="UNJC0020_B_PREV_PAGE_NO">UNJC0020_B!$D$43</definedName>
    <definedName name="UNJC0020_B_SCROLL_LOCK">UNJC0020_B!$D$60</definedName>
    <definedName name="UNJC0020_B_SEIKYUSAKI_CD">UNJC0020_B!$AF$22</definedName>
    <definedName name="UNJC0020_B_SEIKYUSAKI_MEI">UNJC0020_B!$Y$22</definedName>
    <definedName name="UNJC0020_B_SELECT_GYO_NO">UNJC0020_B!$D$46</definedName>
    <definedName name="UNJC0020_B_SELECT_JURI_NO">UNJC0020_B!$D$47</definedName>
    <definedName name="UNJC0020_B_SELECT_MITSU_NO">UNJC0020_B!$D$50</definedName>
    <definedName name="UNJC0020_B_SELECT_STS">UNJC0020_B!$D$49</definedName>
    <definedName name="UNJC0020_B_SENTAKU">UNJC0020_B!$H$22</definedName>
    <definedName name="UNJC0020_B_SOKUHO">UNJC0020_B!$Z$22</definedName>
    <definedName name="UNJC0020_B_STATUS">UNJC0020_B!$J$22</definedName>
    <definedName name="UNJC0020_B_VIEW_CURRENT_PAGE">UNJC0020_B!$G$21</definedName>
    <definedName name="UNJC0020_H_ATENA">UNJC0020_H!$O$17</definedName>
    <definedName name="UNJC0020_H_ATENA_CD">UNJC0020_H!$K$17</definedName>
    <definedName name="UNJC0020_H_BUNSEKI_CD">UNJC0020_H!$K$19</definedName>
    <definedName name="UNJC0020_H_BUNSEKI_HOHO">UNJC0020_H!$K$15</definedName>
    <definedName name="UNJC0020_H_BUNSEKI_HOKAN_STS">UNJC0020_H!$D$11</definedName>
    <definedName name="UNJC0020_H_BUNSEKI_MEI">UNJC0020_H!$O$19</definedName>
    <definedName name="UNJC0020_H_BUNSEKIKOMOKUGUN_KBN">UNJC0020_H!$D$25</definedName>
    <definedName name="UNJC0020_H_BUNSEKIKOMOKUGUN_MEI">UNJC0020_H!$K$22</definedName>
    <definedName name="UNJC0020_H_BUNSEKIKUBUN">UNJC0020_H!$K$13</definedName>
    <definedName name="UNJC0020_H_BUNSEKIKUBUN_KBN">UNJC0020_H!$D$23</definedName>
    <definedName name="UNJC0020_H_BUSHO_CD">UNJC0020_H!$D$19</definedName>
    <definedName name="UNJC0020_H_BUSHO_MEI">UNJC0020_H!$K$3</definedName>
    <definedName name="UNJC0020_H_CHUDAN_STS">UNJC0020_H!$D$13</definedName>
    <definedName name="UNJC0020_H_CHUKAN_DATE_END">UNJC0020_H!$AA$10</definedName>
    <definedName name="UNJC0020_H_CHUKAN_DATE_START">UNJC0020_H!$V$10</definedName>
    <definedName name="UNJC0020_H_CHUKAN_STS">UNJC0020_H!$D$5</definedName>
    <definedName name="UNJC0020_H_CHUSHI_STS">UNJC0020_H!$D$14</definedName>
    <definedName name="UNJC0020_H_DEL_HYOJI_FLG">UNJC0020_H!$D$16</definedName>
    <definedName name="UNJC0020_H_DEMPYO_HAKKO_JOTAI">UNJC0020_H!$K$14</definedName>
    <definedName name="UNJC0020_H_DEMPYO_HAKKO_JOTAI_KBN">UNJC0020_H!$D$24</definedName>
    <definedName name="UNJC0020_H_EIGYO_STS">UNJC0020_H!$D$9</definedName>
    <definedName name="UNJC0020_H_EIGYO_TANTO_CD">UNJC0020_H!$D$22</definedName>
    <definedName name="UNJC0020_H_EIGYO_TANTOSHA_MEI">UNJC0020_H!$K$9</definedName>
    <definedName name="UNJC0020_H_FORM_UPPER_LEFT">UNJC0020_H!$G$1</definedName>
    <definedName name="UNJC0020_H_FREEWD_1">UNJC0020_H!$K$24</definedName>
    <definedName name="UNJC0020_H_FREEWD_2">UNJC0020_H!$P$24</definedName>
    <definedName name="UNJC0020_H_FREEWD_3">UNJC0020_H!$U$24</definedName>
    <definedName name="UNJC0020_H_FREEWD_KBN">UNJC0020_H!$D$15</definedName>
    <definedName name="UNJC0020_H_GIJUTSU_STS">UNJC0020_H!$D$6</definedName>
    <definedName name="UNJC0020_H_HIDE_COLUMN">UNJC0020_H!$D$29</definedName>
    <definedName name="UNJC0020_H_HIDE_ROW">UNJC0020_H!$D$28</definedName>
    <definedName name="UNJC0020_H_INIT_HEADER_COPY_SAKI">UNJC0020_H!$K$3:$AD$24</definedName>
    <definedName name="UNJC0020_H_INIT_HEADER_FLG_COPY_SAKI">UNJC0020_H!$D$3:$D$16</definedName>
    <definedName name="UNJC0020_H_IRAI_DATE_END">UNJC0020_H!$AA$9</definedName>
    <definedName name="UNJC0020_H_IRAI_DATE_START">UNJC0020_H!$V$9</definedName>
    <definedName name="UNJC0020_H_JURI_NO">UNJC0020_H!$K$8</definedName>
    <definedName name="UNJC0020_H_KAKUNIN2_STS">UNJC0020_H!$D$7</definedName>
    <definedName name="UNJC0020_H_KAKUTEIMI_STS">UNJC0020_H!$D$3</definedName>
    <definedName name="UNJC0020_H_KANSEI_DATE_END">UNJC0020_H!$AA$11</definedName>
    <definedName name="UNJC0020_H_KANSEI_DATE_START">UNJC0020_H!$V$11</definedName>
    <definedName name="UNJC0020_H_KEISHIKI">UNJC0020_H!$K$4</definedName>
    <definedName name="UNJC0020_H_KEISHIKI_KBN">UNJC0020_H!$D$18</definedName>
    <definedName name="UNJC0020_H_MITSUMORI_NO">UNJC0020_H!$K$12</definedName>
    <definedName name="UNJC0020_H_NOHIN_DATE_END">UNJC0020_H!$AA$12</definedName>
    <definedName name="UNJC0020_H_NOHIN_DATE_START">UNJC0020_H!$V$12</definedName>
    <definedName name="UNJC0020_H_NOHIN_STS">UNJC0020_H!$D$10</definedName>
    <definedName name="UNJC0020_H_NYURYOKU_DATE_END">UNJC0020_H!$AA$8</definedName>
    <definedName name="UNJC0020_H_NYURYOKU_DATE_START">UNJC0020_H!$V$8</definedName>
    <definedName name="UNJC0020_H_NYURYOKUSHA_CD">UNJC0020_H!$D$21</definedName>
    <definedName name="UNJC0020_H_NYURYOKUSHA_MEI">UNJC0020_H!$K$10</definedName>
    <definedName name="UNJC0020_H_SEIKYUSAKI_CD">UNJC0020_H!$K$18</definedName>
    <definedName name="UNJC0020_H_SEIKYUSAKI_MEI">UNJC0020_H!$D$20</definedName>
    <definedName name="UNJC0020_H_SHIRYO_MEI">UNJC0020_H!$W$21</definedName>
    <definedName name="UNJC0020_H_SHIRYO_SHURUI">UNJC0020_H!$K$21</definedName>
    <definedName name="UNJC0020_H_SOKUHO_STS">UNJC0020_H!$D$8</definedName>
    <definedName name="UNJC0020_H_TEISEI_STS">UNJC0020_H!$D$12</definedName>
    <definedName name="UNJC0020_H_UKETSUKE_STS">UNJC0020_H!$D$4</definedName>
    <definedName name="UNJC0020_H_UKETSUKESHA_CD">UNJC0020_H!$D$26</definedName>
    <definedName name="UNJC0020_H_UKETSUKESHA_MEI">UNJC0020_H!$K$11</definedName>
    <definedName name="UNJC0020_IF_ACTIVE_CELL_NAME">UNJC0020_IF!$D$32</definedName>
    <definedName name="UNJC0020_IF_ACTIVE_COLUMN">UNJC0020_IF!$D$30</definedName>
    <definedName name="UNJC0020_IF_ACTIVE_ROW">UNJC0020_IF!$D$29</definedName>
    <definedName name="UNJC0020_IF_ACTIVE_SHEET">UNJC0020_IF!$D$28</definedName>
    <definedName name="UNJC0020_IF_B_LIST_COPY_MOTO">UNJC0020_IF!$D$6:$AK$6</definedName>
    <definedName name="UNJC0020_IF_B_LIST_DEFAULT">UNJC0020_IF!$D$5:$AK$5</definedName>
    <definedName name="UNJC0020_IF_DATA_SEARCH_FLG">UNJC0020_IF!$D$9</definedName>
    <definedName name="UNJC0020_IF_EXCEL_FILE_NAME">UNJC0020_IF!$BP$10</definedName>
    <definedName name="UNJC0020_IF_INIT_HEADER_COPY_MOTO">UNJC0020_IF!$AR$6:$BK$27</definedName>
    <definedName name="UNJC0020_IF_INIT_HEADER_FLG_COPY_MOTO">UNJC0020_IF!$AP$6:$AP$19</definedName>
    <definedName name="UNJC0020_IF_PRINT_COPY_SAKI">UNJC0020_IF!$BP$9</definedName>
    <definedName name="UNJC0020_IF_PRINT_KENSAKU_KENSU">UNJC0020_IF!$BP$7</definedName>
    <definedName name="UNJC0020_IF_PRINT_LIST_START">UNJC0020_IF!$BR$5</definedName>
    <definedName name="UNJC0020_IF_PRINT_SHOSHIKI_COPY_MOTO">UNJC0020_IF!$BR$2:$GI$2</definedName>
    <definedName name="UNJC0020_IF_SET_MITSU_NO">UNJC0020_IF!$D$15</definedName>
    <definedName name="UNJC0020_IF_SET_STS_CD">UNJC0020_IF!$D$14</definedName>
    <definedName name="UNJC0020_IF_USER_ID">UNJC0020_IF!$D$13</definedName>
    <definedName name="UNJC0020_IF2_PRINT_COPY_SAKI">UNJC0020_IF2!$C$9</definedName>
    <definedName name="UNJC0020_IF2_PRINT_KENSAKU_KENSU">UNJC0020_IF2!$C$7</definedName>
    <definedName name="UNJC0020_IF2_PRINT_LIST_START">UNJC0020_IF2!$D$5</definedName>
    <definedName name="UNJC0020_IF2_PRINT_SHOSHIKI_COPY_MOTO">UNJC0020_IF2!$D$2:$CS$2</definedName>
    <definedName name="UNJC0020_SQL_ATENA_CD">UNJC0020_SQL!$F$34</definedName>
    <definedName name="UNJC0020_SQL_ATENA_MEI">UNJC0020_SQL!$F$35</definedName>
    <definedName name="UNJC0020_SQL_BUNSEKI_CD">UNJC0020_SQL!$F$37</definedName>
    <definedName name="UNJC0020_SQL_BUNSEKI_HOHO">UNJC0020_SQL!$F$33</definedName>
    <definedName name="UNJC0020_SQL_BUNSEKI_HOKAN_STS">UNJC0020_SQL!$F$12</definedName>
    <definedName name="UNJC0020_SQL_BUNSEKI_KBN_LIST">UNJC0020_SQL!$D$106</definedName>
    <definedName name="UNJC0020_SQL_BUNSEKI_MEI">UNJC0020_SQL!$F$38</definedName>
    <definedName name="UNJC0020_SQL_BUNSEKIKOMOKUGUN_KBN">UNJC0020_SQL!$F$40</definedName>
    <definedName name="UNJC0020_SQL_BUNSEKIKUBUN_KBN">UNJC0020_SQL!$F$21</definedName>
    <definedName name="UNJC0020_SQL_BUSHO_CD">UNJC0020_SQL!$F$2</definedName>
    <definedName name="UNJC0020_SQL_CHUDAN_STS">UNJC0020_SQL!$F$14</definedName>
    <definedName name="UNJC0020_SQL_CHUKAN_DATE_END">UNJC0020_SQL!$F$27</definedName>
    <definedName name="UNJC0020_SQL_CHUKAN_DATE_START">UNJC0020_SQL!$F$26</definedName>
    <definedName name="UNJC0020_SQL_CHUKAN_STS">UNJC0020_SQL!$F$7</definedName>
    <definedName name="UNJC0020_SQL_CHUSHI_STS">UNJC0020_SQL!$F$15</definedName>
    <definedName name="UNJC0020_SQL_DEL_HYOJI_FLG">UNJC0020_SQL!$F$46</definedName>
    <definedName name="UNJC0020_SQL_DEMPYO_HAKKO_JOTAI_KBN">UNJC0020_SQL!$F$32</definedName>
    <definedName name="UNJC0020_SQL_DEMPYO_HAKKO_LIST">UNJC0020_SQL!$D$107</definedName>
    <definedName name="UNJC0020_SQL_EIGYO_STS">UNJC0020_SQL!$F$10</definedName>
    <definedName name="UNJC0020_SQL_EIGYO_TANTO_CD">UNJC0020_SQL!$F$17</definedName>
    <definedName name="UNJC0020_SQL_FREEWD_1">UNJC0020_SQL!$F$42</definedName>
    <definedName name="UNJC0020_SQL_FREEWD_2">UNJC0020_SQL!$F$43</definedName>
    <definedName name="UNJC0020_SQL_FREEWD_3">UNJC0020_SQL!$F$44</definedName>
    <definedName name="UNJC0020_SQL_FREEWD_KBN">UNJC0020_SQL!$F$45</definedName>
    <definedName name="UNJC0020_SQL_FREEWORD1">UNJC0020_SQL!$F$95</definedName>
    <definedName name="UNJC0020_SQL_FREEWORD2">UNJC0020_SQL!$F$96</definedName>
    <definedName name="UNJC0020_SQL_FREEWORD3">UNJC0020_SQL!$F$97</definedName>
    <definedName name="UNJC0020_SQL_GIJUTSU_STS">UNJC0020_SQL!$F$6</definedName>
    <definedName name="UNJC0020_SQL_INIT_SORT">UNJC0020_SQL!$D$103</definedName>
    <definedName name="UNJC0020_SQL_IRAI_DATE_END">UNJC0020_SQL!$F$25</definedName>
    <definedName name="UNJC0020_SQL_IRAI_DATE_START">UNJC0020_SQL!$F$24</definedName>
    <definedName name="UNJC0020_SQL_JOKEN_COPY_MOTO">UNJC0020_SQL!$G$2:$G$46</definedName>
    <definedName name="UNJC0020_SQL_JOKEN_COPY_SAKI">UNJC0020_SQL!$F$2:$F$46</definedName>
    <definedName name="UNJC0020_SQL_JURI_NO">UNJC0020_SQL!$F$16</definedName>
    <definedName name="UNJC0020_SQL_KAKUNIN2_STS">UNJC0020_SQL!$F$8</definedName>
    <definedName name="UNJC0020_SQL_KAKUTEIMI_STS">UNJC0020_SQL!$F$4</definedName>
    <definedName name="UNJC0020_SQL_KANSEI_DATE_END">UNJC0020_SQL!$F$29</definedName>
    <definedName name="UNJC0020_SQL_KANSEI_DATE_START">UNJC0020_SQL!$F$28</definedName>
    <definedName name="UNJC0020_SQL_KEISHIKI_KBN">UNJC0020_SQL!$F$3</definedName>
    <definedName name="UNJC0020_SQL_MITSUMORI_NO">UNJC0020_SQL!$F$20</definedName>
    <definedName name="UNJC0020_SQL_NOHIN_DATE_END">UNJC0020_SQL!$F$31</definedName>
    <definedName name="UNJC0020_SQL_NOHIN_DATE_START">UNJC0020_SQL!$F$30</definedName>
    <definedName name="UNJC0020_SQL_NOHIN_STS">UNJC0020_SQL!$F$11</definedName>
    <definedName name="UNJC0020_SQL_NYURYOKU_DATE_END">UNJC0020_SQL!$F$23</definedName>
    <definedName name="UNJC0020_SQL_NYURYOKU_DATE_START">UNJC0020_SQL!$F$22</definedName>
    <definedName name="UNJC0020_SQL_NYURYOKUSHA_CD">UNJC0020_SQL!$F$18</definedName>
    <definedName name="UNJC0020_SQL_PRINT_BUN_JUCHU_LIST">UNJC0020_SQL!$D$51</definedName>
    <definedName name="UNJC0020_SQL_PRINT_BUN_JUCHU_LIST2">UNJC0020_SQL!$D$52</definedName>
    <definedName name="UNJC0020_SQL_RESULT_SORT">UNJC0020_SQL!$D$104</definedName>
    <definedName name="UNJC0020_SQL_SEIKYUSAKI_CD">UNJC0020_SQL!$F$36</definedName>
    <definedName name="UNJC0020_SQL_SELECT_BUN_JUCHU_LIST">UNJC0020_SQL!$D$49</definedName>
    <definedName name="UNJC0020_SQL_SELECT_BUN_JUCHU_LIST_CNT">UNJC0020_SQL!$D$50</definedName>
    <definedName name="UNJC0020_SQL_SHIRYO_MEI">UNJC0020_SQL!$F$41</definedName>
    <definedName name="UNJC0020_SQL_SHIRYO_SHURUI">UNJC0020_SQL!$F$39</definedName>
    <definedName name="UNJC0020_SQL_SOKUHO_STS">UNJC0020_SQL!$F$9</definedName>
    <definedName name="UNJC0020_SQL_SORT">UNJC0020_SQL!$E$99</definedName>
    <definedName name="UNJC0020_SQL_SORT_EXCEL">UNJC0020_SQL!$E$100</definedName>
    <definedName name="UNJC0020_SQL_STS_SEARCH">UNJC0020_SQL!$D$110</definedName>
    <definedName name="UNJC0020_SQL_TEISEI_STS">UNJC0020_SQL!$F$13</definedName>
    <definedName name="UNJC0020_SQL_UKETSUKE_STS">UNJC0020_SQL!$F$5</definedName>
    <definedName name="UNJC0020_SQL_UKETSUKESHA_CD">UNJC0020_SQL!$F$19</definedName>
    <definedName name="UNJC0030_B_BUNSEKI_GUN_CD">UNJC0030_B!$K$43</definedName>
    <definedName name="UNJC0030_B_BUNSEKI_GUN_MEI">UNJC0030_B!$L$43</definedName>
    <definedName name="UNJC0030_B_COPY_SAKI">UNJC0030_B!$J$33:$AB$43</definedName>
    <definedName name="UNJC0030_B_EBIKO">UNJC0030_B!$AB$43</definedName>
    <definedName name="UNJC0030_B_EDA">UNJC0030_B!$J$33</definedName>
    <definedName name="UNJC0030_B_EDA_SHIRYO_AREA">UNJC0030_B!$A$34:$A$39</definedName>
    <definedName name="UNJC0030_B_GYO">UNJC0030_B!$I$45</definedName>
    <definedName name="UNJC0030_B_GYO_DELETE">UNJC0030_B!$F$52</definedName>
    <definedName name="UNJC0030_B_GYO_DELETE_AREA">UNJC0030_B!$F$45</definedName>
    <definedName name="UNJC0030_B_GYO_DELETE_NO">UNJC0030_B!$F$44</definedName>
    <definedName name="UNJC0030_B_GYO_INSERT">UNJC0030_B!$F$51</definedName>
    <definedName name="UNJC0030_B_GYO_INSERT_NO">UNJC0030_B!$F$43</definedName>
    <definedName name="UNJC0030_B_GYO_INSERT_SELECT_CELL">UNJC0030_B!$F$53</definedName>
    <definedName name="UNJC0030_B_GYO_NO">UNJC0030_B!$F$42</definedName>
    <definedName name="UNJC0030_B_HIDE_COLUMN">UNJC0030_B!$F$3</definedName>
    <definedName name="UNJC0030_B_HIDE_ROW">UNJC0030_B!$F$2</definedName>
    <definedName name="UNJC0030_B_IKKATSU_1">UNJC0030_B!$M$42</definedName>
    <definedName name="UNJC0030_B_IKKATSU_2">UNJC0030_B!$Q$42</definedName>
    <definedName name="UNJC0030_B_IKKATSU_FLG">UNJC0030_B!$F$41</definedName>
    <definedName name="UNJC0030_B_IKKATSU_TOTAL">UNJC0030_B!$AA$42</definedName>
    <definedName name="UNJC0030_B_KION">UNJC0030_B!$AB$36</definedName>
    <definedName name="UNJC0030_B_LIST_BUNSEKI_CD">UNJC0030_B!$J$45</definedName>
    <definedName name="UNJC0030_B_LIST_BUNSEKI_MEI">UNJC0030_B!$K$45</definedName>
    <definedName name="UNJC0030_B_LIST_BUNSEKI_NO">UNJC0030_B!$Q$45</definedName>
    <definedName name="UNJC0030_B_LIST_CLEAR_AREA">UNJC0030_B!$F$49</definedName>
    <definedName name="UNJC0030_B_LIST_DATA">UNJC0030_B!$M$45</definedName>
    <definedName name="UNJC0030_B_LIST_GYO">UNJC0030_B!$I$45</definedName>
    <definedName name="UNJC0030_B_LIST_SEQ">UNJC0030_B!$S$45</definedName>
    <definedName name="UNJC0030_B_LIST_SHOSHIKI_COPY_SAKI">UNJC0030_B!$F$47</definedName>
    <definedName name="UNJC0030_B_LIST_START">UNJC0030_B!$F$46</definedName>
    <definedName name="UNJC0030_B_LIST_SUSHIKI_COPY_SAKI">UNJC0030_B!$F$48</definedName>
    <definedName name="UNJC0030_B_LIST_TANI">UNJC0030_B!$L$45</definedName>
    <definedName name="UNJC0030_B_MULTI_SELECT_COPY_SAKI">UNJC0030_B!$F$60</definedName>
    <definedName name="UNJC0030_B_SAISHU_BASHO">UNJC0030_B!$K$38</definedName>
    <definedName name="UNJC0030_B_SAISHU_DATE">UNJC0030_B!$AB$38</definedName>
    <definedName name="UNJC0030_B_SAISHU_HOHO">UNJC0030_B!$K$37</definedName>
    <definedName name="UNJC0030_B_SAISHU_KAISHA_MEI">UNJC0030_B!$K$35</definedName>
    <definedName name="UNJC0030_B_SAISHU_TIME">UNJC0030_B!$AB$39</definedName>
    <definedName name="UNJC0030_B_SAISHUSHA_MEI">UNJC0030_B!$K$36</definedName>
    <definedName name="UNJC0030_B_SERIAL">UNJC0030_B!$Z$45</definedName>
    <definedName name="UNJC0030_B_SET_BUNSEKIKOMOKU_CD">UNJC0030_B!$F$55</definedName>
    <definedName name="UNJC0030_B_SET_BUNSEKIKOMOKU_MEI">UNJC0030_B!$F$56</definedName>
    <definedName name="UNJC0030_B_SET_BUNSEKIKOMOKU_NO">UNJC0030_B!$F$58</definedName>
    <definedName name="UNJC0030_B_SET_BUNSEKIKOMOKU_TANI">UNJC0030_B!$F$57</definedName>
    <definedName name="UNJC0030_B_SET_EDA_BACK_NO">UNJC0030_B!$F$38</definedName>
    <definedName name="UNJC0030_B_SET_EDA_JUMP_NO">UNJC0030_B!$F$39</definedName>
    <definedName name="UNJC0030_B_SET_EDA_NEXT_NO">UNJC0030_B!$F$37</definedName>
    <definedName name="UNJC0030_B_SHIRYO_MEI">UNJC0030_B!$M$41</definedName>
    <definedName name="UNJC0030_B_SHIRYO_SHURUI">UNJC0030_B!$K$41</definedName>
    <definedName name="UNJC0030_B_SUION">UNJC0030_B!$AB$37</definedName>
    <definedName name="UNJC0030_B_TENKO">UNJC0030_B!$AB$35</definedName>
    <definedName name="UNJC0030_B_URAGAKI_FLG">UNJC0030_B!$X$45</definedName>
    <definedName name="UNJC0030_B_USER_ID">UNJC0030_B!$Y$45</definedName>
    <definedName name="UNJC0030_FAX_KEISHO">UNJC0030_FAX!$V$3</definedName>
    <definedName name="UNJC0030_FAX_NO">UNJC0030_FAX!$V$5</definedName>
    <definedName name="UNJC0030_H_ATENA_CD">UNJC0030_H!$K$9</definedName>
    <definedName name="UNJC0030_H_ATENA_MEI">UNJC0030_H!$L$9</definedName>
    <definedName name="UNJC0030_H_BIKO">UNJC0030_H!$K$35</definedName>
    <definedName name="UNJC0030_H_BUN_SORT_SEQ">UNJC0030_H!$F$14</definedName>
    <definedName name="UNJC0030_H_BUN_SORT_SEQ_MEI">UNJC0030_H!$T$9</definedName>
    <definedName name="UNJC0030_H_BUN_SORT_SEQ_MEI_CLEAR">UNJC0030_H!$T$9:$V$9</definedName>
    <definedName name="UNJC0030_H_BUNSEKI_KBN">UNJC0030_H!$N$4</definedName>
    <definedName name="UNJC0030_H_BUNSEKI_KBN_CD">UNJC0030_H!$F$7</definedName>
    <definedName name="UNJC0030_H_BUNSEKI_TANTO_BUSHO">UNJC0030_H!$K$5</definedName>
    <definedName name="UNJC0030_H_BUNSEKI_TANTO_BUSHO_CD">UNJC0030_H!$F$5</definedName>
    <definedName name="UNJC0030_H_BUNSEKIHOHO">UNJC0030_H!$K$11</definedName>
    <definedName name="UNJC0030_H_BUNSEKIKANRYO_DATE">UNJC0030_H!$Q$10</definedName>
    <definedName name="UNJC0030_H_BUSU">UNJC0030_H!$K$30</definedName>
    <definedName name="UNJC0030_H_CHUKAN_DATE_1">UNJC0030_H!$M$31</definedName>
    <definedName name="UNJC0030_H_CHUKAN_DATE_2">UNJC0030_H!$M$32</definedName>
    <definedName name="UNJC0030_H_CHUKAN_DATE_3">UNJC0030_H!$M$33</definedName>
    <definedName name="UNJC0030_H_CHUKAN_NAIYO_1">UNJC0030_H!$N$31</definedName>
    <definedName name="UNJC0030_H_CHUKAN_NAIYO_2">UNJC0030_H!$N$32</definedName>
    <definedName name="UNJC0030_H_CHUKAN_NAIYO_3">UNJC0030_H!$N$33</definedName>
    <definedName name="UNJC0030_H_COPY_SAKI">UNJC0030_H!$J$4:$AH$44</definedName>
    <definedName name="UNJC0030_H_DEMPYO_HAKKO_KBN">UNJC0030_H!$N$6</definedName>
    <definedName name="UNJC0030_H_DEMPYO_HAKKO_KBN_CD">UNJC0030_H!$F$8</definedName>
    <definedName name="UNJC0030_H_EDA_FLG">UNJC0030_H!$F$19</definedName>
    <definedName name="UNJC0030_H_EIGYO_FUYO_FLG">UNJC0030_H!$F$16</definedName>
    <definedName name="UNJC0030_H_EIGYO_TANTO_CD">UNJC0030_H!$F$9</definedName>
    <definedName name="UNJC0030_H_EIGYO_TANTO_MEI">UNJC0030_H!$N$13</definedName>
    <definedName name="UNJC0030_H_FLG_AREA">UNJC0030_H!$F$16:$F$20</definedName>
    <definedName name="UNJC0030_H_FLG_COPY_SAKI">UNJC0030_H!$F$4:$F$20</definedName>
    <definedName name="UNJC0030_H_HENKOYOTEI_FLG">UNJC0030_H!$F$18</definedName>
    <definedName name="UNJC0030_H_HIDE_COLUMN">UNJC0030_H!$F$24</definedName>
    <definedName name="UNJC0030_H_HIDE_ROW">UNJC0030_H!$F$23</definedName>
    <definedName name="UNJC0030_H_HOKOKU_BUSHO_1">UNJC0030_H!$O$42</definedName>
    <definedName name="UNJC0030_H_HOKOKU_BUSHO_2">UNJC0030_H!$O$43</definedName>
    <definedName name="UNJC0030_H_HOKOKU_BUSHO_3">UNJC0030_H!$O$44</definedName>
    <definedName name="UNJC0030_H_HOKOKU_CD_1">UNJC0030_H!$D$29</definedName>
    <definedName name="UNJC0030_H_HOKOKU_CD_2">UNJC0030_H!$D$30</definedName>
    <definedName name="UNJC0030_H_HOKOKU_CD_3">UNJC0030_H!$D$31</definedName>
    <definedName name="UNJC0030_H_HOKOKU_CHUKAN_FLG_1">UNJC0030_H!$AC$42</definedName>
    <definedName name="UNJC0030_H_HOKOKU_CHUKAN_FLG_2">UNJC0030_H!$AC$43</definedName>
    <definedName name="UNJC0030_H_HOKOKU_CHUKAN_FLG_3">UNJC0030_H!$AC$44</definedName>
    <definedName name="UNJC0030_H_HOKOKU_FAX_1">UNJC0030_H!$S$42</definedName>
    <definedName name="UNJC0030_H_HOKOKU_FAX_2">UNJC0030_H!$S$43</definedName>
    <definedName name="UNJC0030_H_HOKOKU_FAX_3">UNJC0030_H!$S$44</definedName>
    <definedName name="UNJC0030_H_HOKOKU_GAISO">UNJC0030_H!$K$28</definedName>
    <definedName name="UNJC0030_H_HOKOKU_GAISO_KBN_CD">UNJC0030_H!$F$12</definedName>
    <definedName name="UNJC0030_H_HOKOKU_HAKKO_DATE">UNJC0030_H!$Q$13</definedName>
    <definedName name="UNJC0030_H_HOKOKU_HOHO">UNJC0030_H!$K$31</definedName>
    <definedName name="UNJC0030_H_HOKOKU_HOHO_KBN_CD">UNJC0030_H!$F$13</definedName>
    <definedName name="UNJC0030_H_HOKOKU_HOKOKUSOFU_FLG_1">UNJC0030_H!$AE$42</definedName>
    <definedName name="UNJC0030_H_HOKOKU_HOKOKUSOFU_FLG_2">UNJC0030_H!$AE$43</definedName>
    <definedName name="UNJC0030_H_HOKOKU_HOKOKUSOFU_FLG_3">UNJC0030_H!$AE$44</definedName>
    <definedName name="UNJC0030_H_HOKOKU_JIKO">UNJC0030_H!$K$18</definedName>
    <definedName name="UNJC0030_H_HOKOKU_JUSHO_1">UNJC0030_H!$X$42</definedName>
    <definedName name="UNJC0030_H_HOKOKU_JUSHO_2">UNJC0030_H!$X$43</definedName>
    <definedName name="UNJC0030_H_HOKOKU_JUSHO_3">UNJC0030_H!$X$44</definedName>
    <definedName name="UNJC0030_H_HOKOKU_KANSEI_DATE">UNJC0030_H!$Q$11</definedName>
    <definedName name="UNJC0030_H_HOKOKU_MAIL_1">UNJC0030_H!$T$42</definedName>
    <definedName name="UNJC0030_H_HOKOKU_MAIL_2">UNJC0030_H!$T$43</definedName>
    <definedName name="UNJC0030_H_HOKOKU_MAIL_3">UNJC0030_H!$T$44</definedName>
    <definedName name="UNJC0030_H_HOKOKU_MEI_1">UNJC0030_H!$K$42</definedName>
    <definedName name="UNJC0030_H_HOKOKU_MEI_2">UNJC0030_H!$K$43</definedName>
    <definedName name="UNJC0030_H_HOKOKU_MEI_3">UNJC0030_H!$K$44</definedName>
    <definedName name="UNJC0030_H_HOKOKU_SHOKEN_FLG">UNJC0030_H!$F$20</definedName>
    <definedName name="UNJC0030_H_HOKOKU_SOKUHO_FLG_1">UNJC0030_H!$AD$42</definedName>
    <definedName name="UNJC0030_H_HOKOKU_SOKUHO_FLG_2">UNJC0030_H!$AD$43</definedName>
    <definedName name="UNJC0030_H_HOKOKU_SOKUHO_FLG_3">UNJC0030_H!$AD$44</definedName>
    <definedName name="UNJC0030_H_HOKOKU_TANTOSHA_1">UNJC0030_H!$Q$42</definedName>
    <definedName name="UNJC0030_H_HOKOKU_TANTOSHA_2">UNJC0030_H!$Q$43</definedName>
    <definedName name="UNJC0030_H_HOKOKU_TANTOSHA_3">UNJC0030_H!$Q$44</definedName>
    <definedName name="UNJC0030_H_HOKOKU_TEL_1">UNJC0030_H!$R$42</definedName>
    <definedName name="UNJC0030_H_HOKOKU_TEL_2">UNJC0030_H!$R$43</definedName>
    <definedName name="UNJC0030_H_HOKOKU_TEL_3">UNJC0030_H!$R$44</definedName>
    <definedName name="UNJC0030_H_HOKOKU_YUBIN_1">UNJC0030_H!$W$42</definedName>
    <definedName name="UNJC0030_H_HOKOKU_YUBIN_2">UNJC0030_H!$W$43</definedName>
    <definedName name="UNJC0030_H_HOKOKU_YUBIN_3">UNJC0030_H!$W$44</definedName>
    <definedName name="UNJC0030_H_HOKOKUSHO_KEISHIKI">UNJC0030_H!$K$12</definedName>
    <definedName name="UNJC0030_H_HOKOKUSHO_KEISHIKI_KBN_CD">UNJC0030_H!$F$10</definedName>
    <definedName name="UNJC0030_H_IRAI_DATE">UNJC0030_H!$Q$9</definedName>
    <definedName name="UNJC0030_H_JURI_NO">UNJC0030_H!$Q$4</definedName>
    <definedName name="UNJC0030_H_KENMEI">UNJC0030_H!$K$16</definedName>
    <definedName name="UNJC0030_H_KION">UNJC0030_H!$Q$22</definedName>
    <definedName name="UNJC0030_H_KOSU">UNJC0030_H!$K$14</definedName>
    <definedName name="UNJC0030_H_MITSUMORI_NO">UNJC0030_H!$Q$6</definedName>
    <definedName name="UNJC0030_H_MOKUTEKI">UNJC0030_H!$K$17</definedName>
    <definedName name="UNJC0030_H_NOHIN_DATE">UNJC0030_H!$Q$14</definedName>
    <definedName name="UNJC0030_H_NOHIN_HOHO">UNJC0030_H!$K$13</definedName>
    <definedName name="UNJC0030_H_NYURYOKU_DATE">UNJC0030_H!$N$5</definedName>
    <definedName name="UNJC0030_H_NYURYOKUSHA_CD">UNJC0030_H!$F$6</definedName>
    <definedName name="UNJC0030_H_NYURYOKUSHA_MEI">UNJC0030_H!$K$6</definedName>
    <definedName name="UNJC0030_H_REF_JURI_NO">UNJC0030_H!$Q$5</definedName>
    <definedName name="UNJC0030_H_SAISHU_BASHO">UNJC0030_H!$K$24</definedName>
    <definedName name="UNJC0030_H_SAISHU_DATE">UNJC0030_H!$Q$24</definedName>
    <definedName name="UNJC0030_H_SAISHU_HOHO">UNJC0030_H!$K$23</definedName>
    <definedName name="UNJC0030_H_SAISHU_TIME">UNJC0030_H!$Q$25</definedName>
    <definedName name="UNJC0030_H_SAISHUKAISHA_MEI">UNJC0030_H!$K$21</definedName>
    <definedName name="UNJC0030_H_SAISHUSHA_MEI">UNJC0030_H!$K$22</definedName>
    <definedName name="UNJC0030_H_SEIKYUSAKI_CD">UNJC0030_H!$K$10</definedName>
    <definedName name="UNJC0030_H_SEIKYUSAKI_MEI">UNJC0030_H!$L$10</definedName>
    <definedName name="UNJC0030_H_SHINKI_FLG">UNJC0030_H!$F$17</definedName>
    <definedName name="UNJC0030_H_SHIRYO_AREA">UNJC0030_H!$A$20:$A$25</definedName>
    <definedName name="UNJC0030_H_SOKUHO_KBN">UNJC0030_H!$Q$12</definedName>
    <definedName name="UNJC0030_H_SOKUHO_KBN_CD">UNJC0030_H!$F$11</definedName>
    <definedName name="UNJC0030_H_STS">UNJC0030_H!$K$4</definedName>
    <definedName name="UNJC0030_H_STS_CD">UNJC0030_H!$F$4</definedName>
    <definedName name="UNJC0030_H_STS_HENKO_DATE">UNJC0030_H!$N$7</definedName>
    <definedName name="UNJC0030_H_STS_HENKO_USER">UNJC0030_H!$K$7</definedName>
    <definedName name="UNJC0030_H_SUION">UNJC0030_H!$Q$23</definedName>
    <definedName name="UNJC0030_H_TENKO">UNJC0030_H!$Q$21</definedName>
    <definedName name="UNJC0030_H_YOKI_HENKYAKU">UNJC0030_H!$Q$28</definedName>
    <definedName name="UNJC0030_H_YOKI_SHURUI">UNJC0030_H!$Q$27</definedName>
    <definedName name="UNJC0030_IF_ACTIVE_CELL_NAME">UNJC0030_IF!$F$22</definedName>
    <definedName name="UNJC0030_IF_ACTIVE_COLUMN">UNJC0030_IF!$F$20</definedName>
    <definedName name="UNJC0030_IF_ACTIVE_ROW">UNJC0030_IF!$F$19</definedName>
    <definedName name="UNJC0030_IF_ACTIVE_SHEET">UNJC0030_IF!$F$18</definedName>
    <definedName name="UNJC0030_IF_BUTTON_04_HYOJI">UNJC0030_IF!$F$38</definedName>
    <definedName name="UNJC0030_IF_BUTTON_06_HYOJI">UNJC0030_IF!$F$39</definedName>
    <definedName name="UNJC0030_IF_BUTTON_06_NAME">UNJC0030_IF!$F$30</definedName>
    <definedName name="UNJC0030_IF_BUTTON_07_HYOJI">UNJC0030_IF!$F$40</definedName>
    <definedName name="UNJC0030_IF_BUTTON_08_HYOJI">UNJC0030_IF!$F$41</definedName>
    <definedName name="UNJC0030_IF_BUTTON_09_HYOJI">UNJC0030_IF!$F$42</definedName>
    <definedName name="UNJC0030_IF_BUTTON_10_HYOJI">UNJC0030_IF!$F$43</definedName>
    <definedName name="UNJC0030_IF_BUTTON_10_NAME">UNJC0030_IF!$F$31</definedName>
    <definedName name="UNJC0030_IF_BUTTON_11_HYOJI">UNJC0030_IF!$F$44</definedName>
    <definedName name="UNJC0030_IF_BUTTON_12_HYOJI">UNJC0030_IF!$F$45</definedName>
    <definedName name="UNJC0030_IF_BUTTON_13_HYOJI">UNJC0030_IF!$F$46</definedName>
    <definedName name="UNJC0030_IF_BUTTON_14_CONFIRM">UNJC0030_IF!$F$56</definedName>
    <definedName name="UNJC0030_IF_BUTTON_14_HYOJI">UNJC0030_IF!$F$47</definedName>
    <definedName name="UNJC0030_IF_BUTTON_15_CHECK">UNJC0030_IF!$F$34</definedName>
    <definedName name="UNJC0030_IF_BUTTON_15_HYOJI">UNJC0030_IF!$F$48</definedName>
    <definedName name="UNJC0030_IF_BUTTON_16_CHECK">UNJC0030_IF!$F$35</definedName>
    <definedName name="UNJC0030_IF_BUTTON_16_HYOJI">UNJC0030_IF!$F$49</definedName>
    <definedName name="UNJC0030_IF_BUTTON_17_HYOJI">UNJC0030_IF!$F$50</definedName>
    <definedName name="UNJC0030_IF_BUTTON_18_HYOJI">UNJC0030_IF!$F$51</definedName>
    <definedName name="UNJC0030_IF_BUTTON_19_HYOJI">UNJC0030_IF!$F$52</definedName>
    <definedName name="UNJC0030_IF_BUTTON_20_HYOJI">UNJC0030_IF!$F$53</definedName>
    <definedName name="UNJC0030_IF_CHUKAN_HOKOKU_DAY">UNJC0030_IF!$F$26</definedName>
    <definedName name="UNJC0030_IF_DATA_SEARCH_FLG">UNJC0030_IF!$F$4</definedName>
    <definedName name="UNJC0030_IF_EDA">UNJC0030_IF!$F$6</definedName>
    <definedName name="UNJC0030_IF_EDA_DEL_CHECK">UNJC0030_IF!$F$10</definedName>
    <definedName name="UNJC0030_IF_EDA_MAX">UNJC0030_IF!$F$9</definedName>
    <definedName name="UNJC0030_IF_EXCEL_AREA">UNJC0030_IF!$KK$3:$LH$3</definedName>
    <definedName name="UNJC0030_IF_EXCEL_CNT">UNJC0030_IF!$KH$3</definedName>
    <definedName name="UNJC0030_IF_EXCEL_FILE_NAME">UNJC0030_IF!$KH$4</definedName>
    <definedName name="UNJC0030_IF_EXCEL_SHOSHIKI_COPY_MOTO">UNJC0030_IF!$KK$2:$LH$2</definedName>
    <definedName name="UNJC0030_IF_EXCEL_SHOSHIKI_COPY_SAKI">UNJC0030_IF!$KH$6</definedName>
    <definedName name="UNJC0030_IF_EXCEL_START">UNJC0030_IF!$KH$5</definedName>
    <definedName name="UNJC0030_IF_GYO_COPY_MOTO">UNJC0030_IF!$GX$2:$HO$2</definedName>
    <definedName name="UNJC0030_IF_GYO_SUSHIKI_COPY_MOTO">UNJC0030_IF!$GX$3</definedName>
    <definedName name="UNJC0030_IF_HOKOKU_1WORKDAY_AGO">UNJC0030_IF!$F$25</definedName>
    <definedName name="UNJC0030_IF_INPUT_CHECK">UNJC0030_IF!$R$26</definedName>
    <definedName name="UNJC0030_IF_INPUT_CHECK_CELL_NAME">UNJC0030_IF!$Q$9</definedName>
    <definedName name="UNJC0030_IF_INPUT_CHECK_CELL_NAME_COPY">UNJC0030_IF!$R$9</definedName>
    <definedName name="UNJC0030_IF_INPUT_CHECK_RUN">UNJC0030_IF!$M$11</definedName>
    <definedName name="UNJC0030_IF_INPUT_ERROR_MESSAGE">UNJC0030_IF!$R$27</definedName>
    <definedName name="UNJC0030_IF_JURI_NO">UNJC0030_IF!$F$5</definedName>
    <definedName name="UNJC0030_IF_LIST_BUN_SORT">OFFSET(UNJC0030_IF_LIST_BUN_SORT_START,,,IF(UNJC0030_IF_LIST_BUN_SORT_KENSU=0,1,UNJC0030_IF_LIST_BUN_SORT_KENSU),3)</definedName>
    <definedName name="UNJC0030_IF_LIST_BUN_SORT_CODE">OFFSET(UNJC0030_IF_LIST_BUN_SORT_START,,,IF(UNJC0030_IF_LIST_BUN_SORT_KENSU=0,1,UNJC0030_IF_LIST_BUN_SORT_KENSU),1)</definedName>
    <definedName name="UNJC0030_IF_LIST_BUN_SORT_KENSU">UNJC0030_IF!$KA$4</definedName>
    <definedName name="UNJC0030_IF_LIST_BUN_SORT_MEI">OFFSET(UNJC0030_IF_LIST_BUN_SORT_MEI_START,,,IF(UNJC0030_IF_LIST_BUN_SORT_KENSU=0,1,UNJC0030_IF_LIST_BUN_SORT_KENSU),1)</definedName>
    <definedName name="UNJC0030_IF_LIST_BUN_SORT_MEI_START">UNJC0030_IF!$KB$10</definedName>
    <definedName name="UNJC0030_IF_LIST_BUN_SORT_SEQ">OFFSET(UNJC0030_IF_LIST_BUN_SORT_SEQ_START,,,IF(UNJC0030_IF_LIST_BUN_SORT_KENSU=0,1,UNJC0030_IF_LIST_BUN_SORT_KENSU),1)</definedName>
    <definedName name="UNJC0030_IF_LIST_BUN_SORT_SEQ_START">UNJC0030_IF!$KA$10</definedName>
    <definedName name="UNJC0030_IF_LIST_BUN_SORT_START">UNJC0030_IF!$JZ$10</definedName>
    <definedName name="UNJC0030_IF_LIST_BUNSEKI_KBN">OFFSET(UNJC0030_IF_LIST_BUNSEKI_KBN_START,,,IF(UNJC0030_IF_LIST_BUNSEKI_KBN_KENSU=0,1,UNJC0030_IF_LIST_BUNSEKI_KBN_KENSU),1)</definedName>
    <definedName name="UNJC0030_IF_LIST_BUNSEKI_KBN_KENSU">UNJC0030_IF!$JL$4</definedName>
    <definedName name="UNJC0030_IF_LIST_BUNSEKI_KBN_START">UNJC0030_IF!$JK$7</definedName>
    <definedName name="UNJC0030_IF_LIST_BUNSEKIHOHO">OFFSET(UNJC0030_IF_LIST_BUNSEKIHOHO_START,,,IF(UNJC0030_IF_LIST_BUNSEKIHOHO_KENSU=0,1,UNJC0030_IF_LIST_BUNSEKIHOHO_KENSU),1)</definedName>
    <definedName name="UNJC0030_IF_LIST_BUNSEKIHOHO_KENSU">UNJC0030_IF!$JX$4</definedName>
    <definedName name="UNJC0030_IF_LIST_BUNSEKIHOHO_START">UNJC0030_IF!$JW$7</definedName>
    <definedName name="UNJC0030_IF_LIST_DEFAULT_FLG">OFFSET(UNJC0030_IF_LIST_DEFAULT_FLG_START,,,IF(UNJC0030_IF_LIST_BUN_SORT_KENSU=0,1,UNJC0030_IF_LIST_BUN_SORT_KENSU),1)</definedName>
    <definedName name="UNJC0030_IF_LIST_DEFAULT_FLG_START">UNJC0030_IF!$KC$10</definedName>
    <definedName name="UNJC0030_IF_LIST_DEMPYO_HAKKO_KBN">OFFSET(UNJC0030_IF_LIST_DEMPYO_HAKKO_KBN_START,,,IF(UNJC0030_IF_LIST_DEMPYO_HAKKO_KBN_KENSU=0,1,UNJC0030_IF_LIST_DEMPYO_HAKKO_KBN_KENSU),1)</definedName>
    <definedName name="UNJC0030_IF_LIST_DEMPYO_HAKKO_KBN_KENSU">UNJC0030_IF!$JO$4</definedName>
    <definedName name="UNJC0030_IF_LIST_DEMPYO_HAKKO_KBN_START">UNJC0030_IF!$JN$7</definedName>
    <definedName name="UNJC0030_IF_LIST_HOKOKU_GAISO_KBN">OFFSET(UNJC0030_IF_LIST_HOKOKU_GAISO_KBN_START,,,IF(UNJC0030_IF_LIST_HOKOKU_GAISO_KBN_KENSU=0,1,UNJC0030_IF_LIST_HOKOKU_GAISO_KBN_KENSU),1)</definedName>
    <definedName name="UNJC0030_IF_LIST_HOKOKU_GAISO_KBN_KENSU">UNJC0030_IF!$IZ$4</definedName>
    <definedName name="UNJC0030_IF_LIST_HOKOKU_GAISO_KBN_START">UNJC0030_IF!$IY$7</definedName>
    <definedName name="UNJC0030_IF_LIST_HOKOKU_HOHO_KBN">OFFSET(UNJC0030_IF_LIST_HOKOKU_HOHO_KBN_START,,,IF(UNJC0030_IF_LIST_HOKOKU_HOHO_KBN_KENSU=0,1,UNJC0030_IF_LIST_HOKOKU_HOHO_KBN_KENSU),1)</definedName>
    <definedName name="UNJC0030_IF_LIST_HOKOKU_HOHO_KBN_KENSU">UNJC0030_IF!$JC$4</definedName>
    <definedName name="UNJC0030_IF_LIST_HOKOKU_HOHO_KBN_START">UNJC0030_IF!$JB$7</definedName>
    <definedName name="UNJC0030_IF_LIST_HOKOKUSHO_KEISHIKI_KBN">OFFSET(UNJC0030_IF_LIST_HOKOKUSHO_KEISHIKI_KBN_START,,,IF(UNJC0030_IF_LIST_HOKOKUSHO_KEISHIKI_KBN_KENSU=0,1,UNJC0030_IF_LIST_HOKOKUSHO_KEISHIKI_KBN_KENSU),1)</definedName>
    <definedName name="UNJC0030_IF_LIST_HOKOKUSHO_KEISHIKI_KBN_KENSU">UNJC0030_IF!$JR$4</definedName>
    <definedName name="UNJC0030_IF_LIST_HOKOKUSHO_KEISHIKI_KBN_START">UNJC0030_IF!$JQ$7</definedName>
    <definedName name="UNJC0030_IF_LIST_SAISHU_HOHO">OFFSET(UNJC0030_IF_LIST_SAISHU_HOHO_START,,,IF(UNJC0030_IF_LIST_SAISHU_HOHO_KENSU=0,1,UNJC0030_IF_LIST_SAISHU_HOHO_KENSU),1)</definedName>
    <definedName name="UNJC0030_IF_LIST_SAISHU_HOHO_KENSU">UNJC0030_IF!$JF$4</definedName>
    <definedName name="UNJC0030_IF_LIST_SAISHU_HOHO_START">UNJC0030_IF!$JE$7</definedName>
    <definedName name="UNJC0030_IF_LIST_SOKUHO_KBN">OFFSET(UNJC0030_IF_LIST_SOKUHO_KBN_START,,,IF(UNJC0030_IF_LIST_SOKUHO_KBN_KENSU=0,1,UNJC0030_IF_LIST_SOKUHO_KBN_KENSU),1)</definedName>
    <definedName name="UNJC0030_IF_LIST_SOKUHO_KBN_KENSU">UNJC0030_IF!$JU$4</definedName>
    <definedName name="UNJC0030_IF_LIST_SOKUHO_KBN_START">UNJC0030_IF!$JT$7</definedName>
    <definedName name="UNJC0030_IF_LIST_YOKI_HENKYAKU">OFFSET(UNJC0030_IF_LIST_YOKI_HENKYAKU_START,,,IF(UNJC0030_IF_LIST_YOKI_HENKYAKU_KENSU=0,1,UNJC0030_IF_LIST_YOKI_HENKYAKU_KENSU),1)</definedName>
    <definedName name="UNJC0030_IF_LIST_YOKI_HENKYAKU_KENSU">UNJC0030_IF!$JI$4</definedName>
    <definedName name="UNJC0030_IF_LIST_YOKI_HENKYAKU_START">UNJC0030_IF!$JH$7</definedName>
    <definedName name="UNJC0030_IF_MODE">UNJC0030_IF!$F$13</definedName>
    <definedName name="UNJC0030_IF_MULTI_SELECT_CHECK">UNJC0030_IF!$HU$6</definedName>
    <definedName name="UNJC0030_IF_MULTI_SELECT_COPY_MOTO">UNJC0030_IF!$HU$12</definedName>
    <definedName name="UNJC0030_IF_MULTI_SELECT_FLG">UNJC0030_IF!$F$7</definedName>
    <definedName name="UNJC0030_IF_MULTI_SELECT_GYO_INCREMENT">UNJC0030_IF!$HU$7</definedName>
    <definedName name="UNJC0030_IF_MULTI_SELECT_GYO_SUSHIKI_COPY_SAKI">UNJC0030_IF!$HU$10</definedName>
    <definedName name="UNJC0030_IF_MULTI_SELECT_KENSU">UNJC0030_IF!$HU$3</definedName>
    <definedName name="UNJC0030_IF_MULTI_SELECT_LIST_GYO">UNJC0030_IF!$HY$3</definedName>
    <definedName name="UNJC0030_IF_MULTI_SELECT_SHOSHIKI_COPY_SAKI">UNJC0030_IF!$HU$9</definedName>
    <definedName name="UNJC0030_IF_MULTI_SELECT_TENKAI_KENSU">UNJC0030_IF!$HU$5</definedName>
    <definedName name="UNJC0030_IF_MULTI_SELECT_TENKAI_START">UNJC0030_IF!$HY$4</definedName>
    <definedName name="UNJC0030_IF_SANSHO_B_COPY_MOTO">UNJC0030_IF!$FY$43:$GU$54</definedName>
    <definedName name="UNJC0030_IF_SANSHO_FLG">UNJC0030_IF!$F$14</definedName>
    <definedName name="UNJC0030_IF_SANSHO_H_COPY_MOTO">UNJC0030_IF!$ET$44:$FR$84</definedName>
    <definedName name="UNJC0030_IF_SANSHO_LIST_COPY_MOTO">UNJC0030_IF!$GX$43:$HO$43</definedName>
    <definedName name="UNJC0030_IF_SAVE_CHECK_ERROR_KOMOKU">UNJC0030_IF!$R$30</definedName>
    <definedName name="UNJC0030_IF_SAVE_CHECK_RESULT">UNJC0030_IF!$Q$30</definedName>
    <definedName name="UNJC0030_IF_SAVE_CHECK_START">UNJC0030_IF!$DO$5</definedName>
    <definedName name="UNJC0030_IF_SAVE_COPY_MOTO">UNJC0030_IF!$W$2:$EN$2</definedName>
    <definedName name="UNJC0030_IF_SAVE_COPY_SAKI">UNJC0030_IF!$M$16</definedName>
    <definedName name="UNJC0030_IF_SAVE_COPY_START">UNJC0030_IF!$W$5</definedName>
    <definedName name="UNJC0030_IF_SAVE_ERROR_CHECK">UNJC0030_IF!$M$24</definedName>
    <definedName name="UNJC0030_IF_SAVE_ERROR_MESSAGE">UNJC0030_IF!$M$25</definedName>
    <definedName name="UNJC0030_IF_SAVE_KENSU">UNJC0030_IF!$M$17</definedName>
    <definedName name="UNJC0030_IF_SAVE_LIST_W_USER_ID">UNJC0030_IF!$W$4</definedName>
    <definedName name="UNJC0030_IF_SAVE_RESULT_CD">UNJC0030_IF!$M$22</definedName>
    <definedName name="UNJC0030_IF_SAVE_RESULT_JURI_NO">UNJC0030_IF!$M$21</definedName>
    <definedName name="UNJC0030_IF_SAVE_RESULT_MESSAGE">UNJC0030_IF!$M$23</definedName>
    <definedName name="UNJC0030_IF_SHINKI_B_COPY_MOTO">UNJC0030_IF!$FY$1:$GU$12</definedName>
    <definedName name="UNJC0030_IF_SHINKI_FLG_COPY_MOTO">UNJC0030_IF!$FV$1:$FV$17</definedName>
    <definedName name="UNJC0030_IF_SHINKI_H_COPY_MOTO">UNJC0030_IF!$ET$1:$FR$41</definedName>
    <definedName name="UNJC0030_IF_SHINKI_LIST_COPY_MOTO">UNJC0030_IF!$GX$1:$HO$1</definedName>
    <definedName name="UNJC0030_IF_SHUSEI_B_COPY_MOTO">UNJC0030_IF!$FY$86:$GU$97</definedName>
    <definedName name="UNJC0030_IF_SHUSEI_H_COPY_MOTO">UNJC0030_IF!$ET$88:$FR$128</definedName>
    <definedName name="UNJC0030_IF_SHUSEI_LIST_COPY_MOTO">UNJC0030_IF!$GX$86:$HO$86</definedName>
    <definedName name="UNJC0030_IF_TANTO_DAY">UNJC0030_IF!$F$27</definedName>
    <definedName name="UNJC0030_IF_W_MODE">UNJC0030_IF!$M$7</definedName>
    <definedName name="UNJC0030_IF_W_SERIAL">UNJC0030_IF!$M$5</definedName>
    <definedName name="UNJC0030_IF_W_SERIAL_CREATE">UNJC0030_IF!$M$6</definedName>
    <definedName name="UNJC0030_IF_W_USER_ID">UNJC0030_IF!$M$4</definedName>
    <definedName name="UNJC0030_LABEL_COPY_START">UNJC0030_LABEL!$A$1</definedName>
    <definedName name="UNJC0030_LABEL_IF_COPY_MOTO_GYO">UNJC0030_LABEL_IF!$T$21</definedName>
    <definedName name="UNJC0030_LABEL_IF_DATA_COUNT">UNJC0030_LABEL_IF!$T$19</definedName>
    <definedName name="UNJC0030_LABEL_IF_DATA_START">UNJC0030_LABEL_IF!$Y$20</definedName>
    <definedName name="UNJC0030_LABEL_IF_LABEL_COPY_MOTO">UNJC0030_LABEL_IF!$A$2:$O$14</definedName>
    <definedName name="UNJC0030_LABEL_IF_LIST_ATENA">UNJC0030_LABEL_IF!$AC$19</definedName>
    <definedName name="UNJC0030_LABEL_IF_LIST_EDA_NO">UNJC0030_LABEL_IF!$Z$19</definedName>
    <definedName name="UNJC0030_LABEL_IF_LIST_EIGYO_TANTO_MEI">UNJC0030_LABEL_IF!$AL$19</definedName>
    <definedName name="UNJC0030_LABEL_IF_LIST_HENKYAKU">UNJC0030_LABEL_IF!$AI$19</definedName>
    <definedName name="UNJC0030_LABEL_IF_LIST_HOHO">UNJC0030_LABEL_IF!$AJ$19</definedName>
    <definedName name="UNJC0030_LABEL_IF_LIST_JURI_NO">UNJC0030_LABEL_IF!$Y$19</definedName>
    <definedName name="UNJC0030_LABEL_IF_LIST_KANSEI_DATE">UNJC0030_LABEL_IF!$AG$19</definedName>
    <definedName name="UNJC0030_LABEL_IF_LIST_NYURYOKU_DATETIME">UNJC0030_LABEL_IF!$AA$19</definedName>
    <definedName name="UNJC0030_LABEL_IF_LIST_SEIKYU_BUSHO">UNJC0030_LABEL_IF!$AE$19</definedName>
    <definedName name="UNJC0030_LABEL_IF_LIST_SEIKYU_MEI">UNJC0030_LABEL_IF!$AD$19</definedName>
    <definedName name="UNJC0030_LABEL_IF_LIST_SEIKYU_TANTO">UNJC0030_LABEL_IF!$AF$19</definedName>
    <definedName name="UNJC0030_LABEL_IF_LIST_SHIRYO_MEI">UNJC0030_LABEL_IF!$AK$19</definedName>
    <definedName name="UNJC0030_LABEL_IF_LIST_SHIRYO_SHURUI_MEI">UNJC0030_LABEL_IF!$AB$19</definedName>
    <definedName name="UNJC0030_LABEL_IF_LIST_TANTO_KANRYO_DATE">UNJC0030_LABEL_IF!$AH$19</definedName>
    <definedName name="UNJC0030_LABEL_IF_PRINT_AREA">UNJC0030_LABEL_IF!$T$22</definedName>
    <definedName name="UNJC0030_LABEL_IF_PRINTER">UNJC0030_LABEL_IF!$T$23</definedName>
    <definedName name="UNJC0030_REPORT_CLEAR_AREA">UNJC0030_REPORT!$AM$3</definedName>
    <definedName name="UNJC0030_REPORT_EDA_START">UNJC0030_REPORT!$B$53</definedName>
    <definedName name="UNJC0030_REPORT_H_AREA">UNJC0030_REPORT!$A$1:$AI$52</definedName>
    <definedName name="UNJC0030_REPORT_H_COPY_SAKI">UNJC0030_REPORT!$B$6:$AH$52</definedName>
    <definedName name="UNJC0030_REPORT_H_SHIRYO_AREA">UNJC0030_REPORT!$AJ$17:$AJ$22</definedName>
    <definedName name="UNJC0030_REPORT_IF_B_BUNSEKI_GUN_CD">UNJC0030_REPORT_IF!$GQ$2</definedName>
    <definedName name="UNJC0030_REPORT_IF_B_BUNSEKI_GUN_MEI">UNJC0030_REPORT_IF!$GR$2</definedName>
    <definedName name="UNJC0030_REPORT_IF_B_COPY_MOTO">UNJC0030_REPORT_IF!$E$54:$AK$67</definedName>
    <definedName name="UNJC0030_REPORT_IF_B_DATA_START">UNJC0030_REPORT_IF!$GB$3</definedName>
    <definedName name="UNJC0030_REPORT_IF_B_EBIKO">UNJC0030_REPORT_IF!$GS$2</definedName>
    <definedName name="UNJC0030_REPORT_IF_B_EDA">UNJC0030_REPORT_IF!$H$54</definedName>
    <definedName name="UNJC0030_REPORT_IF_B_IKKATSU_M">UNJC0030_REPORT_IF!$GO$2</definedName>
    <definedName name="UNJC0030_REPORT_IF_B_IKKATSU_N">UNJC0030_REPORT_IF!$GP$2</definedName>
    <definedName name="UNJC0030_REPORT_IF_B_JURI_EDA_NO">UNJC0030_REPORT_IF!$GC$2</definedName>
    <definedName name="UNJC0030_REPORT_IF_B_JURI_NO">UNJC0030_REPORT_IF!$GB$2</definedName>
    <definedName name="UNJC0030_REPORT_IF_B_KION">UNJC0030_REPORT_IF!$GI$2</definedName>
    <definedName name="UNJC0030_REPORT_IF_B_SAISHU_BASHO">UNJC0030_REPORT_IF!$GG$2</definedName>
    <definedName name="UNJC0030_REPORT_IF_B_SAISHU_DATE">UNJC0030_REPORT_IF!$GK$2</definedName>
    <definedName name="UNJC0030_REPORT_IF_B_SAISHU_HOHO">UNJC0030_REPORT_IF!$GF$2</definedName>
    <definedName name="UNJC0030_REPORT_IF_B_SAISHU_KAISHA_MEI">UNJC0030_REPORT_IF!$GD$2</definedName>
    <definedName name="UNJC0030_REPORT_IF_B_SAISHU_SHA">UNJC0030_REPORT_IF!$GE$2</definedName>
    <definedName name="UNJC0030_REPORT_IF_B_SAISHU_TIME">UNJC0030_REPORT_IF!$GL$2</definedName>
    <definedName name="UNJC0030_REPORT_IF_B_SHIRYO_AREA">UNJC0030_REPORT_IF!$B$55:$B$59</definedName>
    <definedName name="UNJC0030_REPORT_IF_B_SHIRYO_MEI">UNJC0030_REPORT_IF!$GN$2</definedName>
    <definedName name="UNJC0030_REPORT_IF_B_SHIRYO_SHURUI_MEI">UNJC0030_REPORT_IF!$GM$2</definedName>
    <definedName name="UNJC0030_REPORT_IF_B_SUION">UNJC0030_REPORT_IF!$GJ$2</definedName>
    <definedName name="UNJC0030_REPORT_IF_B_TENKO">UNJC0030_REPORT_IF!$GH$2</definedName>
    <definedName name="UNJC0030_REPORT_IF_EDA_CNT">UNJC0030_REPORT_IF!$CA$11</definedName>
    <definedName name="UNJC0030_REPORT_IF_EDA_SHOSAI_CNT">UNJC0030_REPORT_IF!$CA$14</definedName>
    <definedName name="UNJC0030_REPORT_IF_H_ADDRESS_1">UNJC0030_REPORT_IF!$EU$3</definedName>
    <definedName name="UNJC0030_REPORT_IF_H_ADDRESS_2">UNJC0030_REPORT_IF!$FG$3</definedName>
    <definedName name="UNJC0030_REPORT_IF_H_ADDRESS_3">UNJC0030_REPORT_IF!$FS$3</definedName>
    <definedName name="UNJC0030_REPORT_IF_H_ATENA">UNJC0030_REPORT_IF!$CT$3</definedName>
    <definedName name="UNJC0030_REPORT_IF_H_ATENA_CD">UNJC0030_REPORT_IF!$CS$3</definedName>
    <definedName name="UNJC0030_REPORT_IF_H_BIKO">UNJC0030_REPORT_IF!$EI$3</definedName>
    <definedName name="UNJC0030_REPORT_IF_H_BUNSEKI_HOHO">UNJC0030_REPORT_IF!$CW$3</definedName>
    <definedName name="UNJC0030_REPORT_IF_H_BUNSEKI_STS">UNJC0030_REPORT_IF!$CI$3</definedName>
    <definedName name="UNJC0030_REPORT_IF_H_BUNSEKI_STS_MEI">UNJC0030_REPORT_IF!$CJ$3</definedName>
    <definedName name="UNJC0030_REPORT_IF_H_BUSHO_1">UNJC0030_REPORT_IF!$EO$3</definedName>
    <definedName name="UNJC0030_REPORT_IF_H_BUSHO_2">UNJC0030_REPORT_IF!$FA$3</definedName>
    <definedName name="UNJC0030_REPORT_IF_H_BUSHO_3">UNJC0030_REPORT_IF!$FM$3</definedName>
    <definedName name="UNJC0030_REPORT_IF_H_BUSHO_CD">UNJC0030_REPORT_IF!$CM$3</definedName>
    <definedName name="UNJC0030_REPORT_IF_H_BUSHO_MEI">UNJC0030_REPORT_IF!$CN$3</definedName>
    <definedName name="UNJC0030_REPORT_IF_H_BUSU">UNJC0030_REPORT_IF!$EB$3</definedName>
    <definedName name="UNJC0030_REPORT_IF_H_CHUKAN_DATE_1">UNJC0030_REPORT_IF!$EC$3</definedName>
    <definedName name="UNJC0030_REPORT_IF_H_CHUKAN_DATE_2">UNJC0030_REPORT_IF!$EE$3</definedName>
    <definedName name="UNJC0030_REPORT_IF_H_CHUKAN_DATE_3">UNJC0030_REPORT_IF!$EG$3</definedName>
    <definedName name="UNJC0030_REPORT_IF_H_CHUKAN_NAIYO_1">UNJC0030_REPORT_IF!$ED$3</definedName>
    <definedName name="UNJC0030_REPORT_IF_H_CHUKAN_NAIYO_2">UNJC0030_REPORT_IF!$EF$3</definedName>
    <definedName name="UNJC0030_REPORT_IF_H_CHUKAN_NAIYO_3">UNJC0030_REPORT_IF!$EH$3</definedName>
    <definedName name="UNJC0030_REPORT_IF_H_CHUKAN_SOFU_FLG_1">UNJC0030_REPORT_IF!$EV$3</definedName>
    <definedName name="UNJC0030_REPORT_IF_H_CHUKAN_SOFU_FLG_2">UNJC0030_REPORT_IF!$FH$3</definedName>
    <definedName name="UNJC0030_REPORT_IF_H_CHUKAN_SOFU_FLG_3">UNJC0030_REPORT_IF!$FT$3</definedName>
    <definedName name="UNJC0030_REPORT_IF_H_DEMPYO_HAKKO_KBN">UNJC0030_REPORT_IF!$FW$3</definedName>
    <definedName name="UNJC0030_REPORT_IF_H_EDA_SHIRYO_FLG">UNJC0030_REPORT_IF!$DM$3</definedName>
    <definedName name="UNJC0030_REPORT_IF_H_EIGYO_TANTO_CD">UNJC0030_REPORT_IF!$DA$3</definedName>
    <definedName name="UNJC0030_REPORT_IF_H_EIGYO_TANTO_MEI">UNJC0030_REPORT_IF!$DB$3</definedName>
    <definedName name="UNJC0030_REPORT_IF_H_FAX_1">UNJC0030_REPORT_IF!$ER$3</definedName>
    <definedName name="UNJC0030_REPORT_IF_H_FAX_2">UNJC0030_REPORT_IF!$FD$3</definedName>
    <definedName name="UNJC0030_REPORT_IF_H_FAX_3">UNJC0030_REPORT_IF!$FP$3</definedName>
    <definedName name="UNJC0030_REPORT_IF_H_FUYO_FLG">UNJC0030_REPORT_IF!$EJ$3</definedName>
    <definedName name="UNJC0030_REPORT_IF_H_GAISO_KBN_MEI">UNJC0030_REPORT_IF!$DX$3</definedName>
    <definedName name="UNJC0030_REPORT_IF_H_HAKKO_DATE">UNJC0030_REPORT_IF!$DH$3</definedName>
    <definedName name="UNJC0030_REPORT_IF_H_HENKO_FLG">UNJC0030_REPORT_IF!$EL$3</definedName>
    <definedName name="UNJC0030_REPORT_IF_H_HENKYAKU">UNJC0030_REPORT_IF!$DZ$3</definedName>
    <definedName name="UNJC0030_REPORT_IF_H_HOKOKU_CD_1">UNJC0030_REPORT_IF!$EM$3</definedName>
    <definedName name="UNJC0030_REPORT_IF_H_HOKOKU_CD_2">UNJC0030_REPORT_IF!$EY$3</definedName>
    <definedName name="UNJC0030_REPORT_IF_H_HOKOKU_CD_3">UNJC0030_REPORT_IF!$FK$3</definedName>
    <definedName name="UNJC0030_REPORT_IF_H_HOKOKU_HOHO_MEI">UNJC0030_REPORT_IF!$EA$3</definedName>
    <definedName name="UNJC0030_REPORT_IF_H_HOKOKU_MEI_1">UNJC0030_REPORT_IF!$EN$3</definedName>
    <definedName name="UNJC0030_REPORT_IF_H_HOKOKU_MEI_2">UNJC0030_REPORT_IF!$EZ$3</definedName>
    <definedName name="UNJC0030_REPORT_IF_H_HOKOKU_MEI_3">UNJC0030_REPORT_IF!$FL$3</definedName>
    <definedName name="UNJC0030_REPORT_IF_H_HOKOKUSHO_SOFU_FLG_1">UNJC0030_REPORT_IF!$EX$3</definedName>
    <definedName name="UNJC0030_REPORT_IF_H_HOKOKUSHO_SOFU_FLG_2">UNJC0030_REPORT_IF!$FJ$3</definedName>
    <definedName name="UNJC0030_REPORT_IF_H_HOKOKUSHO_SOFU_FLG_3">UNJC0030_REPORT_IF!$FV$3</definedName>
    <definedName name="UNJC0030_REPORT_IF_H_IRAI_DATE">UNJC0030_REPORT_IF!$DC$3</definedName>
    <definedName name="UNJC0030_REPORT_IF_H_JUCHU_KBN_MEI">UNJC0030_REPORT_IF!$CK$3</definedName>
    <definedName name="UNJC0030_REPORT_IF_H_JURI_NO">UNJC0030_REPORT_IF!$CH$3</definedName>
    <definedName name="UNJC0030_REPORT_IF_H_KANRYO_DATE">UNJC0030_REPORT_IF!$DD$3</definedName>
    <definedName name="UNJC0030_REPORT_IF_H_KANSEI_DATE">UNJC0030_REPORT_IF!$DE$3</definedName>
    <definedName name="UNJC0030_REPORT_IF_H_KEISHIKI_KBN_MEI">UNJC0030_REPORT_IF!$CX$3</definedName>
    <definedName name="UNJC0030_REPORT_IF_H_KENMEI">UNJC0030_REPORT_IF!$DJ$3</definedName>
    <definedName name="UNJC0030_REPORT_IF_H_KION">UNJC0030_REPORT_IF!$DS$3</definedName>
    <definedName name="UNJC0030_REPORT_IF_H_KISAI_JIKO">UNJC0030_REPORT_IF!$DL$3</definedName>
    <definedName name="UNJC0030_REPORT_IF_H_KOSU">UNJC0030_REPORT_IF!$CZ$3</definedName>
    <definedName name="UNJC0030_REPORT_IF_H_MAIL_1">UNJC0030_REPORT_IF!$ES$3</definedName>
    <definedName name="UNJC0030_REPORT_IF_H_MAIL_2">UNJC0030_REPORT_IF!$FE$3</definedName>
    <definedName name="UNJC0030_REPORT_IF_H_MAIL_3">UNJC0030_REPORT_IF!$FQ$3</definedName>
    <definedName name="UNJC0030_REPORT_IF_H_MITSU_NO">UNJC0030_REPORT_IF!$CR$3</definedName>
    <definedName name="UNJC0030_REPORT_IF_H_MOKUTEKI">UNJC0030_REPORT_IF!$DK$3</definedName>
    <definedName name="UNJC0030_REPORT_IF_H_NEW_FLG">UNJC0030_REPORT_IF!$EK$3</definedName>
    <definedName name="UNJC0030_REPORT_IF_H_NOHIN_DATE">UNJC0030_REPORT_IF!$DI$3</definedName>
    <definedName name="UNJC0030_REPORT_IF_H_NOHIN_HOHO">UNJC0030_REPORT_IF!$CY$3</definedName>
    <definedName name="UNJC0030_REPORT_IF_H_NYURYOKU_DATETIME">UNJC0030_REPORT_IF!$CL$3</definedName>
    <definedName name="UNJC0030_REPORT_IF_H_NYURYOKUSHA_CD">UNJC0030_REPORT_IF!$CO$3</definedName>
    <definedName name="UNJC0030_REPORT_IF_H_NYURYOKUSHA_MEI">UNJC0030_REPORT_IF!$CP$3</definedName>
    <definedName name="UNJC0030_REPORT_IF_H_REF_JURI_NO">UNJC0030_REPORT_IF!$CQ$3</definedName>
    <definedName name="UNJC0030_REPORT_IF_H_SAISHU_BASHO">UNJC0030_REPORT_IF!$DQ$3</definedName>
    <definedName name="UNJC0030_REPORT_IF_H_SAISHU_DATE">UNJC0030_REPORT_IF!$DU$3</definedName>
    <definedName name="UNJC0030_REPORT_IF_H_SAISHU_HOHO">UNJC0030_REPORT_IF!$DP$3</definedName>
    <definedName name="UNJC0030_REPORT_IF_H_SAISHU_KAISHA_MEI">UNJC0030_REPORT_IF!$DN$3</definedName>
    <definedName name="UNJC0030_REPORT_IF_H_SAISHU_SHA">UNJC0030_REPORT_IF!$DO$3</definedName>
    <definedName name="UNJC0030_REPORT_IF_H_SAISHU_TIME">UNJC0030_REPORT_IF!$DV$3</definedName>
    <definedName name="UNJC0030_REPORT_IF_H_SEIKYU_CD">UNJC0030_REPORT_IF!$CU$3</definedName>
    <definedName name="UNJC0030_REPORT_IF_H_SEIKYU_MEI">UNJC0030_REPORT_IF!$CV$3</definedName>
    <definedName name="UNJC0030_REPORT_IF_H_SHOKEN_FLG">UNJC0030_REPORT_IF!$DW$3</definedName>
    <definedName name="UNJC0030_REPORT_IF_H_SOKUHO_KBN">UNJC0030_REPORT_IF!$DF$3</definedName>
    <definedName name="UNJC0030_REPORT_IF_H_SOKUHO_KBN_MEI">UNJC0030_REPORT_IF!$DG$3</definedName>
    <definedName name="UNJC0030_REPORT_IF_H_SOKUHO_SOFU_FLG_1">UNJC0030_REPORT_IF!$EW$3</definedName>
    <definedName name="UNJC0030_REPORT_IF_H_SOKUHO_SOFU_FLG_2">UNJC0030_REPORT_IF!$FI$3</definedName>
    <definedName name="UNJC0030_REPORT_IF_H_SOKUHO_SOFU_FLG_3">UNJC0030_REPORT_IF!$FU$3</definedName>
    <definedName name="UNJC0030_REPORT_IF_H_SUION">UNJC0030_REPORT_IF!$DT$3</definedName>
    <definedName name="UNJC0030_REPORT_IF_H_TANTO_1">UNJC0030_REPORT_IF!$EP$3</definedName>
    <definedName name="UNJC0030_REPORT_IF_H_TANTO_2">UNJC0030_REPORT_IF!$FB$3</definedName>
    <definedName name="UNJC0030_REPORT_IF_H_TANTO_3">UNJC0030_REPORT_IF!$FN$3</definedName>
    <definedName name="UNJC0030_REPORT_IF_H_TEL_1">UNJC0030_REPORT_IF!$EQ$3</definedName>
    <definedName name="UNJC0030_REPORT_IF_H_TEL_2">UNJC0030_REPORT_IF!$FC$3</definedName>
    <definedName name="UNJC0030_REPORT_IF_H_TEL_3">UNJC0030_REPORT_IF!$FO$3</definedName>
    <definedName name="UNJC0030_REPORT_IF_H_TENKO">UNJC0030_REPORT_IF!$DR$3</definedName>
    <definedName name="UNJC0030_REPORT_IF_H_YOKI">UNJC0030_REPORT_IF!$DY$3</definedName>
    <definedName name="UNJC0030_REPORT_IF_H_YUBIN_NO_1">UNJC0030_REPORT_IF!$ET$3</definedName>
    <definedName name="UNJC0030_REPORT_IF_H_YUBIN_NO_2">UNJC0030_REPORT_IF!$FF$3</definedName>
    <definedName name="UNJC0030_REPORT_IF_H_YUBIN_NO_3">UNJC0030_REPORT_IF!$FR$3</definedName>
    <definedName name="UNJC0030_REPORT_IF_JUCHU_CNT">UNJC0030_REPORT_IF!$CA$3</definedName>
    <definedName name="UNJC0030_REPORT_IF_JURI_NO_START">UNJC0030_REPORT_IF!$CE$3</definedName>
    <definedName name="UNJC0030_REPORT_IF_LOAD_JURI_NO">UNJC0030_REPORT_IF!$CA$6</definedName>
    <definedName name="UNJC0030_REPORT_IF_LOOP_CNT">UNJC0030_REPORT_IF!$CA$5</definedName>
    <definedName name="UNJC0030_REPORT_IF_SHOSAI_BUNSEKI_CD">UNJC0030_REPORT_IF!$GY$2</definedName>
    <definedName name="UNJC0030_REPORT_IF_SHOSAI_BUNSEKI_DATA">UNJC0030_REPORT_IF!$HB$2</definedName>
    <definedName name="UNJC0030_REPORT_IF_SHOSAI_BUNSEKI_MEI">UNJC0030_REPORT_IF!$GZ$2</definedName>
    <definedName name="UNJC0030_REPORT_IF_SHOSAI_BUNSEKI_NO">UNJC0030_REPORT_IF!$HC$2</definedName>
    <definedName name="UNJC0030_REPORT_IF_SHOSAI_BUNSEKI_TANI">UNJC0030_REPORT_IF!$HA$2</definedName>
    <definedName name="UNJC0030_REPORT_IF_SHOSAI_CNT">UNJC0030_REPORT_IF!$CA$12</definedName>
    <definedName name="UNJC0030_REPORT_IF_SHOSAI_COPY_MOTO">UNJC0030_REPORT_IF!$AO$3:$BU$3</definedName>
    <definedName name="UNJC0030_REPORT_IF_SHOSAI_COPY_START">UNJC0030_REPORT_IF!$E$68</definedName>
    <definedName name="UNJC0030_REPORT_IF_SHOSAI_DATA_START">UNJC0030_REPORT_IF!$GX$3</definedName>
    <definedName name="UNJC0030_REPORT_IF_SHOSAI_GYO_NO">UNJC0030_REPORT_IF!$GX$2</definedName>
    <definedName name="UNJC0030_REPORT_IF_SHOSAI_JURI_EDA_NO">UNJC0030_REPORT_IF!$HF$2</definedName>
    <definedName name="UNJC0030_REPORT_IF_SHOSAI_JURI_NO">UNJC0030_REPORT_IF!$HE$2</definedName>
    <definedName name="UNJC0030_REPORT_IF_SHOSAI_SEQ">UNJC0030_REPORT_IF!$HD$2</definedName>
    <definedName name="UNJC0030_REPORT_IF_SHOSAI_URAGAKI_PRINT_FLG">UNJC0030_REPORT_IF!$HG$2</definedName>
    <definedName name="UNJC0030_REPORT_LAST_ROW">UNJC0030_REPORT!$AM$4</definedName>
    <definedName name="UNJC0030_REPORT_PRINT_AREA">UNJC0030_REPORT!$AM$6</definedName>
    <definedName name="UNJC0030_REPORT_SQL_SELECT_BUN_JUCHU_B">UNJC0030_REPORT_SQL!$D$9</definedName>
    <definedName name="UNJC0030_REPORT_SQL_SELECT_BUN_JUCHU_H">UNJC0030_REPORT_SQL!$D$4</definedName>
    <definedName name="UNJC0030_REPORT_SQL_SELECT_BUN_JUCHU_SHOSAI">UNJC0030_REPORT_SQL!$D$14</definedName>
    <definedName name="UNJC0030_SAVE_TEMP_FLG">UNJC0030_IF!$M$9</definedName>
    <definedName name="UNJC0030_SQL_BUN_SORT">UNJC0030_SQL!$D$89</definedName>
    <definedName name="UNJC0030_SQL_DEFAULT_BUNSEKI_KBN">UNJC0030_SQL!$D$104</definedName>
    <definedName name="UNJC0030_SQL_DEFAULT_DEMPYO_HAKKO_KBN">UNJC0030_SQL!$D$103</definedName>
    <definedName name="UNJC0030_SQL_DEFAULT_NYURYOKUSHA">UNJC0030_SQL!$D$102</definedName>
    <definedName name="UNJC0030_SQL_DEFAULT_STS">UNJC0030_SQL!$D$101</definedName>
    <definedName name="UNJC0030_SQL_MEISHO_BUNSEKI_KBN">UNJC0030_SQL!$D$84</definedName>
    <definedName name="UNJC0030_SQL_MEISHO_BUNSEKIHOHO">UNJC0030_SQL!$D$88</definedName>
    <definedName name="UNJC0030_SQL_MEISHO_DEMPYO_HAKKO">UNJC0030_SQL!$D$85</definedName>
    <definedName name="UNJC0030_SQL_MEISHO_HOKOKU_HOHO">UNJC0030_SQL!$D$81</definedName>
    <definedName name="UNJC0030_SQL_MEISHO_HOKOKUSHO_GAISO">UNJC0030_SQL!$D$80</definedName>
    <definedName name="UNJC0030_SQL_MEISHO_HOKOKUSHO_KEISHIKI_KBN">UNJC0030_SQL!$D$86</definedName>
    <definedName name="UNJC0030_SQL_MEISHO_SAISHU_HOHO">UNJC0030_SQL!$D$82</definedName>
    <definedName name="UNJC0030_SQL_MEISHO_SHIRYO_YOKI_HENKYAKU">UNJC0030_SQL!$D$83</definedName>
    <definedName name="UNJC0030_SQL_MEISHO_SOKUHO_KBN">UNJC0030_SQL!$D$87</definedName>
    <definedName name="UNJC0030_SQL_MULTI_SELECT">UNJC0030_SQL!$D$91</definedName>
    <definedName name="UNJC0030_SQL_SELECT_1WORKDAY_AGO">UNJC0030_SQL!$D$75</definedName>
    <definedName name="UNJC0030_SQL_SELECT_BUN_JUCHU_B">UNJC0030_SQL!$D$19</definedName>
    <definedName name="UNJC0030_SQL_SELECT_BUN_JUCHU_H">UNJC0030_SQL!$D$8</definedName>
    <definedName name="UNJC0030_SQL_SELECT_BUN_JUCHU_H_STS_R">UNJC0030_SQL!$D$14</definedName>
    <definedName name="UNJC0030_SQL_SELECT_BUN_JUCHU_SHOSAI">UNJC0030_SQL!$D$28</definedName>
    <definedName name="UNJC0030_SQL_SELECT_BUNSEKI_GUN">UNJC0030_SQL!$D$54</definedName>
    <definedName name="UNJC0030_SQL_SELECT_EXCEL">UNJC0030_SQL!$D$65</definedName>
    <definedName name="UNJC0030_SQL_SELECT_FAX_NO">UNJC0030_SQL!$D$63</definedName>
    <definedName name="UNJC0030_SQL_SELECT_JUMP_EDA">UNJC0030_SQL!$D$93</definedName>
    <definedName name="UNJC0030_SQL_SELECT_LABEL_DATA">UNJC0030_SQL!$D$59</definedName>
    <definedName name="UNJC0030_SQL_SELECT_MAX_EDA">UNJC0030_SQL!$D$44</definedName>
    <definedName name="UNJC0030_SQL_SELECT_NEW_EDA">UNJC0030_SQL!$D$49</definedName>
    <definedName name="UNJC0030_SQL_SELECT_TABLE_UPDATE">UNJC0030_SQL!$D$37</definedName>
    <definedName name="UNJC0030_SQL_STS_SEARCH">UNJC0030_SQL!$D$68</definedName>
    <definedName name="UNJC0040_AFTER_STS">UNJC0040!$H$7</definedName>
    <definedName name="UNJC0040_ALL_PAGE_SU">UNJC0040!$D$8</definedName>
    <definedName name="UNJC0040_ATENA">UNJC0040!$J$5</definedName>
    <definedName name="UNJC0040_BEFORE_STS">UNJC0040!$I$7</definedName>
    <definedName name="UNJC0040_BUNSEKI_KBN">UNJC0040!$J$4</definedName>
    <definedName name="UNJC0040_COPY_SAKI">UNJC0040!$D$12</definedName>
    <definedName name="UNJC0040_CTRL_HYOJI_GYO_SU">UNJC0040!$D$3</definedName>
    <definedName name="UNJC0040_EXIST_NEXT_PAGE">UNJC0040!$D$18</definedName>
    <definedName name="UNJC0040_EXIST_PREV_PAGE">UNJC0040!$D$19</definedName>
    <definedName name="UNJC0040_FORMAT_COPY_FLG">UNJC0040!$D$15</definedName>
    <definedName name="UNJC0040_HIDE_COLUMN">UNJC0040!$D$26</definedName>
    <definedName name="UNJC0040_HIDE_ROW">UNJC0040!$D$25</definedName>
    <definedName name="UNJC0040_HYOJI_KENSU">UNJC0040!$D$9</definedName>
    <definedName name="UNJC0040_IF_JURI_NO">UNJC0040_IF!$D$8</definedName>
    <definedName name="UNJC0040_IF_LIST_COPY_MOTO">UNJC0040_IF!$D$5:$G$5</definedName>
    <definedName name="UNJC0040_IF_LIST_DEFAULT">UNJC0040_IF!$D$4:$G$4</definedName>
    <definedName name="UNJC0040_JURI_NO">UNJC0040!$J$3</definedName>
    <definedName name="UNJC0040_KENMEI">UNJC0040!$J$6</definedName>
    <definedName name="UNJC0040_KENSAKU_KENSU">UNJC0040!$D$6</definedName>
    <definedName name="UNJC0040_LIST_CLEAR">UNJC0040!$D$13</definedName>
    <definedName name="UNJC0040_LIST_START">UNJC0040!$D$11</definedName>
    <definedName name="UNJC0040_NEXT_PAGE_NO">UNJC0040!$D$21</definedName>
    <definedName name="UNJC0040_PAGE_NO">UNJC0040!$D$7</definedName>
    <definedName name="UNJC0040_PREV_PAGE_NO">UNJC0040!$D$22</definedName>
    <definedName name="UNJC0040_SEARCH_JURI_NO">UNJC0040!$L$7</definedName>
    <definedName name="UNJC0040_SQL_INIT_SORT">UNJC0040_SQL!$D$11</definedName>
    <definedName name="UNJC0040_SQL_RESULT_SORT">UNJC0040_SQL!$D$12</definedName>
    <definedName name="UNJC0040_SQL_SELECT_BUN_STS_R_B">UNJC0040_SQL!$D$3</definedName>
    <definedName name="UNJC0040_SQL_SELECT_BUN_STS_R_B_CNT">UNJC0040_SQL!$D$4</definedName>
    <definedName name="UNJC0040_SQL_SELECT_BUN_STS_R_H">UNJC0040_SQL!$D$5</definedName>
    <definedName name="UNJC0040_SQL_SORT">UNJC0040_SQL!$E$9</definedName>
    <definedName name="UNJC0040_UPDATE_DATETIME">UNJC0040!$J$7</definedName>
    <definedName name="UNJC0040_UPDATE_TANTOSHA_MEI">UNJC0040!$K$7</definedName>
    <definedName name="UNJC0040_VIEW_CURRENT_PAGE">UNJC0040!$G$6</definedName>
    <definedName name="UNJC0060_B_ALL_PAGE_SU">UNJC0060_B!$D$30</definedName>
    <definedName name="UNJC0060_B_ATENA">UNJC0060_B!$Y$22</definedName>
    <definedName name="UNJC0060_B_ATENA_CD">UNJC0060_B!$X$22</definedName>
    <definedName name="UNJC0060_B_BUNSEKI_KBN">UNJC0060_B!$L$22</definedName>
    <definedName name="UNJC0060_B_CHUKAN_1">UNJC0060_B!$S$22</definedName>
    <definedName name="UNJC0060_B_CHUKAN_2">UNJC0060_B!$T$22</definedName>
    <definedName name="UNJC0060_B_CHUKAN_3">UNJC0060_B!$U$22</definedName>
    <definedName name="UNJC0060_B_CTRL_HYOJI_GYO_SU">UNJC0060_B!$D$25</definedName>
    <definedName name="UNJC0060_B_EIGYO_TANTO_CD">UNJC0060_B!$AG$22</definedName>
    <definedName name="UNJC0060_B_EIGYO_TANTOSHA_MEI">UNJC0060_B!$O$22</definedName>
    <definedName name="UNJC0060_B_EXIST_NEXT_PAGE">UNJC0060_B!$D$41</definedName>
    <definedName name="UNJC0060_B_EXIST_PREV_PAGE">UNJC0060_B!$D$42</definedName>
    <definedName name="UNJC0060_B_FLG">UNJC0060_B!$I$22</definedName>
    <definedName name="UNJC0060_B_FORMAT_COPY_FLG">UNJC0060_B!$D$38</definedName>
    <definedName name="UNJC0060_B_FREEWD">UNJC0060_B!$AI$22</definedName>
    <definedName name="UNJC0060_B_HIDE_COLUMN">UNJC0060_B!$D$53</definedName>
    <definedName name="UNJC0060_B_HIDE_ROW">UNJC0060_B!$D$52</definedName>
    <definedName name="UNJC0060_B_HOKOKUSHO_KEISHIKI">UNJC0060_B!$N$22</definedName>
    <definedName name="UNJC0060_B_HYOJI_KENSU">UNJC0060_B!$D$31</definedName>
    <definedName name="UNJC0060_B_IRAI_DATE">UNJC0060_B!$R$22</definedName>
    <definedName name="UNJC0060_B_JUCHU_CD">UNJC0060_B!$AE$22</definedName>
    <definedName name="UNJC0060_B_JURI_NO">UNJC0060_B!$M$22</definedName>
    <definedName name="UNJC0060_B_KANSEI_DATE">UNJC0060_B!$V$22</definedName>
    <definedName name="UNJC0060_B_KEISHIKI_CD">UNJC0060_B!$AF$22</definedName>
    <definedName name="UNJC0060_B_KENMEI">UNJC0060_B!$Q$22</definedName>
    <definedName name="UNJC0060_B_KENSAKU_KENSU">UNJC0060_B!$D$28</definedName>
    <definedName name="UNJC0060_B_LIST_CLEAR">UNJC0060_B!$D$36</definedName>
    <definedName name="UNJC0060_B_LIST_START">UNJC0060_B!$D$33</definedName>
    <definedName name="UNJC0060_B_MITSUMORI_NO">UNJC0060_B!$AB$22</definedName>
    <definedName name="UNJC0060_B_NEXT_PAGE_NO">UNJC0060_B!$D$44</definedName>
    <definedName name="UNJC0060_B_NOHIN_DATE">UNJC0060_B!$W$22</definedName>
    <definedName name="UNJC0060_B_NYURYOKU_DATE">UNJC0060_B!$AC$22</definedName>
    <definedName name="UNJC0060_B_NYURYOKU_TANTOSHA_MEI">UNJC0060_B!$P$22</definedName>
    <definedName name="UNJC0060_B_NYURYOKUSHA_CD">UNJC0060_B!$AH$22</definedName>
    <definedName name="UNJC0060_B_PAGE_NO">UNJC0060_B!$D$29</definedName>
    <definedName name="UNJC0060_B_PREV_PAGE_NO">UNJC0060_B!$D$45</definedName>
    <definedName name="UNJC0060_B_ROW">UNJC0060_B!$J$22</definedName>
    <definedName name="UNJC0060_B_SCROLL_LOCK">UNJC0060_B!$D$55</definedName>
    <definedName name="UNJC0060_B_SEIKYUSAKI_CD">UNJC0060_B!$Z$22</definedName>
    <definedName name="UNJC0060_B_SEIKYUSAKI_MEI">UNJC0060_B!$AA$22</definedName>
    <definedName name="UNJC0060_B_SELECT_FLG_COPY_SAKI">UNJC0060_B!$D$34</definedName>
    <definedName name="UNJC0060_B_SENTAKU">UNJC0060_B!$H$22</definedName>
    <definedName name="UNJC0060_B_SHOSIKI_COPY_SAKI">UNJC0060_B!$D$35</definedName>
    <definedName name="UNJC0060_B_STS">UNJC0060_B!$K$22</definedName>
    <definedName name="UNJC0060_B_STS_CD">UNJC0060_B!$AD$22</definedName>
    <definedName name="UNJC0060_B_VIEW_CURRENT_PAGE">UNJC0060_B!$G$21</definedName>
    <definedName name="UNJC0060_H_ATENA">UNJC0060_H!$L$13</definedName>
    <definedName name="UNJC0060_H_ATENA_CD">UNJC0060_H!$H$13</definedName>
    <definedName name="UNJC0060_H_BUNSEKI_HOKAN_STS">UNJC0060_H!$D$11</definedName>
    <definedName name="UNJC0060_H_BUNSEKIKUBUN">UNJC0060_H!$H$11</definedName>
    <definedName name="UNJC0060_H_BUNSEKIKUBUN_KBN">UNJC0060_H!$D$22</definedName>
    <definedName name="UNJC0060_H_CHUDAN_STS">UNJC0060_H!$D$13</definedName>
    <definedName name="UNJC0060_H_CHUKAN_DATE_END">UNJC0060_H!$X$9</definedName>
    <definedName name="UNJC0060_H_CHUKAN_DATE_START">UNJC0060_H!$S$9</definedName>
    <definedName name="UNJC0060_H_CHUKAN_STS">UNJC0060_H!$D$5</definedName>
    <definedName name="UNJC0060_H_CHUSHI_STS">UNJC0060_H!$D$14</definedName>
    <definedName name="UNJC0060_H_EIGYO_STS">UNJC0060_H!$D$9</definedName>
    <definedName name="UNJC0060_H_EIGYO_TANTO_CD">UNJC0060_H!$D$20</definedName>
    <definedName name="UNJC0060_H_EIGYO_TANTOSHA_MEI">UNJC0060_H!$H$8</definedName>
    <definedName name="UNJC0060_H_FORM_UPPER_LEFT">UNJC0060_H!$F$1</definedName>
    <definedName name="UNJC0060_H_FREEWD_1">UNJC0060_H!$H$18</definedName>
    <definedName name="UNJC0060_H_FREEWD_2">UNJC0060_H!$M$18</definedName>
    <definedName name="UNJC0060_H_FREEWD_3">UNJC0060_H!$R$18</definedName>
    <definedName name="UNJC0060_H_FREEWD_KBN">UNJC0060_H!$D$15</definedName>
    <definedName name="UNJC0060_H_GIJUTSU_STS">UNJC0060_H!$D$6</definedName>
    <definedName name="UNJC0060_H_HIDE_COLUMN">UNJC0060_H!$D$28</definedName>
    <definedName name="UNJC0060_H_HIDE_ROW">UNJC0060_H!$D$27</definedName>
    <definedName name="UNJC0060_H_HOKOKU_KEISHIKI">UNJC0060_H!$H$3</definedName>
    <definedName name="UNJC0060_H_HOKOKU_KEISHIKI_CD">UNJC0060_H!$D$21</definedName>
    <definedName name="UNJC0060_H_INIT_HEADER_FLG_COPY_SAKI">UNJC0060_H!$D$3:$D$15</definedName>
    <definedName name="UNJC0060_H_IRAI_DATE_END">UNJC0060_H!$X$8</definedName>
    <definedName name="UNJC0060_H_IRAI_DATE_START">UNJC0060_H!$S$8</definedName>
    <definedName name="UNJC0060_H_JURI_NO">UNJC0060_H!$H$7</definedName>
    <definedName name="UNJC0060_H_KAKUNIN2_STS">UNJC0060_H!$D$7</definedName>
    <definedName name="UNJC0060_H_KAKUTEIMI_STS">UNJC0060_H!$D$3</definedName>
    <definedName name="UNJC0060_H_KANSEI_DATE_END">UNJC0060_H!$X$10</definedName>
    <definedName name="UNJC0060_H_KANSEI_DATE_START">UNJC0060_H!$S$10</definedName>
    <definedName name="UNJC0060_H_MITSUMORI_NO">UNJC0060_H!$H$10</definedName>
    <definedName name="UNJC0060_H_NOHIN_DATE_END">UNJC0060_H!$X$11</definedName>
    <definedName name="UNJC0060_H_NOHIN_DATE_START">UNJC0060_H!$S$11</definedName>
    <definedName name="UNJC0060_H_NOHIN_STS">UNJC0060_H!$D$10</definedName>
    <definedName name="UNJC0060_H_NYURYOKU_DATE_END">UNJC0060_H!$X$7</definedName>
    <definedName name="UNJC0060_H_NYURYOKU_DATE_START">UNJC0060_H!$S$7</definedName>
    <definedName name="UNJC0060_H_NYURYOKUSHA_CD">UNJC0060_H!$D$19</definedName>
    <definedName name="UNJC0060_H_NYURYOKUSHA_MEI">UNJC0060_H!$H$9</definedName>
    <definedName name="UNJC0060_H_SEIKYUSAKI_CD">UNJC0060_H!$H$14</definedName>
    <definedName name="UNJC0060_H_SEIKYUSAKI_MEI">UNJC0060_H!$D$18</definedName>
    <definedName name="UNJC0060_H_SIRYO_MEI">UNJC0060_H!$T$16</definedName>
    <definedName name="UNJC0060_H_SIRYO_SHURUI">UNJC0060_H!$H$16</definedName>
    <definedName name="UNJC0060_H_SOKUHO_STS">UNJC0060_H!$D$8</definedName>
    <definedName name="UNJC0060_H_TEISEI_STS">UNJC0060_H!$D$12</definedName>
    <definedName name="UNJC0060_H_UKETSUKE_STS">UNJC0060_H!$D$4</definedName>
    <definedName name="UNJC0060_IF_ACTIVE_CELL_NAME">UNJC0060_IF!$D$17</definedName>
    <definedName name="UNJC0060_IF_ACTIVE_COLUMN">UNJC0060_IF!$D$15</definedName>
    <definedName name="UNJC0060_IF_ACTIVE_ROW">UNJC0060_IF!$D$14</definedName>
    <definedName name="UNJC0060_IF_ACTIVE_SHEET">UNJC0060_IF!$D$13</definedName>
    <definedName name="UNJC0060_IF_B_FLG_COPY_MOTO">UNJC0060_IF!$D$7</definedName>
    <definedName name="UNJC0060_IF_B_LIST_COPY_MOTO">UNJC0060_IF!$E$6:$AE$6</definedName>
    <definedName name="UNJC0060_IF_B_LIST_DEFAULT">UNJC0060_IF!$D$5:$AE$5</definedName>
    <definedName name="UNJC0060_IF_CREATE_W_SERIAL">UNJC0060_IF!$BM$7</definedName>
    <definedName name="UNJC0060_IF_DATA_SEARCH_FLG">UNJC0060_IF!$D$10</definedName>
    <definedName name="UNJC0060_IF_INIT_HEADER_COPY_MOTO">UNJC0060_IF!$AN$6:$BG$17</definedName>
    <definedName name="UNJC0060_IF_INIT_HEADER_COPY_SAKI">UNJC0060_H!$H$7:$AA$18</definedName>
    <definedName name="UNJC0060_IF_INIT_HEADER_FLG_COPY_MOTO">UNJC0060_IF!$AL$6:$AL$18</definedName>
    <definedName name="UNJC0060_IF_LIST_BUNSEKI_KBN_HOHO">OFFSET(UNJC0060_IF_LIST_BUNSEKI_KBN_TENKAIICHI,,,IF(UNJC0060_IF_LIST_BUNSEKI_KBN_HOHO_KENSU=0,1,UNJC0060_IF_LIST_BUNSEKI_KBN_HOHO_KENSU),1)</definedName>
    <definedName name="UNJC0060_IF_LIST_BUNSEKI_KBN_HOHO_KENSU">UNJC0060_IF!$C$22</definedName>
    <definedName name="UNJC0060_IF_LIST_BUNSEKI_KBN_TENKAIICHI">UNJC0060_IF!$B$25</definedName>
    <definedName name="UNJC0060_IF_SAVE_COPY_MOTO">UNJC0060_IF!$BQ$5:$CU$5</definedName>
    <definedName name="UNJC0060_IF_SAVE_COPY_SAKI">UNJC0060_IF!$BM$11</definedName>
    <definedName name="UNJC0060_IF_SAVE_COPY_START">UNJC0060_IF!$BQ$9</definedName>
    <definedName name="UNJC0060_IF_SAVE_COUNT">UNJC0060_IF!$BM$15</definedName>
    <definedName name="UNJC0060_IF_SAVE_ERROR_CHECK">UNJC0060_IF!$BM$21</definedName>
    <definedName name="UNJC0060_IF_SAVE_ERROR_MESSAGE">UNJC0060_IF!$BM$22</definedName>
    <definedName name="UNJC0060_IF_SAVE_KENSU">UNJC0060_IF!$BM$12</definedName>
    <definedName name="UNJC0060_IF_SAVE_RESULT_CD">UNJC0060_IF!$BM$19</definedName>
    <definedName name="UNJC0060_IF_SAVE_RESULT_MESSAGE">UNJC0060_IF!$BM$20</definedName>
    <definedName name="UNJC0060_IF_SAVE_START">UNJC0060_IF!$BR$9</definedName>
    <definedName name="UNJC0060_IF_SAVE_W_MODE">UNJC0060_IF!$BM$8</definedName>
    <definedName name="UNJC0060_IF_SAVE_W_SERIAL">UNJC0060_IF!$BM$6</definedName>
    <definedName name="UNJC0060_IF_SAVE_W_USER_ID">UNJC0060_IF!$BM$5</definedName>
    <definedName name="UNJC0060_SQL_ATENA_CD">UNJC0060_SQL!$F$32</definedName>
    <definedName name="UNJC0060_SQL_ATENA_MEI">UNJC0060_SQL!$F$33</definedName>
    <definedName name="UNJC0060_SQL_BUNSEKI_HOKAN_STS">UNJC0060_SQL!$F$13</definedName>
    <definedName name="UNJC0060_SQL_BUNSEKI_KBN_LIST">UNJC0060_SQL!$D$86</definedName>
    <definedName name="UNJC0060_SQL_BUNSEKIKUBUN_KBN">UNJC0060_SQL!$F$21</definedName>
    <definedName name="UNJC0060_SQL_CHUDAN_STS">UNJC0060_SQL!$F$15</definedName>
    <definedName name="UNJC0060_SQL_CHUKAN_DATE_END">UNJC0060_SQL!$F$27</definedName>
    <definedName name="UNJC0060_SQL_CHUKAN_DATE_START">UNJC0060_SQL!$F$26</definedName>
    <definedName name="UNJC0060_SQL_CHUKAN_STS">UNJC0060_SQL!$F$8</definedName>
    <definedName name="UNJC0060_SQL_CHUSHI_STS">UNJC0060_SQL!$F$16</definedName>
    <definedName name="UNJC0060_SQL_EIGYO_STS">UNJC0060_SQL!$F$11</definedName>
    <definedName name="UNJC0060_SQL_EIGYO_TANTO_CD">UNJC0060_SQL!$F$18</definedName>
    <definedName name="UNJC0060_SQL_FREEWD_1">UNJC0060_SQL!$F$37</definedName>
    <definedName name="UNJC0060_SQL_FREEWD_2">UNJC0060_SQL!$F$38</definedName>
    <definedName name="UNJC0060_SQL_FREEWD_3">UNJC0060_SQL!$F$39</definedName>
    <definedName name="UNJC0060_SQL_FREEWD_KBN">UNJC0060_SQL!$F$40</definedName>
    <definedName name="UNJC0060_SQL_FREEWORD1">UNJC0060_SQL!$F$80</definedName>
    <definedName name="UNJC0060_SQL_FREEWORD2">UNJC0060_SQL!$F$81</definedName>
    <definedName name="UNJC0060_SQL_FREEWORD3">UNJC0060_SQL!$F$82</definedName>
    <definedName name="UNJC0060_SQL_GIJUTSU_STS">UNJC0060_SQL!$F$7</definedName>
    <definedName name="UNJC0060_SQL_HOKOKU_KEISHIKI_CD">UNJC0060_SQL!$F$4</definedName>
    <definedName name="UNJC0060_SQL_IRAI_DATE_END">UNJC0060_SQL!$F$25</definedName>
    <definedName name="UNJC0060_SQL_IRAI_DATE_START">UNJC0060_SQL!$F$24</definedName>
    <definedName name="UNJC0060_SQL_JOKEN_COPY_MOTO">UNJC0060_SQL!$G$2:$G$40</definedName>
    <definedName name="UNJC0060_SQL_JOKEN_COPY_SAKI">UNJC0060_SQL!$F$2:$F$40</definedName>
    <definedName name="UNJC0060_SQL_JURI_NO">UNJC0060_SQL!$F$17</definedName>
    <definedName name="UNJC0060_SQL_KAKUNIN2_STS">UNJC0060_SQL!$F$9</definedName>
    <definedName name="UNJC0060_SQL_KAKUTEIMI_STS">UNJC0060_SQL!$F$5</definedName>
    <definedName name="UNJC0060_SQL_KANSEI_DATE_END">UNJC0060_SQL!$F$29</definedName>
    <definedName name="UNJC0060_SQL_KANSEI_DATE_START">UNJC0060_SQL!$F$28</definedName>
    <definedName name="UNJC0060_SQL_KEIRYOHOKOKUSHO">UNJC0060_SQL!$F$3</definedName>
    <definedName name="UNJC0060_SQL_MITSUMORI_NO">UNJC0060_SQL!$F$20</definedName>
    <definedName name="UNJC0060_SQL_NOHIN_DATE_END">UNJC0060_SQL!$F$31</definedName>
    <definedName name="UNJC0060_SQL_NOHIN_DATE_START">UNJC0060_SQL!$F$30</definedName>
    <definedName name="UNJC0060_SQL_NOHIN_STS">UNJC0060_SQL!$F$12</definedName>
    <definedName name="UNJC0060_SQL_NYURYOKU_DATE_END">UNJC0060_SQL!$F$23</definedName>
    <definedName name="UNJC0060_SQL_NYURYOKU_DATE_START">UNJC0060_SQL!$F$22</definedName>
    <definedName name="UNJC0060_SQL_NYURYOKUSHA_CD">UNJC0060_SQL!$F$19</definedName>
    <definedName name="UNJC0060_SQL_SEIKYUSAKI_CD">UNJC0060_SQL!$F$34</definedName>
    <definedName name="UNJC0060_SQL_SELECT_BUN_IRAI_PRINT_CNT">UNJC0060_SQL!$D$44</definedName>
    <definedName name="UNJC0060_SQL_SELECT_BUN_REPORT_BAT_LIST">UNJC0060_SQL!$D$43</definedName>
    <definedName name="UNJC0060_SQL_SELECT_INIT_SORT">UNJC0060_SQL!$I$48</definedName>
    <definedName name="UNJC0060_SQL_SELECT_JURI_NO">UNJC0060_SQL!$I$51</definedName>
    <definedName name="UNJC0060_SQL_SELECT_SORT">UNJC0060_SQL!$I$49</definedName>
    <definedName name="UNJC0060_SQL_SELECT_W_BUN_IRAI_PRINT_UPDATE">UNJC0060_SQL!$L$43</definedName>
    <definedName name="UNJC0060_SQL_SELECT_W_BUN_REPORT_BAT">UNJC0060_SQL!$I$43</definedName>
    <definedName name="UNJC0060_SQL_SHIKENHOKOKUSHO">UNJC0060_SQL!$F$2</definedName>
    <definedName name="UNJC0060_SQL_SHIRYO_MEI">UNJC0060_SQL!$F$36</definedName>
    <definedName name="UNJC0060_SQL_SHIRYO_SHURUI">UNJC0060_SQL!$F$35</definedName>
    <definedName name="UNJC0060_SQL_SOKUHO_STS">UNJC0060_SQL!$F$10</definedName>
    <definedName name="UNJC0060_SQL_SORT">UNJC0060_SQL!$J$46</definedName>
    <definedName name="UNJC0060_SQL_TEISEI_STS">UNJC0060_SQL!$F$14</definedName>
    <definedName name="UNJC0060_SQL_UKETSUKE_STS">UNJC0060_SQL!$F$6</definedName>
    <definedName name="UNJC0070_B_ALL_PAGE_SU">UNJC0070_B!$D$30</definedName>
    <definedName name="UNJC0070_B_ATENA">UNJC0070_B!$Y$22</definedName>
    <definedName name="UNJC0070_B_ATENA_CD">UNJC0070_B!$X$22</definedName>
    <definedName name="UNJC0070_B_BUNSEKI_KBN">UNJC0070_B!$L$22</definedName>
    <definedName name="UNJC0070_B_CHUKAN_1">UNJC0070_B!$S$22</definedName>
    <definedName name="UNJC0070_B_CHUKAN_2">UNJC0070_B!$T$22</definedName>
    <definedName name="UNJC0070_B_CHUKAN_3">UNJC0070_B!$U$22</definedName>
    <definedName name="UNJC0070_B_COPY_SAKI">UNJC0070_B!$D$35</definedName>
    <definedName name="UNJC0070_B_CTRL_HYOJI_GYO_SU">UNJC0070_B!$D$25</definedName>
    <definedName name="UNJC0070_B_EDA">UNJC0070_B!$N$22</definedName>
    <definedName name="UNJC0070_B_EIGYO_TANTOSHA_MEI">UNJC0070_B!$P$22</definedName>
    <definedName name="UNJC0070_B_EXIST_NEXT_PAGE">UNJC0070_B!$D$41</definedName>
    <definedName name="UNJC0070_B_EXIST_PREV_PAGE">UNJC0070_B!$D$42</definedName>
    <definedName name="UNJC0070_B_FLG">UNJC0070_B!$I$22</definedName>
    <definedName name="UNJC0070_B_FORMAT_COPY_FLG">UNJC0070_B!$D$38</definedName>
    <definedName name="UNJC0070_B_HIDE_COLUMN">UNJC0070_B!$D$53</definedName>
    <definedName name="UNJC0070_B_HIDE_ROW">UNJC0070_B!$D$52</definedName>
    <definedName name="UNJC0070_B_HOKOKUSHO_KEISHIKI">UNJC0070_B!$O$22</definedName>
    <definedName name="UNJC0070_B_HYOJI_KENSU">UNJC0070_B!$D$31</definedName>
    <definedName name="UNJC0070_B_IRAI_DATE">UNJC0070_B!$R$22</definedName>
    <definedName name="UNJC0070_B_JURI_NO">UNJC0070_B!$M$22</definedName>
    <definedName name="UNJC0070_B_KANSEI_DATE">UNJC0070_B!$V$22</definedName>
    <definedName name="UNJC0070_B_KENSAKU_KENSU">UNJC0070_B!$D$28</definedName>
    <definedName name="UNJC0070_B_LIST_CLEAR">UNJC0070_B!$D$36</definedName>
    <definedName name="UNJC0070_B_LIST_START">UNJC0070_B!$D$33</definedName>
    <definedName name="UNJC0070_B_MITSUMORI_NO">UNJC0070_B!$AB$22</definedName>
    <definedName name="UNJC0070_B_NEXT_PAGE_NO">UNJC0070_B!$D$44</definedName>
    <definedName name="UNJC0070_B_NOHIN_DATE">UNJC0070_B!$W$22</definedName>
    <definedName name="UNJC0070_B_NYURYOKU_TANTOSHA_MEI">UNJC0070_B!$Q$22</definedName>
    <definedName name="UNJC0070_B_PAGE_NO">UNJC0070_B!$D$29</definedName>
    <definedName name="UNJC0070_B_PREV_PAGE_NO">UNJC0070_B!$D$45</definedName>
    <definedName name="UNJC0070_B_ROW">UNJC0070_B!$J$22</definedName>
    <definedName name="UNJC0070_B_SCROLL_LOCK">UNJC0070_B!$D$55</definedName>
    <definedName name="UNJC0070_B_SEIKYUSAKI_CD">UNJC0070_B!$Z$22</definedName>
    <definedName name="UNJC0070_B_SEIKYUSAKI_MEI">UNJC0070_B!$AA$22</definedName>
    <definedName name="UNJC0070_B_SELECT_FLG_COPY_SAKI">UNJC0070_B!$D$34</definedName>
    <definedName name="UNJC0070_B_SENTAKU">UNJC0070_B!$H$22</definedName>
    <definedName name="UNJC0070_B_SIRYO_MEI">UNJC0070_B!$AD$22</definedName>
    <definedName name="UNJC0070_B_SIRYO_SHURUI">UNJC0070_B!$AC$22</definedName>
    <definedName name="UNJC0070_B_STS">UNJC0070_B!$K$22</definedName>
    <definedName name="UNJC0070_B_VIEW_CURRENT_PAGE">UNJC0070_B!$G$21</definedName>
    <definedName name="UNJC0070_H_ATENA">UNJC0070_H!$N$14</definedName>
    <definedName name="UNJC0070_H_ATENA_CD">UNJC0070_H!$J$14</definedName>
    <definedName name="UNJC0070_H_BUNSEKIKUBUN">UNJC0070_H!$J$12</definedName>
    <definedName name="UNJC0070_H_BUNSEKIKUBUN_KBN">UNJC0070_H!$D$21</definedName>
    <definedName name="UNJC0070_H_CHUDAN_STS">UNJC0070_H!$D$12</definedName>
    <definedName name="UNJC0070_H_CHUKAN_DATE_END">UNJC0070_H!$Z$9</definedName>
    <definedName name="UNJC0070_H_CHUKAN_DATE_START">UNJC0070_H!$U$9</definedName>
    <definedName name="UNJC0070_H_CHUKAN_STS">UNJC0070_H!$D$5</definedName>
    <definedName name="UNJC0070_H_CHUSHI_STS">UNJC0070_H!$D$13</definedName>
    <definedName name="UNJC0070_H_EDA">UNJC0070_H!$J$8</definedName>
    <definedName name="UNJC0070_H_EIGYO_STS">UNJC0070_H!$D$9</definedName>
    <definedName name="UNJC0070_H_EIGYO_TANTO_CD">UNJC0070_H!$D$19</definedName>
    <definedName name="UNJC0070_H_EIGYO_TANTOSHA_MEI">UNJC0070_H!$J$9</definedName>
    <definedName name="UNJC0070_H_FORM_UPPER_LEFT">UNJC0070_H!$F$1</definedName>
    <definedName name="UNJC0070_H_FREEWD_1">UNJC0070_H!$J$19</definedName>
    <definedName name="UNJC0070_H_FREEWD_2">UNJC0070_H!$O$19</definedName>
    <definedName name="UNJC0070_H_FREEWD_3">UNJC0070_H!$T$19</definedName>
    <definedName name="UNJC0070_H_FREEWD_KBN">UNJC0070_H!$D$14</definedName>
    <definedName name="UNJC0070_H_GIJUTSU_STS">UNJC0070_H!$D$6</definedName>
    <definedName name="UNJC0070_H_HIDE_COLUMN">UNJC0070_H!$D$24</definedName>
    <definedName name="UNJC0070_H_HIDE_ROW">UNJC0070_H!$D$23</definedName>
    <definedName name="UNJC0070_H_HOKOKU_KEISHIKI">UNJC0070_H!$J$3</definedName>
    <definedName name="UNJC0070_H_HOKOKU_KEISHIKI_CD">UNJC0070_H!$D$20</definedName>
    <definedName name="UNJC0070_H_INIT_HEADER_FLG_COPY_SAKI">UNJC0070_H!$D$3:$D$14</definedName>
    <definedName name="UNJC0070_H_IRAI_DATE_END">UNJC0070_H!$Z$8</definedName>
    <definedName name="UNJC0070_H_IRAI_DATE_START">UNJC0070_H!$U$8</definedName>
    <definedName name="UNJC0070_H_JURI_NO">UNJC0070_H!$J$7</definedName>
    <definedName name="UNJC0070_H_KAKUNIN2_STS">UNJC0070_H!$D$7</definedName>
    <definedName name="UNJC0070_H_KAKUTEIMI_STS">UNJC0070_H!$D$3</definedName>
    <definedName name="UNJC0070_H_KANSEI_DATE_END">UNJC0070_H!$Z$10</definedName>
    <definedName name="UNJC0070_H_KANSEI_DATE_START">UNJC0070_H!$U$10</definedName>
    <definedName name="UNJC0070_H_MITSUMORI_NO">UNJC0070_H!$J$11</definedName>
    <definedName name="UNJC0070_H_NOHIN_DATE_END">UNJC0070_H!$Z$11</definedName>
    <definedName name="UNJC0070_H_NOHIN_DATE_START">UNJC0070_H!$U$11</definedName>
    <definedName name="UNJC0070_H_NOHIN_STS">UNJC0070_H!$D$10</definedName>
    <definedName name="UNJC0070_H_NYURYOKU_DATE_END">UNJC0070_H!$Z$7</definedName>
    <definedName name="UNJC0070_H_NYURYOKU_DATE_START">UNJC0070_H!$U$7</definedName>
    <definedName name="UNJC0070_H_NYURYOKUSHA_CD">UNJC0070_H!$D$18</definedName>
    <definedName name="UNJC0070_H_NYURYOKUSHA_MEI">UNJC0070_H!$J$10</definedName>
    <definedName name="UNJC0070_H_SEIKYUSAKI_CD">UNJC0070_H!$J$15</definedName>
    <definedName name="UNJC0070_H_SEIKYUSAKI_MEI">UNJC0070_H!$D$17</definedName>
    <definedName name="UNJC0070_H_SIRYO_MEI">UNJC0070_H!$V$17</definedName>
    <definedName name="UNJC0070_H_SIRYO_SHURUI">UNJC0070_H!$J$17</definedName>
    <definedName name="UNJC0070_H_SOKUHO_STS">UNJC0070_H!$D$8</definedName>
    <definedName name="UNJC0070_H_TEISEI_STS">UNJC0070_H!$D$11</definedName>
    <definedName name="UNJC0070_H_UKETSUKE_STS">UNJC0070_H!$D$4</definedName>
    <definedName name="UNJC0070_IF_ACTIVE_CELL_NAME">UNJC0070_IF!$D$17</definedName>
    <definedName name="UNJC0070_IF_ACTIVE_COLUMN">UNJC0070_IF!$D$15</definedName>
    <definedName name="UNJC0070_IF_ACTIVE_ROW">UNJC0070_IF!$D$14</definedName>
    <definedName name="UNJC0070_IF_ACTIVE_SHEET">UNJC0070_IF!$D$13</definedName>
    <definedName name="UNJC0070_IF_B_FLG_COPY_MOTO">UNJC0070_IF!$D$7</definedName>
    <definedName name="UNJC0070_IF_B_LIST_COPY_MOTO">UNJC0070_IF!$E$6:$AG$6</definedName>
    <definedName name="UNJC0070_IF_B_LIST_DEFAULT">UNJC0070_IF!$D$5:$AG$5</definedName>
    <definedName name="UNJC0070_IF_CREATE_W_SERIAL">UNJC0070_IF!$BM$6</definedName>
    <definedName name="UNJC0070_IF_DATA_SEARCH_FLG">UNJC0070_IF!$D$10</definedName>
    <definedName name="UNJC0070_IF_INIT_HEADER_COPY_MOTO">UNJC0070_IF!$AN$6:$BG$18</definedName>
    <definedName name="UNJC0070_IF_INIT_HEADER_COPY_SAKI">UNJC0070_H!$J$7:$AC$19</definedName>
    <definedName name="UNJC0070_IF_INIT_HEADER_FLG_COPY_MOTO">UNJC0070_IF!$AL$6:$AL$17</definedName>
    <definedName name="UNJC0070_IF_LIST_BUNSEKI_KBN_HOHO">OFFSET(UNJC0070_IF_LIST_BUNSEKI_KBN_TENKAIICHI,,,IF(UNJC0070_IF_LIST_BUNSEKI_KBN_HOHO_KENSU=0,1,UNJC0070_IF_LIST_BUNSEKI_KBN_HOHO_KENSU),1)</definedName>
    <definedName name="UNJC0070_IF_LIST_BUNSEKI_KBN_HOHO_KENSU">UNJC0070_IF!$C$22</definedName>
    <definedName name="UNJC0070_IF_LIST_BUNSEKI_KBN_TENKAIICHI">UNJC0070_IF!$B$25</definedName>
    <definedName name="UNJC0070_IF_SAVE_COPY_MOTO">UNJC0070_IF!$BQ$4:$CP$4</definedName>
    <definedName name="UNJC0070_IF_SAVE_COPY_SAKI">UNJC0070_IF!$BM$10</definedName>
    <definedName name="UNJC0070_IF_SAVE_COPY_START">UNJC0070_IF!$BQ$8</definedName>
    <definedName name="UNJC0070_IF_SAVE_COUNT">UNJC0070_IF!$BM$14</definedName>
    <definedName name="UNJC0070_IF_SAVE_ERROR_CHECK">UNJC0070_IF!$BM$20</definedName>
    <definedName name="UNJC0070_IF_SAVE_ERROR_MESSAGE">UNJC0070_IF!$BM$21</definedName>
    <definedName name="UNJC0070_IF_SAVE_KENSU">UNJC0070_IF!$BM$11</definedName>
    <definedName name="UNJC0070_IF_SAVE_RESULT_CD">UNJC0070_IF!$BM$18</definedName>
    <definedName name="UNJC0070_IF_SAVE_RESULT_MESSAGE">UNJC0070_IF!$BM$19</definedName>
    <definedName name="UNJC0070_IF_SAVE_START">UNJC0070_IF!$BR$8</definedName>
    <definedName name="UNJC0070_IF_SAVE_W_MODE">UNJC0070_IF!$BM$7</definedName>
    <definedName name="UNJC0070_IF_SAVE_W_SERIAL">UNJC0070_IF!$BM$5</definedName>
    <definedName name="UNJC0070_IF_SAVE_W_USER_ID">UNJC0070_IF!$BM$4</definedName>
    <definedName name="UNJC0070_SQL_ATENA_CD">UNJC0070_SQL!$F$30</definedName>
    <definedName name="UNJC0070_SQL_ATENA_MEI">UNJC0070_SQL!$F$31</definedName>
    <definedName name="UNJC0070_SQL_BUNSEKI_KBN_LIST">UNJC0070_SQL!$D$85</definedName>
    <definedName name="UNJC0070_SQL_BUNSEKIKUBUN_KBN">UNJC0070_SQL!$F$19</definedName>
    <definedName name="UNJC0070_SQL_CHUDAN_STS">UNJC0070_SQL!$F$12</definedName>
    <definedName name="UNJC0070_SQL_CHUKAN_DATE_END">UNJC0070_SQL!$F$25</definedName>
    <definedName name="UNJC0070_SQL_CHUKAN_DATE_START">UNJC0070_SQL!$F$24</definedName>
    <definedName name="UNJC0070_SQL_CHUKAN_STS">UNJC0070_SQL!$F$5</definedName>
    <definedName name="UNJC0070_SQL_CHUSHI_STS">UNJC0070_SQL!$F$13</definedName>
    <definedName name="UNJC0070_SQL_EDA">UNJC0070_SQL!$F$15</definedName>
    <definedName name="UNJC0070_SQL_EIGYO_STS">UNJC0070_SQL!$F$9</definedName>
    <definedName name="UNJC0070_SQL_EIGYO_TANTO_CD">UNJC0070_SQL!$F$16</definedName>
    <definedName name="UNJC0070_SQL_FREEWD_1">UNJC0070_SQL!$F$35</definedName>
    <definedName name="UNJC0070_SQL_FREEWD_2">UNJC0070_SQL!$F$36</definedName>
    <definedName name="UNJC0070_SQL_FREEWD_3">UNJC0070_SQL!$F$37</definedName>
    <definedName name="UNJC0070_SQL_FREEWD_KBN">UNJC0070_SQL!$F$38</definedName>
    <definedName name="UNJC0070_SQL_FREEWORD1">UNJC0070_SQL!$F$79</definedName>
    <definedName name="UNJC0070_SQL_FREEWORD2">UNJC0070_SQL!$F$80</definedName>
    <definedName name="UNJC0070_SQL_FREEWORD3">UNJC0070_SQL!$F$81</definedName>
    <definedName name="UNJC0070_SQL_GIJUTSU_STS">UNJC0070_SQL!$F$6</definedName>
    <definedName name="UNJC0070_SQL_HOKOKU_KEISHIKI_CD">UNJC0070_SQL!$F$2</definedName>
    <definedName name="UNJC0070_SQL_IRAI_DATE_END">UNJC0070_SQL!$F$23</definedName>
    <definedName name="UNJC0070_SQL_IRAI_DATE_START">UNJC0070_SQL!$F$22</definedName>
    <definedName name="UNJC0070_SQL_JOKEN_COPY_MOTO">UNJC0070_SQL!$G$2:$G$38</definedName>
    <definedName name="UNJC0070_SQL_JOKEN_COPY_SAKI">UNJC0070_SQL!$F$2:$F$38</definedName>
    <definedName name="UNJC0070_SQL_JURI_NO">UNJC0070_SQL!$F$14</definedName>
    <definedName name="UNJC0070_SQL_KAKUNIN2_STS">UNJC0070_SQL!$F$7</definedName>
    <definedName name="UNJC0070_SQL_KAKUTEIMI_STS">UNJC0070_SQL!$F$3</definedName>
    <definedName name="UNJC0070_SQL_KANSEI_DATE_END">UNJC0070_SQL!$F$27</definedName>
    <definedName name="UNJC0070_SQL_KANSEI_DATE_START">UNJC0070_SQL!$F$26</definedName>
    <definedName name="UNJC0070_SQL_MITSUMORI_NO">UNJC0070_SQL!$F$18</definedName>
    <definedName name="UNJC0070_SQL_NOHIN_DATE_END">UNJC0070_SQL!$F$29</definedName>
    <definedName name="UNJC0070_SQL_NOHIN_DATE_START">UNJC0070_SQL!$F$28</definedName>
    <definedName name="UNJC0070_SQL_NOHIN_STS">UNJC0070_SQL!$F$10</definedName>
    <definedName name="UNJC0070_SQL_NYURYOKU_DATE_END">UNJC0070_SQL!$F$21</definedName>
    <definedName name="UNJC0070_SQL_NYURYOKU_DATE_START">UNJC0070_SQL!$F$20</definedName>
    <definedName name="UNJC0070_SQL_NYURYOKUSHA_CD">UNJC0070_SQL!$F$17</definedName>
    <definedName name="UNJC0070_SQL_SEIKYUSAKI_CD">UNJC0070_SQL!$F$32</definedName>
    <definedName name="UNJC0070_SQL_SELECT_BUN_LABEL_BAT_LIST">UNJC0070_SQL!$D$41</definedName>
    <definedName name="UNJC0070_SQL_SELECT_BUN_LABEL_PRINT_CNT">UNJC0070_SQL!$D$42</definedName>
    <definedName name="UNJC0070_SQL_SELECT_INIT_SORT">UNJC0070_SQL!$I$46</definedName>
    <definedName name="UNJC0070_SQL_SELECT_LABEL_DATA">UNJC0070_SQL!$I$49</definedName>
    <definedName name="UNJC0070_SQL_SELECT_SORT">UNJC0070_SQL!$I$47</definedName>
    <definedName name="UNJC0070_SQL_SELECT_W_BUN_LABEL_BAT">UNJC0070_SQL!$I$41</definedName>
    <definedName name="UNJC0070_SQL_SELECT_W_BUN_LABEL_UPDATE">UNJC0070_SQL!$L$41</definedName>
    <definedName name="UNJC0070_SQL_SHIRYO_MEI">UNJC0070_SQL!$F$34</definedName>
    <definedName name="UNJC0070_SQL_SHIRYO_SHURUI">UNJC0070_SQL!$F$33</definedName>
    <definedName name="UNJC0070_SQL_SOKUHO_STS">UNJC0070_SQL!$F$8</definedName>
    <definedName name="UNJC0070_SQL_SORT">UNJC0070_SQL!$J$44</definedName>
    <definedName name="UNJC0070_SQL_TEISEI_STS">UNJC0070_SQL!$F$11</definedName>
    <definedName name="UNJC0070_SQL_UKETSUKE_STS">UNJC0070_SQL!$F$4</definedName>
    <definedName name="UNJC0180_B_ALL_PAGE_SU">UNJC0180_B!$D$10</definedName>
    <definedName name="UNJC0180_B_COPY_SAKI">UNJC0180_B!$D$14</definedName>
    <definedName name="UNJC0180_B_CTRL_HYOJI_GYO_SU">UNJC0180_B!$D$5</definedName>
    <definedName name="UNJC0180_B_DataListStart">UNJC0180_B!$G$6</definedName>
    <definedName name="UNJC0180_B_EXIST_NEXT_PAGE">UNJC0180_B!$D$20</definedName>
    <definedName name="UNJC0180_B_EXIST_PREV_PAGE">UNJC0180_B!$D$21</definedName>
    <definedName name="UNJC0180_B_FORMAT_COPY_FLG">UNJC0180_B!$D$17</definedName>
    <definedName name="UNJC0180_B_HIDE_COLUMN">UNJC0180_B!$D$32</definedName>
    <definedName name="UNJC0180_B_HIDE_ROW">UNJC0180_B!$D$31</definedName>
    <definedName name="UNJC0180_B_HYOJI_KENSU">UNJC0180_B!$D$11</definedName>
    <definedName name="UNJC0180_B_ITEMS_NUM">UNJC0180_B!$T$3</definedName>
    <definedName name="UNJC0180_B_KENSAKU_KENSU">UNJC0180_B!$D$8</definedName>
    <definedName name="UNJC0180_B_LAYOUTCOPY_START">UNJC0180_B!$G$5</definedName>
    <definedName name="UNJC0180_B_NEXT_PAGE_NO">UNJC0180_B!$D$23</definedName>
    <definedName name="UNJC0180_B_PAGE_NO">UNJC0180_B!$D$9</definedName>
    <definedName name="UNJC0180_B_PREV_PAGE_NO">UNJC0180_B!$D$24</definedName>
    <definedName name="UNJC0180_B_SAMPLE_NUM">UNJC0180_B!$R$3</definedName>
    <definedName name="UNJC0180_B_SCROLL_LOCK">UNJC0180_B!$D$34</definedName>
    <definedName name="UNJC0180_H_ATENA">UNJC0180_H!$S$10</definedName>
    <definedName name="UNJC0180_H_ATENA_CD">UNJC0180_H!$O$10</definedName>
    <definedName name="UNJC0180_H_ATENA_CD_S">UNJC0180_H!$D$22</definedName>
    <definedName name="UNJC0180_H_ATENA_S">UNJC0180_H!$D$23</definedName>
    <definedName name="UNJC0180_H_BUNSEKI_HOHO">UNJC0180_H!$O$7</definedName>
    <definedName name="UNJC0180_H_BUNSEKI_HOHO_S">UNJC0180_H!$D$10</definedName>
    <definedName name="UNJC0180_H_BUNSEKI_KOMOKU_CD">UNJC0180_H!$O$9</definedName>
    <definedName name="UNJC0180_H_BUNSEKI_KOMOKU_CD_S">UNJC0180_H!$D$8</definedName>
    <definedName name="UNJC0180_H_BUNSEKI_KOMOKU_MEI">UNJC0180_H!$H$7</definedName>
    <definedName name="UNJC0180_H_BUNSEKI_KOMOKU_MEI_S">UNJC0180_H!$D$9</definedName>
    <definedName name="UNJC0180_H_BUSHO_CD">UNJC0180_H!$H$5</definedName>
    <definedName name="UNJC0180_H_BUSHO_CD_S">UNJC0180_H!$D$6</definedName>
    <definedName name="UNJC0180_H_BUSHO_MEI">UNJC0180_H!$O$5</definedName>
    <definedName name="UNJC0180_H_BUSHO_MEI_S">UNJC0180_H!$D$7</definedName>
    <definedName name="UNJC0180_H_EDA">UNJC0180_H!$O$4</definedName>
    <definedName name="UNJC0180_H_EDA_S">UNJC0180_H!$D$5</definedName>
    <definedName name="UNJC0180_H_EIGYO_TANTOSHA_CD">UNJC0180_H!$H$6</definedName>
    <definedName name="UNJC0180_H_EIGYO_TANTOSHA_CD_S">UNJC0180_H!$D$26</definedName>
    <definedName name="UNJC0180_H_EIGYO_TANTOSHA_MEI">UNJC0180_H!$O$12</definedName>
    <definedName name="UNJC0180_H_EIGYO_TANTOSHA_MEI_S">UNJC0180_H!$D$27</definedName>
    <definedName name="UNJC0180_H_FREEWD_1">UNJC0180_H!$O$14</definedName>
    <definedName name="UNJC0180_H_FREEWD_1_S">UNJC0180_H!$D$28</definedName>
    <definedName name="UNJC0180_H_FREEWD_2">UNJC0180_H!$T$14</definedName>
    <definedName name="UNJC0180_H_FREEWD_2_S">UNJC0180_H!$D$29</definedName>
    <definedName name="UNJC0180_H_FREEWD_3">UNJC0180_H!$Y$14</definedName>
    <definedName name="UNJC0180_H_FREEWD_3_S">UNJC0180_H!$D$30</definedName>
    <definedName name="UNJC0180_H_FREEWD_KBN">UNJC0180_H!$H$4</definedName>
    <definedName name="UNJC0180_H_HIDE_COLUMN">UNJC0180_H!$H$15</definedName>
    <definedName name="UNJC0180_H_HIDE_ROW">UNJC0180_H!$H$14</definedName>
    <definedName name="UNJC0180_H_INIT_HEADER_COPY_SAKI">UNJC0180_H!$O$3:$AL$14</definedName>
    <definedName name="UNJC0180_H_INIT_HEADER_FLG_COPY_SAKI">UNJC0180_H!$H$4:$H$8</definedName>
    <definedName name="UNJC0180_H_IRAI_DATE_END">UNJC0180_H!$AI$4</definedName>
    <definedName name="UNJC0180_H_IRAI_DATE_END_S">UNJC0180_H!$D$15</definedName>
    <definedName name="UNJC0180_H_IRAI_DATE_START">UNJC0180_H!$AD$4</definedName>
    <definedName name="UNJC0180_H_IRAI_DATE_START_S">UNJC0180_H!$D$14</definedName>
    <definedName name="UNJC0180_H_JURI_NO">UNJC0180_H!$O$3</definedName>
    <definedName name="UNJC0180_H_JURI_NO_S">UNJC0180_H!$D$4</definedName>
    <definedName name="UNJC0180_H_KANRYO_DATE_END">UNJC0180_H!$AI$5</definedName>
    <definedName name="UNJC0180_H_KANRYO_DATE_END_S">UNJC0180_H!$D$17</definedName>
    <definedName name="UNJC0180_H_KANRYO_DATE_START">UNJC0180_H!$AD$5</definedName>
    <definedName name="UNJC0180_H_KANRYO_DATE_START_S">UNJC0180_H!$D$16</definedName>
    <definedName name="UNJC0180_H_KANSEI_DATE_END">UNJC0180_H!$AI$6</definedName>
    <definedName name="UNJC0180_H_KANSEI_DATE_END_S">UNJC0180_H!$D$19</definedName>
    <definedName name="UNJC0180_H_KANSEI_DATE_START">UNJC0180_H!$AD$6</definedName>
    <definedName name="UNJC0180_H_KANSEI_DATE_START_S">UNJC0180_H!$D$18</definedName>
    <definedName name="UNJC0180_H_NOHIN_DATE_END">UNJC0180_H!$AI$7</definedName>
    <definedName name="UNJC0180_H_NOHIN_DATE_END_S">UNJC0180_H!$D$21</definedName>
    <definedName name="UNJC0180_H_NOHIN_DATE_START">UNJC0180_H!$AD$7</definedName>
    <definedName name="UNJC0180_H_NOHIN_DATE_START_S">UNJC0180_H!$D$20</definedName>
    <definedName name="UNJC0180_H_NYURYOKU_DATE_END">UNJC0180_H!$AI$3</definedName>
    <definedName name="UNJC0180_H_NYURYOKU_DATE_END_S">UNJC0180_H!$D$13</definedName>
    <definedName name="UNJC0180_H_NYURYOKU_DATE_START">UNJC0180_H!$AD$3</definedName>
    <definedName name="UNJC0180_H_NYURYOKU_DATE_START_S">UNJC0180_H!$D$12</definedName>
    <definedName name="UNJC0180_H_SEIKYUSAKI_CD">UNJC0180_H!$O$11</definedName>
    <definedName name="UNJC0180_H_SEIKYUSAKI_CD_S">UNJC0180_H!$D$24</definedName>
    <definedName name="UNJC0180_H_SEIKYUSAKI_MEI">UNJC0180_H!$H$8</definedName>
    <definedName name="UNJC0180_H_SEIKYUSAKI_MEI_S">UNJC0180_H!$D$25</definedName>
    <definedName name="UNJC0180_H_SIRYO_SHURUI">UNJC0180_H!$O$6</definedName>
    <definedName name="UNJC0180_H_SIRYO_SHURUI_S">UNJC0180_H!$D$11</definedName>
    <definedName name="UNJC0180_IF_ACTIVE_CELL_NAME">UNJC0180_IF!$AF$10</definedName>
    <definedName name="UNJC0180_IF_ACTIVE_COLUMN">UNJC0180_IF!$AF$9</definedName>
    <definedName name="UNJC0180_IF_ACTIVE_ROW">UNJC0180_IF!$AF$8</definedName>
    <definedName name="UNJC0180_IF_ACTIVE_SHEET">UNJC0180_IF!$AF$7</definedName>
    <definedName name="UNJC0180_IF_COPYSTART">UNJC0180_IF!$AM$3</definedName>
    <definedName name="UNJC0180_IF_DATA_SEARCH_FLG">UNJC0180_IF!$AF$3</definedName>
    <definedName name="UNJC0180_IF_EXCEL_COPY_SAKI">UNJC0180_IF!$FL$7</definedName>
    <definedName name="UNJC0180_IF_EXCEL_DATA_CNT">UNJC0180_IF!$FL$5</definedName>
    <definedName name="UNJC0180_IF_EXCEL_FILE_NAME">UNJC0180_IF!$FL$8</definedName>
    <definedName name="UNJC0180_IF_EXCEL_ItemsMaxCount">UNJC0180_IF!$FL$4</definedName>
    <definedName name="UNJC0180_IF_EXCEL_LIST_COPY_MOTO">UNJC0180_IF!$FN$2:$KH$2</definedName>
    <definedName name="UNJC0180_IF_EXCEL_LIST_START">UNJC0180_IF!$FL$6</definedName>
    <definedName name="UNJC0180_IF_HIDE_COLUMN">UNJC0180_IF!$FL$11</definedName>
    <definedName name="UNJC0180_IF_INIT_HEADER_COPY_MOTO">UNJC0180_IF!$F$6:$AC$17</definedName>
    <definedName name="UNJC0180_IF_INIT_HEADER_FLG_COPY_MOTO">UNJC0180_IF!$D$6:$D$10</definedName>
    <definedName name="UNJC0180_IF_ITEMS_HEADER_COPY">UNJC0180_IF!$AM$8:$BL$8</definedName>
    <definedName name="UNJC0180_IF_ITEMSCOPY">UNJC0180_IF!$AM$9:$BL$9</definedName>
    <definedName name="UNJC0180_IF_ItemsMaxCount">UNJC0180_IF!$AK$5</definedName>
    <definedName name="UNJC0180_IF_LOOPCOPYSTART">UNJC0180_IF!$BM$3</definedName>
    <definedName name="UNJC0180_IF_SENTAKU">UNJC0180_IF!$FN$4</definedName>
    <definedName name="UNJC0180_IF_SETTING">UNJC0180_IF!$AJ$3</definedName>
    <definedName name="UNJC0180_IF_W_SERIAL">UNJC0180_IF!$D$22</definedName>
    <definedName name="UNJC0180_IF_W_SERIAL_CREATE">UNJC0180_IF!$D$23</definedName>
    <definedName name="UNJC0180_IF_W_USER_ID">UNJC0180_IF!$D$21</definedName>
    <definedName name="UNJC0180_PRINT_COPY_SAKI">UNJC0180_PRINT!$B$12</definedName>
    <definedName name="UNJC0180_PRINT_IF_COPY_MOTO">UNJC0180_PRINT_IF!$B$3:$Z$3</definedName>
    <definedName name="UNJC0180_PRINT_IF_DataListStart">UNJC0180_PRINT_IF!$B$6</definedName>
    <definedName name="UNJC0180_PRINT_IF_ITEMS_NUM">UNJC0180_PRINT_IF!$AD$3</definedName>
    <definedName name="UNJC0180_PRINT_IF_LIST_CLEAR">UNJC0180_PRINT_IF!$AD$1</definedName>
    <definedName name="UNJC0180_PRINT_IF_SAMPLE_NUM">UNJC0180_PRINT_IF!$AD$2</definedName>
    <definedName name="UNJC0180_SQL_CheckCount">UNJC0180_SQL!$E$64</definedName>
    <definedName name="UNJC0180_SQL_CheckItemsCount">UNJC0180_SQL!$E$65</definedName>
    <definedName name="UNJC0180_SQL_DataCount">UNJC0180_SQL!$E$10</definedName>
    <definedName name="UNJC0180_SQL_DataSearch">UNJC0180_SQL!$E$8</definedName>
    <definedName name="UNJC0180_SQL_DataSearch_ItemsCount">UNJC0180_SQL!$E$12</definedName>
    <definedName name="UNJC0180_SQL_DataSearch_PageView">UNJC0180_SQL!$E$13</definedName>
    <definedName name="UNJC0180_SQL_Excel_DataSearch">UNJC0180_SQL!$E$74</definedName>
    <definedName name="UNJC0180_SQL_EXCEL_ItemsMaxCount">UNJC0180_SQL!$E$73</definedName>
    <definedName name="UNJC0180_SQL_HAKKO">UNJC0180_SQL!$E$66</definedName>
    <definedName name="UNJC0180_SQL_INIT_SORT">UNJC0180_SQL!$E$18</definedName>
    <definedName name="UNJC0180_SQL_ItemsCount">UNJC0180_SQL!$E$11</definedName>
    <definedName name="UNJC0180_SQL_POP_SORT">UNJC0180_SQL!$E$19</definedName>
    <definedName name="UNJC0180_SQL_SORT">UNJC0180_SQL!$E$16</definedName>
    <definedName name="UNJC0190_B_ALL_PAGE_SU">UNJC0190_IF!$C$17</definedName>
    <definedName name="UNJC0190_B_BIKO">UNJC0190_B!$B$22</definedName>
    <definedName name="UNJC0190_B_ColumnNameList">UNJC0190_B!$F$1</definedName>
    <definedName name="UNJC0190_B_COPY_SAKI">UNJC0190_IF!$C$24</definedName>
    <definedName name="UNJC0190_B_CTRL_HYOJI_GYO_SU">UNJC0190_IF!$C$14</definedName>
    <definedName name="UNJC0190_B_DataStart">UNJC0190_B!$F$7</definedName>
    <definedName name="UNJC0190_B_DECISION_NEXT_PAGE">UNJC0190_IF!$C$19</definedName>
    <definedName name="UNJC0190_B_DECISION_PREV_PAGE">UNJC0190_IF!$C$20</definedName>
    <definedName name="UNJC0190_B_EDA_COUNT">UNJC0190_B!$W$4</definedName>
    <definedName name="UNJC0190_B_FORMAT_COPY_FLG">UNJC0190_IF!$C$25</definedName>
    <definedName name="UNJC0190_B_HIDE_COLUMN">UNJC0190_B!$B$2</definedName>
    <definedName name="UNJC0190_B_HIDE_COLUMN_2">UNJC0190_B!$B$7</definedName>
    <definedName name="UNJC0190_B_HIDE_COLUMN_3_END">UNJC0190_B!$B$9</definedName>
    <definedName name="UNJC0190_B_HIDE_COLUMN_3_START">UNJC0190_B!$B$8</definedName>
    <definedName name="UNJC0190_B_HIDE_COLUMN_4">UNJC0190_B!$B$10</definedName>
    <definedName name="UNJC0190_B_HIDE_COLUMN_5_END">UNJC0190_B!$B$12</definedName>
    <definedName name="UNJC0190_B_HIDE_COLUMN_5_START">UNJC0190_B!$B$11</definedName>
    <definedName name="UNJC0190_B_HIDE_COLUMN_END">UNJC0190_B!$B$6</definedName>
    <definedName name="UNJC0190_B_HIDE_COLUMN_START">UNJC0190_B!$B$5</definedName>
    <definedName name="UNJC0190_B_HIDE_ROW">UNJC0190_B!$B$3</definedName>
    <definedName name="UNJC0190_B_HYOJI_KENSU">UNJC0190_IF!$C$18</definedName>
    <definedName name="UNJC0190_B_JURI_COUNT">UNJC0190_B!$W$3</definedName>
    <definedName name="UNJC0190_B_KENSAKU_KENSU">UNJC0190_IF!$C$15</definedName>
    <definedName name="UNJC0190_B_NEXT_PAGE_NO">UNJC0190_IF!$C$21</definedName>
    <definedName name="UNJC0190_B_PAGE_NO">UNJC0190_IF!$C$16</definedName>
    <definedName name="UNJC0190_B_PREV_PAGE_NO">UNJC0190_IF!$C$22</definedName>
    <definedName name="UNJC0190_B_ROWCLEAR">UNJC0190_B!$B$15</definedName>
    <definedName name="UNJC0190_B_ROWCLEAR_SHEETNAME">UNJC0190_B!$B$14</definedName>
    <definedName name="UNJC0190_B_SCROLL_LOCK">UNJC0190_B!$B$17</definedName>
    <definedName name="UNJC0190_B_SOKUTEI_DATE">UNJC0190_B!$B$19</definedName>
    <definedName name="UNJC0190_B_SOKUTEISHA_CD">UNJC0190_B!$B$20</definedName>
    <definedName name="UNJC0190_B_SOKUTEISHA_MEI">UNJC0190_B!$B$21</definedName>
    <definedName name="UNJC0190_B_SYOUHIN_BUNRUI_MEI">UNJC0190_B!$N$4</definedName>
    <definedName name="UNJC0190_B_TITLE_SOKUTEISHA_CD">UNJC0190_B!$AD$6</definedName>
    <definedName name="UNJC0190_B_TITLE_STATE_CD">UNJC0190_B!$AC$6</definedName>
    <definedName name="UNJC0190_B_TitleStart">UNJC0190_B!$F$6</definedName>
    <definedName name="UNJC0190_H_ATENA">UNJC0190_H!$O$14</definedName>
    <definedName name="UNJC0190_H_ATENA_CD">UNJC0190_H!$K$14</definedName>
    <definedName name="UNJC0190_H_ATENA_CD_S">UNJC0190_H!$C$26</definedName>
    <definedName name="UNJC0190_H_ATENA_S">UNJC0190_H!$C$27</definedName>
    <definedName name="UNJC0190_H_BUNSEKI_HOHO">UNJC0190_H!$K$7</definedName>
    <definedName name="UNJC0190_H_BUNSEKI_HOHO_S">UNJC0190_H!$C$12</definedName>
    <definedName name="UNJC0190_H_BUNSEKI_KOMOKU_CD">UNJC0190_H!$K$13</definedName>
    <definedName name="UNJC0190_H_BUNSEKI_KOMOKU_CD_S">UNJC0190_H!$C$6</definedName>
    <definedName name="UNJC0190_H_BUNSEKI_KOMOKU_MEI">UNJC0190_H!$J$13</definedName>
    <definedName name="UNJC0190_H_BUNSEKI_KOMOKU_MEI_S">UNJC0190_H!$C$7</definedName>
    <definedName name="UNJC0190_H_BUSHO_CD">UNJC0190_H!$J$6</definedName>
    <definedName name="UNJC0190_H_BUSHO_CD_S">UNJC0190_H!$C$10</definedName>
    <definedName name="UNJC0190_H_BUSHO_MEI">UNJC0190_H!$K$6</definedName>
    <definedName name="UNJC0190_H_BUSHO_MEI_S">UNJC0190_H!$C$11</definedName>
    <definedName name="UNJC0190_H_EDA">UNJC0190_H!$K$5</definedName>
    <definedName name="UNJC0190_H_EDA_S">UNJC0190_H!$C$9</definedName>
    <definedName name="UNJC0190_H_FREEWD_1">UNJC0190_H!$K$16</definedName>
    <definedName name="UNJC0190_H_FREEWD_1_S">UNJC0190_H!$C$28</definedName>
    <definedName name="UNJC0190_H_FREEWD_2">UNJC0190_H!$P$16</definedName>
    <definedName name="UNJC0190_H_FREEWD_2_S">UNJC0190_H!$C$29</definedName>
    <definedName name="UNJC0190_H_FREEWD_3">UNJC0190_H!$U$16</definedName>
    <definedName name="UNJC0190_H_FREEWD_3_S">UNJC0190_H!$C$30</definedName>
    <definedName name="UNJC0190_H_FREEWD_KBN">UNJC0190_H!$J$16</definedName>
    <definedName name="UNJC0190_H_HIDE_COLUMN">UNJC0190_H!$C$35</definedName>
    <definedName name="UNJC0190_H_HIDE_ROW">UNJC0190_H!$C$34</definedName>
    <definedName name="UNJC0190_H_INIT_HEADER_COPY_SAKI">UNJC0190_H!$J$3:$AF$16</definedName>
    <definedName name="UNJC0190_H_INPUT_CHECK">UNJC0190_H!$C$36</definedName>
    <definedName name="UNJC0190_H_IRAI_DATE_END">UNJC0190_H!$AC$4</definedName>
    <definedName name="UNJC0190_H_IRAI_DATE_END_S">UNJC0190_H!$C$17</definedName>
    <definedName name="UNJC0190_H_IRAI_DATE_START">UNJC0190_H!$X$4</definedName>
    <definedName name="UNJC0190_H_IRAI_DATE_START_S">UNJC0190_H!$C$16</definedName>
    <definedName name="UNJC0190_H_JOTAI">UNJC0190_H!$X$7</definedName>
    <definedName name="UNJC0190_H_JOTAI_S">UNJC0190_H!$C$20</definedName>
    <definedName name="UNJC0190_H_JURI_NO">UNJC0190_H!$K$4</definedName>
    <definedName name="UNJC0190_H_JURI_NO_S">UNJC0190_H!$C$8</definedName>
    <definedName name="UNJC0190_H_KANRYO_DATE_END">UNJC0190_H!$AC$5</definedName>
    <definedName name="UNJC0190_H_KANRYO_DATE_END_S">UNJC0190_H!$C$19</definedName>
    <definedName name="UNJC0190_H_KANRYO_DATE_START">UNJC0190_H!$X$5</definedName>
    <definedName name="UNJC0190_H_KANRYO_DATE_START_S">UNJC0190_H!$C$18</definedName>
    <definedName name="UNJC0190_H_NYURYOKU_DATE_END">UNJC0190_H!$AC$3</definedName>
    <definedName name="UNJC0190_H_NYURYOKU_DATE_END_S">UNJC0190_H!$C$15</definedName>
    <definedName name="UNJC0190_H_NYURYOKU_DATE_START">UNJC0190_H!$X$3</definedName>
    <definedName name="UNJC0190_H_NYURYOKU_DATE_START_S">UNJC0190_H!$C$14</definedName>
    <definedName name="UNJC0190_H_SIRYO_MEI">UNJC0190_H!$X$8</definedName>
    <definedName name="UNJC0190_H_SIRYO_MEI_S">UNJC0190_H!$C$21</definedName>
    <definedName name="UNJC0190_H_SIRYO_SHURUI">UNJC0190_H!$K$8</definedName>
    <definedName name="UNJC0190_H_SIRYO_SHURUI_S">UNJC0190_H!$C$13</definedName>
    <definedName name="UNJC0190_H_SOKUTEI_DATE_END">UNJC0190_H!$P$11</definedName>
    <definedName name="UNJC0190_H_SOKUTEI_DATE_END_S">UNJC0190_H!$C$25</definedName>
    <definedName name="UNJC0190_H_SOKUTEI_DATE_START">UNJC0190_H!$K$11</definedName>
    <definedName name="UNJC0190_H_SOKUTEI_DATE_START_S">UNJC0190_H!$C$24</definedName>
    <definedName name="UNJC0190_H_SOKUTEI_SHA_CD">UNJC0190_H!$J$10</definedName>
    <definedName name="UNJC0190_H_SOKUTEI_SHA_CD_S">UNJC0190_H!$C$22</definedName>
    <definedName name="UNJC0190_H_SOKUTEI_SHA_MEI">UNJC0190_H!$K$10</definedName>
    <definedName name="UNJC0190_H_SOKUTEI_SHA_MEI_S">UNJC0190_H!$C$23</definedName>
    <definedName name="UNJC0190_H_SYOUHIN_BUNRUI_CD">UNJC0190_H!$J$3</definedName>
    <definedName name="UNJC0190_H_SYOUHIN_BUNRUI_CD_S">UNJC0190_H!$C$4</definedName>
    <definedName name="UNJC0190_H_SYOUHIN_BUNRUI_MEI">UNJC0190_H!$K$3</definedName>
    <definedName name="UNJC0190_H_SYOUHIN_BUNRUI_MEI_S">UNJC0190_H!$C$5</definedName>
    <definedName name="UNJC0190_IF_ACTIVE_CELL_NAME">UNJC0190_IF!$C$11</definedName>
    <definedName name="UNJC0190_IF_ACTIVE_COLUMN">UNJC0190_IF!$C$10</definedName>
    <definedName name="UNJC0190_IF_ACTIVE_ROW">UNJC0190_IF!$C$9</definedName>
    <definedName name="UNJC0190_IF_ACTIVE_SHEET">UNJC0190_IF!$C$8</definedName>
    <definedName name="UNJC0190_IF_BUTTON_06_HYOJI">UNJC0190_IF!$C$37</definedName>
    <definedName name="UNJC0190_IF_BUTTON_06_NAME">UNJC0190_IF!$C$33</definedName>
    <definedName name="UNJC0190_IF_BUTTON_07_HYOJI">UNJC0190_IF!$C$38</definedName>
    <definedName name="UNJC0190_IF_BUTTON_10_HYOJI">UNJC0190_IF!$C$39</definedName>
    <definedName name="UNJC0190_IF_BUTTON_10_NAME">UNJC0190_IF!$C$34</definedName>
    <definedName name="UNJC0190_IF_BUTTON_19_HYOJI">UNJC0190_IF!$C$40</definedName>
    <definedName name="UNJC0190_IF_BUTTON_20_HYOJI">UNJC0190_IF!$C$41</definedName>
    <definedName name="UNJC0190_IF_ColumnNameList">UNJC0190_IF!$AO$18</definedName>
    <definedName name="UNJC0190_IF_DATA_SEARCH_FLG">UNJC0190_IF!$C$3</definedName>
    <definedName name="UNJC0190_IF_EXCEL_COPY_SAKI">UNJC0190_IF_EXCEL!$B$3</definedName>
    <definedName name="UNJC0190_IF_EXCEL_DATA_CNT">UNJC0190_IF_EXCEL!$B$1</definedName>
    <definedName name="UNJC0190_IF_EXCEL_DataStart">UNJC0190_IF_EXCEL!$D$3</definedName>
    <definedName name="UNJC0190_IF_EXCEL_FILE_NAME">UNJC0190_IF_EXCEL!$B$4</definedName>
    <definedName name="UNJC0190_IF_EXCEL_HIDE_COLUMN_2">UNJC0190_IF_EXCEL!$B$9</definedName>
    <definedName name="UNJC0190_IF_EXCEL_HIDE_COLUMN_3_END">UNJC0190_IF_EXCEL!$B$11</definedName>
    <definedName name="UNJC0190_IF_EXCEL_HIDE_COLUMN_3_START">UNJC0190_IF_EXCEL!$B$10</definedName>
    <definedName name="UNJC0190_IF_EXCEL_HIDE_COLUMN_4">UNJC0190_IF_EXCEL!$B$12</definedName>
    <definedName name="UNJC0190_IF_EXCEL_HIDE_COLUMN_5_END">UNJC0190_IF_EXCEL!$B$14</definedName>
    <definedName name="UNJC0190_IF_EXCEL_HIDE_COLUMN_5_START">UNJC0190_IF_EXCEL!$B$13</definedName>
    <definedName name="UNJC0190_IF_EXCEL_HIDE_COLUMN_END">UNJC0190_IF_EXCEL!$B$8</definedName>
    <definedName name="UNJC0190_IF_EXCEL_HIDE_COLUMN_START">UNJC0190_IF_EXCEL!$B$7</definedName>
    <definedName name="UNJC0190_IF_EXCEL_LIST_START">UNJC0190_IF_EXCEL!$B$2</definedName>
    <definedName name="UNJC0190_IF_EXCEL_TitleStart">UNJC0190_IF_EXCEL!$D$2</definedName>
    <definedName name="UNJC0190_IF_INIT_HEADER_COPY_MOTO">UNJC0190_IF!$G$7:$AC$20</definedName>
    <definedName name="UNJC0190_IF_INIT_JOTAI">UNJC0190_IF!$U$22</definedName>
    <definedName name="UNJC0190_IF_ItemizedSampleMasterList">UNJC0190_IF!$AE$5</definedName>
    <definedName name="UNJC0190_IF_ItemizedSampleMasterNumber">UNJC0190_IF!$AF$3</definedName>
    <definedName name="UNJC0190_IF_JOTAI">UNJC0190_IF!$U$11</definedName>
    <definedName name="UNJC0190_IF_KENSAKU_FLG">UNJC0190_IF!$C$44</definedName>
    <definedName name="UNJC0190_IF_LAYOUT_HEADER_COPY">UNJC0190_IF!$AO$4</definedName>
    <definedName name="UNJC0190_IF_LAYOUT_KOUMOKU_NAME_COPY">UNJC0190_IF!$AO$2</definedName>
    <definedName name="UNJC0190_IF_LayoutBond">UNJC0190_IF!$BN$3</definedName>
    <definedName name="UNJC0190_IF_LAYOUTCOPY">UNJC0190_IF!$AO$5</definedName>
    <definedName name="UNJC0190_IF_LayoutLoop">UNJC0190_IF!$AO$8</definedName>
    <definedName name="UNJC0190_IF_LayoutStart">UNJC0190_IF!$AO$3</definedName>
    <definedName name="UNJC0190_IF_MODE">UNJC0190_IF!$C$4</definedName>
    <definedName name="UNJC0190_IF_NEXTMODE">UNJC0190_IF!$C$5</definedName>
    <definedName name="UNJC0190_IF_StatusList">UNJC0190_IF!$AR$16</definedName>
    <definedName name="UNJC0190_IF_StatusList_CodeToName">UNJC0190_IF!$AR$17</definedName>
    <definedName name="UNJC0190_IF_StatusMasterData">UNJC0190_IF!$AQ$20</definedName>
    <definedName name="UNJC0190_IF_StatusMasterData_Count">UNJC0190_IF!$AS$19</definedName>
    <definedName name="UNJC0190_IF_StatusMasterJOTAI">UNJC0190_IF!$AR$20</definedName>
    <definedName name="UNJC0190_IF_W_SERIAL">UNJC0190_IF!$C$29</definedName>
    <definedName name="UNJC0190_IF_W_SERIAL_CREATE">UNJC0190_IF!$C$30</definedName>
    <definedName name="UNJC0190_IF_W_USER_ID">UNJC0190_IF!$C$28</definedName>
    <definedName name="UNJC0190_PRINT_DataStart">UNJC0190_PRINT!$B$5</definedName>
    <definedName name="UNJC0190_PRINT_IF_COPY_SAKI">UNJC0190_PRINT_IF!$C$2</definedName>
    <definedName name="UNJC0190_PRINT_IF_HYOJI_KENSU">UNJC0190_PRINT_IF!$C$1</definedName>
    <definedName name="UNJC0190_PRINT_IF_LAYOUT_HEADER_COPY">UNJC0190_PRINT_IF!$C$4</definedName>
    <definedName name="UNJC0190_PRINT_IF_LayoutBond">UNJC0190_PRINT_IF!$L$3</definedName>
    <definedName name="UNJC0190_PRINT_IF_LAYOUTCOPY">UNJC0190_PRINT_IF!$C$5</definedName>
    <definedName name="UNJC0190_PRINT_IF_LayoutLoop">UNJC0190_PRINT_IF!$C$8</definedName>
    <definedName name="UNJC0190_PRINT_IF_LayoutStart">UNJC0190_PRINT_IF!$C$3</definedName>
    <definedName name="UNJC0190_PRINT_TitleStart">UNJC0190_PRINT!$B$4</definedName>
    <definedName name="UNJC0190_SQL_BIKO_SEARCH">UNJC0190_SQL!$E$77</definedName>
    <definedName name="UNJC0190_SQL_DataCount">UNJC0190_SQL!$E$13</definedName>
    <definedName name="UNJC0190_SQL_DataSearch_Excel">UNJC0190_SQL!$E$17</definedName>
    <definedName name="UNJC0190_SQL_DataSearch_PageView">UNJC0190_SQL!$E$15</definedName>
    <definedName name="UNJC0190_SQL_DataSearch_Print">UNJC0190_SQL!$E$16</definedName>
    <definedName name="UNJC0190_SQL_GetAnalysisOrdersData">UNJC0190_SQL!$E$32</definedName>
    <definedName name="UNJC0190_SQL_GetAnalysisOrdersData_VariableItem">UNJC0190_SQL!$E$24</definedName>
    <definedName name="UNJC0190_SQL_GetItemizedSampleMaster">UNJC0190_SQL!$E$3</definedName>
    <definedName name="UNJC0190_SQL_GetStatusMaster">UNJC0190_SQL!$E$8</definedName>
    <definedName name="UNJC0190_SQL_JuriCount">UNJC0190_SQL!$E$14</definedName>
    <definedName name="UNJC0190_SQL_KOMOKU_SEARCH">UNJC0190_SQL!$E$72</definedName>
    <definedName name="UNJC0190_SQL_SaveAnalysisOrdersData">UNJC0190_SQL!$E$60</definedName>
    <definedName name="UNJC0190_SQL_SYOHINBUNRUIKBN_SEARCH">UNJC0190_SQL!$E$64</definedName>
    <definedName name="UNJC0210_B_ALL_PAGE_NUM">UNJC0210_B!$C$28</definedName>
    <definedName name="UNJC0210_B_ATENA">UNJC0210_B!$V$23</definedName>
    <definedName name="UNJC0210_B_BIKO">UNJC0210_B!$AE$23</definedName>
    <definedName name="UNJC0210_B_BODY_CHECK_COPY_SAKI">UNJC0210_B!$C$43</definedName>
    <definedName name="UNJC0210_B_BODY_COPY_SAKI">UNJC0210_B!$C$42</definedName>
    <definedName name="UNJC0210_B_BUNSEKI_HOHO">UNJC0210_B!$X$23</definedName>
    <definedName name="UNJC0210_B_BUSHO_MEI">UNJC0210_B!$U$23</definedName>
    <definedName name="UNJC0210_B_CHUKAN_DATE">UNJC0210_B!$P$23</definedName>
    <definedName name="UNJC0210_B_DATA_START">UNJC0210_B!$C$34</definedName>
    <definedName name="UNJC0210_B_DataList">UNJC0210_B!$H$24</definedName>
    <definedName name="UNJC0210_B_EDA">UNJC0210_B!$T$23</definedName>
    <definedName name="UNJC0210_B_EXIST_NEXT_PAGE">UNJC0210_B!$C$46</definedName>
    <definedName name="UNJC0210_B_EXIST_PREV_PAGE">UNJC0210_B!$C$47</definedName>
    <definedName name="UNJC0210_B_HIDE_COLUMN">UNJC0210_B!$C$38</definedName>
    <definedName name="UNJC0210_B_HIDE_ROW">UNJC0210_B!$C$37</definedName>
    <definedName name="UNJC0210_B_IRAI_DATE">UNJC0210_B!$N$23</definedName>
    <definedName name="UNJC0210_B_JOTAI">UNJC0210_B!$AB$23</definedName>
    <definedName name="UNJC0210_B_JURI_NO">UNJC0210_B!$S$23</definedName>
    <definedName name="UNJC0210_B_KANRYO_DATE">UNJC0210_B!$O$23</definedName>
    <definedName name="UNJC0210_B_KANSEI_DATE">UNJC0210_B!$Q$23</definedName>
    <definedName name="UNJC0210_B_KOMOKU_MEI">UNJC0210_B!$AA$23</definedName>
    <definedName name="UNJC0210_B_NEXT_PAGE_NO">UNJC0210_B!$C$30</definedName>
    <definedName name="UNJC0210_B_NOHIN_DATE">UNJC0210_B!$R$23</definedName>
    <definedName name="UNJC0210_B_PAGE_MAXVIEWNUM">UNJC0210_B!$C$25</definedName>
    <definedName name="UNJC0210_B_PAGE_NO">UNJC0210_B!$C$27</definedName>
    <definedName name="UNJC0210_B_PREV_PAGE_NO">UNJC0210_B!$C$31</definedName>
    <definedName name="UNJC0210_B_PRINT_MARK">UNJC0210_B!$M$23</definedName>
    <definedName name="UNJC0210_B_SCROLL_LOCK">UNJC0210_B!$C$39</definedName>
    <definedName name="UNJC0210_B_SEARCH_NUM">UNJC0210_B!$C$26</definedName>
    <definedName name="UNJC0210_B_SEIKYUSAKI_MEI">UNJC0210_B!$W$23</definedName>
    <definedName name="UNJC0210_B_SENTAKU">UNJC0210_B!$H$23</definedName>
    <definedName name="UNJC0210_B_SENTAKU_FLG">UNJC0210_B!$I$23</definedName>
    <definedName name="UNJC0210_B_SHIRYO_MEI">UNJC0210_B!$Z$23</definedName>
    <definedName name="UNJC0210_B_SHIRYO_SHURUI">UNJC0210_B!$Y$23</definedName>
    <definedName name="UNJC0210_B_SOKUTEI_DATE">UNJC0210_B!$AC$23</definedName>
    <definedName name="UNJC0210_B_SOKUTEI_USER">UNJC0210_B!$AD$23</definedName>
    <definedName name="UNJC0210_B_VIEW_NUM">UNJC0210_B!$C$29</definedName>
    <definedName name="UNJC0210_B_W_ROW">UNJC0210_B!$L$23</definedName>
    <definedName name="UNJC0210_B_W_SERIAL">UNJC0210_B!$K$23</definedName>
    <definedName name="UNJC0210_B_W_USER_ID">UNJC0210_B!$J$23</definedName>
    <definedName name="UNJC0210_H_ATENA">UNJC0210_H!$T$16</definedName>
    <definedName name="UNJC0210_H_ATENA_CD">UNJC0210_H!$P$16</definedName>
    <definedName name="UNJC0210_H_ATENA_CD_S">UNJC0210_H!$C$33</definedName>
    <definedName name="UNJC0210_H_ATENA_S">UNJC0210_H!$C$34</definedName>
    <definedName name="UNJC0210_H_BUNSEKI_HOHO">UNJC0210_H!$P$8</definedName>
    <definedName name="UNJC0210_H_BUNSEKI_HOHO_S">UNJC0210_H!$C$11</definedName>
    <definedName name="UNJC0210_H_BUNSEKI_KOMOKU_CD">UNJC0210_H!$P$15</definedName>
    <definedName name="UNJC0210_H_BUNSEKI_KOMOKU_CD_S">UNJC0210_H!$C$9</definedName>
    <definedName name="UNJC0210_H_BUNSEKI_KOMOKU_MEI">UNJC0210_H!$H$7</definedName>
    <definedName name="UNJC0210_H_BUNSEKI_KOMOKU_MEI_S">UNJC0210_H!$C$10</definedName>
    <definedName name="UNJC0210_H_BUSHO_CD">UNJC0210_H!$H$6</definedName>
    <definedName name="UNJC0210_H_BUSHO_CD_S">UNJC0210_H!$C$7</definedName>
    <definedName name="UNJC0210_H_BUSHO_MEI">UNJC0210_H!$P$7</definedName>
    <definedName name="UNJC0210_H_BUSHO_MEI_S">UNJC0210_H!$C$8</definedName>
    <definedName name="UNJC0210_H_EDA">UNJC0210_H!$P$6</definedName>
    <definedName name="UNJC0210_H_EDA_S">UNJC0210_H!$C$6</definedName>
    <definedName name="UNJC0210_H_FREEWD_1">UNJC0210_H!$P$19</definedName>
    <definedName name="UNJC0210_H_FREEWD_1_S">UNJC0210_H!$C$37</definedName>
    <definedName name="UNJC0210_H_FREEWD_2">UNJC0210_H!$U$19</definedName>
    <definedName name="UNJC0210_H_FREEWD_2_S">UNJC0210_H!$C$38</definedName>
    <definedName name="UNJC0210_H_FREEWD_3">UNJC0210_H!$Z$19</definedName>
    <definedName name="UNJC0210_H_FREEWD_3_S">UNJC0210_H!$C$39</definedName>
    <definedName name="UNJC0210_H_FREEWD_KBN">UNJC0210_H!$H$4</definedName>
    <definedName name="UNJC0210_H_FREEWD_KBN_S">UNJC0210_H!$C$41</definedName>
    <definedName name="UNJC0210_H_HIDE_COLUMN">UNJC0210_H!$H$18</definedName>
    <definedName name="UNJC0210_H_HIDE_ROW">UNJC0210_H!$H$17</definedName>
    <definedName name="UNJC0210_H_HOUKOKU_DATE_END">UNJC0210_H!$AH$8</definedName>
    <definedName name="UNJC0210_H_HOUKOKU_DATE_END_S">UNJC0210_H!$C$21</definedName>
    <definedName name="UNJC0210_H_HOUKOKU_DATE_START">UNJC0210_H!$AC$8</definedName>
    <definedName name="UNJC0210_H_HOUKOKU_DATE_START_S">UNJC0210_H!$C$20</definedName>
    <definedName name="UNJC0210_H_INIT_HEADER_COPY_SAKI">UNJC0210_H!$P$3:$AK$19</definedName>
    <definedName name="UNJC0210_H_INIT_HEADER_FLG_COPY_SAKI">UNJC0210_H!$H$3:$H$9</definedName>
    <definedName name="UNJC0210_H_IRAI_DATE_END">UNJC0210_H!$AH$6</definedName>
    <definedName name="UNJC0210_H_IRAI_DATE_END_S">UNJC0210_H!$C$17</definedName>
    <definedName name="UNJC0210_H_IRAI_DATE_START">UNJC0210_H!$AC$6</definedName>
    <definedName name="UNJC0210_H_IRAI_DATE_START_S">UNJC0210_H!$C$16</definedName>
    <definedName name="UNJC0210_H_JOTAI_END_S">UNJC0210_H!$C$32</definedName>
    <definedName name="UNJC0210_H_JOTAI_START">UNJC0210_H!$X$3</definedName>
    <definedName name="UNJC0210_H_JOTAI_START_CD">UNJC0210_H!$H$14</definedName>
    <definedName name="UNJC0210_H_JOTAI_START_CD_S">UNJC0210_H!$C$31</definedName>
    <definedName name="UNJC0210_H_JOTAI_START_S">UNJC0210_H!$C$30</definedName>
    <definedName name="UNJC0210_H_JURI_NO">UNJC0210_H!$P$5</definedName>
    <definedName name="UNJC0210_H_JURI_NO_S">UNJC0210_H!$C$5</definedName>
    <definedName name="UNJC0210_H_KANRYO_DATE_END">UNJC0210_H!$AH$7</definedName>
    <definedName name="UNJC0210_H_KANRYO_DATE_END_S">UNJC0210_H!$C$19</definedName>
    <definedName name="UNJC0210_H_KANRYO_DATE_START">UNJC0210_H!$AC$7</definedName>
    <definedName name="UNJC0210_H_KANRYO_DATE_START_S">UNJC0210_H!$C$18</definedName>
    <definedName name="UNJC0210_H_NOUHIN_DATE_END">UNJC0210_H!$AH$10</definedName>
    <definedName name="UNJC0210_H_NOUHIN_DATE_END_S">UNJC0210_H!$C$25</definedName>
    <definedName name="UNJC0210_H_NOUHIN_DATE_START">UNJC0210_H!$AC$10</definedName>
    <definedName name="UNJC0210_H_NOUHIN_DATE_START_S">UNJC0210_H!$C$24</definedName>
    <definedName name="UNJC0210_H_NYURYOKU_DATE_END">UNJC0210_H!$AH$5</definedName>
    <definedName name="UNJC0210_H_NYURYOKU_DATE_END_S">UNJC0210_H!$C$15</definedName>
    <definedName name="UNJC0210_H_NYURYOKU_DATE_START">UNJC0210_H!$AC$5</definedName>
    <definedName name="UNJC0210_H_NYURYOKU_DATE_START_S">UNJC0210_H!$C$14</definedName>
    <definedName name="UNJC0210_H_PRINT_VIEW">UNJC0210_H!$H$5</definedName>
    <definedName name="UNJC0210_H_PRINT_VIEW_S">UNJC0210_H!$C$40</definedName>
    <definedName name="UNJC0210_H_SEIKYU_CD">UNJC0210_H!$P$17</definedName>
    <definedName name="UNJC0210_H_SEIKYU_CD_S">UNJC0210_H!$C$35</definedName>
    <definedName name="UNJC0210_H_SEIKYU_MEI">UNJC0210_H!$H$8</definedName>
    <definedName name="UNJC0210_H_SEIKYU_MEI_S">UNJC0210_H!$C$36</definedName>
    <definedName name="UNJC0210_H_SIRYO_MEI">UNJC0210_H!$P$10</definedName>
    <definedName name="UNJC0210_H_SIRYO_MEI_S">UNJC0210_H!$C$13</definedName>
    <definedName name="UNJC0210_H_SIRYO_SHURUI">UNJC0210_H!$P$9</definedName>
    <definedName name="UNJC0210_H_SIRYO_SHURUI_S">UNJC0210_H!$C$12</definedName>
    <definedName name="UNJC0210_H_SOKUHOU_DATE_END">UNJC0210_H!$AH$9</definedName>
    <definedName name="UNJC0210_H_SOKUHOU_DATE_END_S">UNJC0210_H!$C$23</definedName>
    <definedName name="UNJC0210_H_SOKUHOU_DATE_START">UNJC0210_H!$AC$9</definedName>
    <definedName name="UNJC0210_H_SOKUHOU_DATE_START_S">UNJC0210_H!$C$22</definedName>
    <definedName name="UNJC0210_H_SOKUTEI_DATE_END">UNJC0210_H!$U$13</definedName>
    <definedName name="UNJC0210_H_SOKUTEI_DATE_END_S">UNJC0210_H!$C$29</definedName>
    <definedName name="UNJC0210_H_SOKUTEI_DATE_START">UNJC0210_H!$P$13</definedName>
    <definedName name="UNJC0210_H_SOKUTEI_DATE_START_S">UNJC0210_H!$C$28</definedName>
    <definedName name="UNJC0210_H_SOKUTEI_SHA_CD">UNJC0210_H!$H$9</definedName>
    <definedName name="UNJC0210_H_SOKUTEI_SHA_CD_S">UNJC0210_H!$C$26</definedName>
    <definedName name="UNJC0210_H_SOKUTEI_SHA_MEI">UNJC0210_H!$P$12</definedName>
    <definedName name="UNJC0210_H_SOKUTEI_SHA_MEI_S">UNJC0210_H!$C$27</definedName>
    <definedName name="UNJC0210_H_SYOUHIN_BUNRUI_CD">UNJC0210_H!$H$3</definedName>
    <definedName name="UNJC0210_H_SYOUHIN_BUNRUI_CD_S">UNJC0210_H!$C$3</definedName>
    <definedName name="UNJC0210_H_SYOUHIN_BUNRUI_MEI">UNJC0210_H!$P$3</definedName>
    <definedName name="UNJC0210_H_SYOUHIN_BUNRUI_MEI_S">UNJC0210_H!$C$4</definedName>
    <definedName name="UNJC0210_IF_ACTIVE_CELL_NAME">UNJC0210_IF!$C$9</definedName>
    <definedName name="UNJC0210_IF_ACTIVE_COLUMN">UNJC0210_IF!$C$8</definedName>
    <definedName name="UNJC0210_IF_ACTIVE_ROW">UNJC0210_IF!$C$7</definedName>
    <definedName name="UNJC0210_IF_ACTIVE_SHEET">UNJC0210_IF!$C$6</definedName>
    <definedName name="UNJC0210_IF_BODY_CHECK_COPY_MOTO">UNJC0210_IF!$AL$6</definedName>
    <definedName name="UNJC0210_IF_BODY_COPY_MOTO">UNJC0210_IF!$AL$6:$BI$6</definedName>
    <definedName name="UNJC0210_IF_DATA_SEARCH_FLG">UNJC0210_IF!$C$12</definedName>
    <definedName name="UNJC0210_IF_EXCEL_COPY_SAKI">UNJC0210_IF!$BN$6</definedName>
    <definedName name="UNJC0210_IF_EXCEL_DATA_CNT">UNJC0210_IF!$BN$4</definedName>
    <definedName name="UNJC0210_IF_EXCEL_FILE_NAME">UNJC0210_IF!$BN$7</definedName>
    <definedName name="UNJC0210_IF_EXCEL_LIST_COPY_MOTO">UNJC0210_IF!$BP$3:$CI$3</definedName>
    <definedName name="UNJC0210_IF_EXCEL_LIST_START">UNJC0210_IF!$BN$5</definedName>
    <definedName name="UNJC0210_IF_INIT_HEADER_COPY_MOTO">UNJC0210_IF!$M$5:$AH$21</definedName>
    <definedName name="UNJC0210_IF_INIT_HEADER_FLG_COPY_MOTO">UNJC0210_IF!$J$8:$J$14</definedName>
    <definedName name="UNJC0210_IF_JOTAI_START">UNJC0210_IF!$U$5</definedName>
    <definedName name="UNJC0210_IF_LIST_JOTAI">OFFSET(UNJC0210_IF_LIST_JOTAI_TENKAIICHI,,,IF(UNJC0210_IF_LIST_JOTAI_KENSU=0,1,UNJC0210_IF_LIST_JOTAI_KENSU),1)</definedName>
    <definedName name="UNJC0210_IF_LIST_JOTAI_KENSU">UNJC0210_IF!$C$27</definedName>
    <definedName name="UNJC0210_IF_LIST_JOTAI_TENKAIICHI">UNJC0210_IF!$B$30</definedName>
    <definedName name="UNJC0210_IF_SEARCH_CHECK">UNJC0210_IF!$C$13</definedName>
    <definedName name="UNJC0210_IF_SENTAKU">UNJC0210_IF!$BP$5</definedName>
    <definedName name="UNJC0210_IF_W_MODE">UNJC0210_IF!$C$19</definedName>
    <definedName name="UNJC0210_IF_W_SERIAL">UNJC0210_IF!$C$17</definedName>
    <definedName name="UNJC0210_IF_W_SERIAL_CREATE">UNJC0210_IF!$C$18</definedName>
    <definedName name="UNJC0210_IF_W_USER_ID">UNJC0210_IF!$C$16</definedName>
    <definedName name="UNJC0210_PRINT_COPY_START">UNJC0210_PRINT!$A$1</definedName>
    <definedName name="UNJC0210_PRINT_IF_ColumnNameList">UNJC0210_PRINT_IF!$AL$2</definedName>
    <definedName name="UNJC0210_PRINT_IF_COPY_AREA">UNJC0210_PRINT_IF!$G$1:$AI$46</definedName>
    <definedName name="UNJC0210_PRINT_IF_COPY_AREA_SUB">UNJC0210_PRINT_IF!$G$48:$AI$93</definedName>
    <definedName name="UNJC0210_PRINT_IF_DATA_LIST_CLEAR">UNJC0210_PRINT_IF!$C$9</definedName>
    <definedName name="UNJC0210_PRINT_IF_ERROR_FLG">UNJC0210_PRINT_IF!$C$13</definedName>
    <definedName name="UNJC0210_PRINT_IF_ItemizedSampleMasterList">UNJC0210_PRINT_IF!$AN$4</definedName>
    <definedName name="UNJC0210_PRINT_IF_ItemizedSampleMasterList_End">UNJC0210_PRINT_IF!$AV$4</definedName>
    <definedName name="UNJC0210_PRINT_IF_ItemizedSampleMasterNumber">UNJC0210_PRINT_IF!$AO$2</definedName>
    <definedName name="UNJC0210_PRINT_IF_LabelList">UNJC0210_PRINT_IF!$AX$4</definedName>
    <definedName name="UNJC0210_PRINT_IF_LabelList_End">UNJC0210_PRINT_IF!$BI$4</definedName>
    <definedName name="UNJC0210_PRINT_IF_LabelListNum">UNJC0210_PRINT_IF!$AY$2</definedName>
    <definedName name="UNJC0210_PRINT_IF_MASTER_LIST_CLEAR">UNJC0210_PRINT_IF!$C$8</definedName>
    <definedName name="UNJC0210_PRINT_IF_PASTE_AREA">UNJC0210_PRINT_IF!$G$12:$AI$46</definedName>
    <definedName name="UNJC0210_PRINT_IF_PASTE_AREA_SUB">UNJC0210_PRINT_IF!$G$51:$AI$93</definedName>
    <definedName name="UNJC0210_PRINT_IF_PRINT_COUNT">UNJC0210_PRINT_IF!$C$11</definedName>
    <definedName name="UNJC0210_PRINT_IF_SUB_Layout">UNJC0210_PRINT_IF_SUB!$B$8</definedName>
    <definedName name="UNJC0210_PRINT_IF_SUB_LayoutBase">UNJC0210_PRINT_IF_SUB!$B$3</definedName>
    <definedName name="UNJC0210_SQL_COUNT">UNJC0210_SQL!$E$9</definedName>
    <definedName name="UNJC0210_SQL_DEFAULT_JOTAI">UNJC0210_SQL!$E$91</definedName>
    <definedName name="UNJC0210_SQL_DISP_LIST">UNJC0210_SQL!$E$13</definedName>
    <definedName name="UNJC0210_SQL_EXCEL_LOAD">UNJC0210_SQL!$E$15</definedName>
    <definedName name="UNJC0210_SQL_INIT_SORT">UNJC0210_SQL!$E$89</definedName>
    <definedName name="UNJC0210_SQL_JOTAI_LIST">UNJC0210_SQL!$E$90</definedName>
    <definedName name="UNJC0210_SQL_PRINT_COUNT">UNJC0210_SQL!$E$28</definedName>
    <definedName name="UNJC0210_SQL_PRINT_LOAD">UNJC0210_SQL!$E$18</definedName>
    <definedName name="UNJC0210_SQL_PRINT_SAMPLE_DATA">UNJC0210_SQL!$E$24</definedName>
    <definedName name="UNJC0210_SQL_SEARCH_LOAD">UNJC0210_SQL!$E$43</definedName>
    <definedName name="UNJC0210_SQL_SHOHIN_BUNRUI_SEARCH">UNJC0210_SQL!$E$85</definedName>
    <definedName name="UNJC0210_SQL_SORT">UNJC0210_SQL!$E$34</definedName>
    <definedName name="UNJC0210_SQL_SORT_SEARCH">UNJC0210_SQL!$E$84</definedName>
    <definedName name="UNJC0210_SQL_TABLE_UPDATE">UNJC0210_SQL!$E$11</definedName>
    <definedName name="UNJC0220_B_ALL_KENSU">UNJC0220_B!$D$22</definedName>
    <definedName name="UNJC0220_B_ALL_PAGE_SU">UNJC0220_B!$D$24</definedName>
    <definedName name="UNJC0220_B_BACK_PAGE">UNJC0220_B!$D$37</definedName>
    <definedName name="UNJC0220_B_BACK_PAGE_NO">UNJC0220_B!$D$35</definedName>
    <definedName name="UNJC0220_B_BARA_TANI">UNJC0220_B!$N$18</definedName>
    <definedName name="UNJC0220_B_HIDE_COLUMN">UNJC0220_B!$D$19</definedName>
    <definedName name="UNJC0220_B_HIDE_ROW">UNJC0220_B!$D$18</definedName>
    <definedName name="UNJC0220_B_HOKAN_BASHO_KBN_MEI">UNJC0220_B!$Q$18</definedName>
    <definedName name="UNJC0220_B_HYOJI_GYO_SU">UNJC0220_B!$D$26</definedName>
    <definedName name="UNJC0220_B_HYOJI_KENSU">UNJC0220_B!$D$25</definedName>
    <definedName name="UNJC0220_B_IRISU">UNJC0220_B!$M$18</definedName>
    <definedName name="UNJC0220_B_IRISU_TANI">UNJC0220_B!$P$18</definedName>
    <definedName name="UNJC0220_B_JURI_NO">UNJC0220_B!$Y$18</definedName>
    <definedName name="UNJC0220_B_KOBAIHIN_CD">UNJC0220_B!$J$18</definedName>
    <definedName name="UNJC0220_B_LIST_CLEAR">UNJC0220_B!$D$32</definedName>
    <definedName name="UNJC0220_B_LIST_COPY_FLG">UNJC0220_B!$D$30</definedName>
    <definedName name="UNJC0220_B_LIST_COPY_SAKI">UNJC0220_B!$D$31</definedName>
    <definedName name="UNJC0220_B_LIST_END">UNJC0220_B!$D$29</definedName>
    <definedName name="UNJC0220_B_LIST_START">UNJC0220_B!$D$28</definedName>
    <definedName name="UNJC0220_B_MAKER_CD">UNJC0220_B!$R$18</definedName>
    <definedName name="UNJC0220_B_MAKER_MEI">UNJC0220_B!$S$18</definedName>
    <definedName name="UNJC0220_B_NEXT_PAGE">UNJC0220_B!$D$38</definedName>
    <definedName name="UNJC0220_B_NEXT_PAGE_NO">UNJC0220_B!$D$34</definedName>
    <definedName name="UNJC0220_B_NYURYOKUSHA_MEI">UNJC0220_B!$I$18</definedName>
    <definedName name="UNJC0220_B_NYUSHUKKO_NO">UNJC0220_B!$W$18</definedName>
    <definedName name="UNJC0220_B_PAGE_NO">UNJC0220_B!$D$23</definedName>
    <definedName name="UNJC0220_B_SCROLL_LOCK">UNJC0220_B!$D$20</definedName>
    <definedName name="UNJC0220_B_SELECT_GYO_NO">UNJC0220_B!$D$40</definedName>
    <definedName name="UNJC0220_B_SELECT_NYUSHUKKO_NO">UNJC0220_B!$D$41</definedName>
    <definedName name="UNJC0220_B_SENTAKU">UNJC0220_B!$G$18</definedName>
    <definedName name="UNJC0220_B_SHIIRESAKI_CD">UNJC0220_B!$T$18</definedName>
    <definedName name="UNJC0220_B_SHIIRESAKI_MEI">UNJC0220_B!$U$18</definedName>
    <definedName name="UNJC0220_B_SHUKKO_JIYU">UNJC0220_B!$V$18</definedName>
    <definedName name="UNJC0220_B_SHUKKO_SURYO">UNJC0220_B!$O$18</definedName>
    <definedName name="UNJC0220_B_TANKA">UNJC0220_B!$L$18</definedName>
    <definedName name="UNJC0220_B_UKEIRE_DATE">UNJC0220_B!$H$18</definedName>
    <definedName name="UNJC0220_B_ZAIKO_NO">UNJC0220_B!$X$18</definedName>
    <definedName name="UNJC0220_H_COPY_CELL_SAKI">UNJC0220_H!$H$3:$M$14</definedName>
    <definedName name="UNJC0220_H_FREEWD_1">UNJC0220_H!$H$14</definedName>
    <definedName name="UNJC0220_H_FREEWD_1_S">UNJC0220_H!$D$32</definedName>
    <definedName name="UNJC0220_H_FREEWD_2">UNJC0220_H!$J$14</definedName>
    <definedName name="UNJC0220_H_FREEWD_2_S">UNJC0220_H!$D$33</definedName>
    <definedName name="UNJC0220_H_FREEWD_3">UNJC0220_H!$L$14</definedName>
    <definedName name="UNJC0220_H_FREEWD_3_S">UNJC0220_H!$D$34</definedName>
    <definedName name="UNJC0220_H_FREEWD_KBN">UNJC0220_H!$D$12</definedName>
    <definedName name="UNJC0220_H_FREEWD_KBN_DISP">UNJC0220_H!$I$14</definedName>
    <definedName name="UNJC0220_H_FREEWD_KBN_S">UNJC0220_H!$D$35</definedName>
    <definedName name="UNJC0220_H_HIDE_COLUMN">UNJC0220_H!$D$3</definedName>
    <definedName name="UNJC0220_H_HIDE_ROW">UNJC0220_H!$D$2</definedName>
    <definedName name="UNJC0220_H_HOKAN_BASHO_KBN">UNJC0220_H!$D$11</definedName>
    <definedName name="UNJC0220_H_HOKAN_BASHO_KBN_MEI">UNJC0220_H!$H$10</definedName>
    <definedName name="UNJC0220_H_HOKAN_BASHO_KBN_MEI_S">UNJC0220_H!$D$29</definedName>
    <definedName name="UNJC0220_H_HOKAN_BASHO_KBN_S">UNJC0220_H!$D$28</definedName>
    <definedName name="UNJC0220_H_INIT_HEADER_DATA_COPY_SAKI">UNJC0220_H!$D$7:$D$12</definedName>
    <definedName name="UNJC0220_H_JURI_NO">UNJC0220_H!$H$5</definedName>
    <definedName name="UNJC0220_H_JURI_NO_S">UNJC0220_H!$D$21</definedName>
    <definedName name="UNJC0220_H_KOBAIHIN_CD">UNJC0220_H!$H$7</definedName>
    <definedName name="UNJC0220_H_KOBAIHIN_CD_S">UNJC0220_H!$D$22</definedName>
    <definedName name="UNJC0220_H_KOBAIHIN_MEI">UNJC0220_H!$D$8</definedName>
    <definedName name="UNJC0220_H_KOBAIHIN_MEI_S">UNJC0220_H!$D$23</definedName>
    <definedName name="UNJC0220_H_MAKER_CD">UNJC0220_H!$H$9</definedName>
    <definedName name="UNJC0220_H_MAKER_CD_S">UNJC0220_H!$D$26</definedName>
    <definedName name="UNJC0220_H_MAKER_MEI">UNJC0220_H!$D$10</definedName>
    <definedName name="UNJC0220_H_MAKER_MEI_S">UNJC0220_H!$D$27</definedName>
    <definedName name="UNJC0220_H_NYURYOKUSHA_CD">UNJC0220_H!$D$7</definedName>
    <definedName name="UNJC0220_H_NYURYOKUSHA_CD_S">UNJC0220_H!$D$17</definedName>
    <definedName name="UNJC0220_H_NYURYOKUSHA_MEI">UNJC0220_H!$L$3</definedName>
    <definedName name="UNJC0220_H_NYURYOKUSHA_MEI_S">UNJC0220_H!$D$18</definedName>
    <definedName name="UNJC0220_H_NYUSHUKKO_NO">UNJC0220_H!$H$3</definedName>
    <definedName name="UNJC0220_H_NYUSHUKKO_NO_S">UNJC0220_H!$D$19</definedName>
    <definedName name="UNJC0220_H_SHIIRESAKI_CD">UNJC0220_H!$H$8</definedName>
    <definedName name="UNJC0220_H_SHIIRESAKI_CD_S">UNJC0220_H!$D$24</definedName>
    <definedName name="UNJC0220_H_SHIIRESAKI_MEI">UNJC0220_H!$D$9</definedName>
    <definedName name="UNJC0220_H_SHIIRESAKI_MEI_S">UNJC0220_H!$D$25</definedName>
    <definedName name="UNJC0220_H_SHUKKO_DATE_END">UNJC0220_H!$J$12</definedName>
    <definedName name="UNJC0220_H_SHUKKO_DATE_END_S">UNJC0220_H!$D$31</definedName>
    <definedName name="UNJC0220_H_SHUKKO_DATE_START">UNJC0220_H!$H$12</definedName>
    <definedName name="UNJC0220_H_SHUKKO_DATE_START_S">UNJC0220_H!$D$30</definedName>
    <definedName name="UNJC0220_H_ZAIKO_NO">UNJC0220_H!$H$4</definedName>
    <definedName name="UNJC0220_H_ZAIKO_NO_S">UNJC0220_H!$D$20</definedName>
    <definedName name="UNJC0220_IF_ACTIVE_CELL_NAME">UNJC0220_IF!$D$16</definedName>
    <definedName name="UNJC0220_IF_ACTIVE_COLUMN">UNJC0220_IF!$D$14</definedName>
    <definedName name="UNJC0220_IF_ACTIVE_ROW">UNJC0220_IF!$D$13</definedName>
    <definedName name="UNJC0220_IF_ACTIVE_SHEET">UNJC0220_IF!$D$12</definedName>
    <definedName name="UNJC0220_IF_DATA_SEARCH_FLG">UNJC0220_IF!$D$8</definedName>
    <definedName name="UNJC0220_IF_EXCEL_FILE_NAME">UNJC0220_IF!$AT$10</definedName>
    <definedName name="UNJC0220_IF_INIT_HEADER_COPY_MOTO">UNJC0220_IF!$AJ$4:$AO$15</definedName>
    <definedName name="UNJC0220_IF_INIT_HEADER_DATA_COPY_MOTO">UNJC0220_IF!$AF$5:$AF$10</definedName>
    <definedName name="UNJC0220_IF_LIST_COPY_MOTO">UNJC0220_IF!$D$5:$AC$5</definedName>
    <definedName name="UNJC0220_IF_LIST_DEFAULT">UNJC0220_IF!$D$4:$AC$4</definedName>
    <definedName name="UNJC0220_IF_PRINT_COUNT">UNJC0220_IF!$AT$6</definedName>
    <definedName name="UNJC0220_IF_PRINT_SHOSHIKI_COPY_FLG">UNJC0220_IF!$AT$8</definedName>
    <definedName name="UNJC0220_IF_PRINT_SHOSHIKI_COPY_MOTO">UNJC0220_IF!$AV$3:$BT$3</definedName>
    <definedName name="UNJC0220_IF_PRINT_SHOSHIKI_COPY_SAKI">UNJC0220_IF!$AT$7</definedName>
    <definedName name="UNJC0220_IF_PRINT_START">UNJC0220_IF!$AV$5</definedName>
    <definedName name="UNJC0220_SQL_DEFAULT_SORT">UNJC0220_SQL!$F$41</definedName>
    <definedName name="UNJC0220_SQL_EXCEL_LIST">UNJC0220_SQL!$F$9</definedName>
    <definedName name="UNJC0220_SQL_SHUKKO_KENSAKU_LIST">UNJC0220_SQL!$F$6</definedName>
    <definedName name="UNJC0220_SQL_SHUKKO_KENSAKU_LIST_CNT">UNJC0220_SQL!$F$12</definedName>
    <definedName name="UNJC0220_SQL_SORT">UNJC0220_SQL!$F$32</definedName>
    <definedName name="UNJC0220_SQL_SORT_BY">UNJC0220_SQL!$F$37</definedName>
    <definedName name="UNJC0230_B_BARA_TANI">UNJC0230_B!$K$16</definedName>
    <definedName name="UNJC0230_B_BIKO">UNJC0230_B!$H$21</definedName>
    <definedName name="UNJC0230_B_CODE_AREA">UNJC0230_B!$D$12:$D$17</definedName>
    <definedName name="UNJC0230_B_COPY_SAKI">UNJC0230_B!$H$7:$K$24</definedName>
    <definedName name="UNJC0230_B_HIDE_COLUMN">UNJC0230_B!$D$9</definedName>
    <definedName name="UNJC0230_B_HIDE_ROW">UNJC0230_B!$D$8</definedName>
    <definedName name="UNJC0230_B_HOKAN_BASHO">UNJC0230_B!$H$11</definedName>
    <definedName name="UNJC0230_B_HOKAN_BASHO_KBN">UNJC0230_B!$D$13</definedName>
    <definedName name="UNJC0230_B_HOKAN_ZAIKO_SURYO">UNJC0230_B!$H$12</definedName>
    <definedName name="UNJC0230_B_IRAI_NO">UNJC0230_B!$D$15</definedName>
    <definedName name="UNJC0230_B_IRISU">UNJC0230_B!$K$15</definedName>
    <definedName name="UNJC0230_B_IRISU_TANI">UNJC0230_B!$K$17</definedName>
    <definedName name="UNJC0230_B_JIYU">UNJC0230_B!$H$23</definedName>
    <definedName name="UNJC0230_B_JURI_NO">UNJC0230_B!$H$9</definedName>
    <definedName name="UNJC0230_B_KENSHU_DATE">UNJC0230_B!$K$11</definedName>
    <definedName name="UNJC0230_B_KOBAIHIN_CD">UNJC0230_B!$H$14</definedName>
    <definedName name="UNJC0230_B_KOBAIHIN_MEI">UNJC0230_B!$I$14</definedName>
    <definedName name="UNJC0230_B_MAKER_CD">UNJC0230_B!$H$20</definedName>
    <definedName name="UNJC0230_B_MAKER_MEI">UNJC0230_B!$I$20</definedName>
    <definedName name="UNJC0230_B_NYURYOKUSHA_CD">UNJC0230_B!$D$12</definedName>
    <definedName name="UNJC0230_B_NYURYOKUSHA_MEI">UNJC0230_B!$H$10</definedName>
    <definedName name="UNJC0230_B_NYUSHUKKO_NO">UNJC0230_B!$H$7</definedName>
    <definedName name="UNJC0230_B_SHIIRESAKI_CD">UNJC0230_B!$H$19</definedName>
    <definedName name="UNJC0230_B_SHIIRESAKI_MEI">UNJC0230_B!$I$19</definedName>
    <definedName name="UNJC0230_B_SHIYAKU_FLG">UNJC0230_B!$D$17</definedName>
    <definedName name="UNJC0230_B_SHUKKO_DATE">UNJC0230_B!$K$9</definedName>
    <definedName name="UNJC0230_B_SURYO">UNJC0230_B!$H$17</definedName>
    <definedName name="UNJC0230_B_SURYO_BEFORE">UNJC0230_B!$D$16</definedName>
    <definedName name="UNJC0230_B_TANKA">UNJC0230_B!$H$15</definedName>
    <definedName name="UNJC0230_B_UKEIRE_DATE">UNJC0230_B!$K$10</definedName>
    <definedName name="UNJC0230_B_YOSAN_CD">UNJC0230_B!$K$12</definedName>
    <definedName name="UNJC0230_B_YOSAN_MEI">UNJC0230_B!$D$14</definedName>
    <definedName name="UNJC0230_B_ZAIKO_SURYO">UNJC0230_B!$H$16</definedName>
    <definedName name="UNJC0230_H_COPY_SAKI">UNJC0230_H!$G$3:$H$3</definedName>
    <definedName name="UNJC0230_H_DATA_COUNT">UNJC0230_H!$D$5</definedName>
    <definedName name="UNJC0230_H_DBS_01">UNJC0230_H!$D$3</definedName>
    <definedName name="UNJC0230_H_HIDE_COLUMN">UNJC0230_H!$D$9</definedName>
    <definedName name="UNJC0230_H_HIDE_ROW">UNJC0230_H!$D$8</definedName>
    <definedName name="UNJC0230_H_ZAIKO_NO">UNJC0230_H!$H$3</definedName>
    <definedName name="UNJC0230_IF_ACTIVE_CELL_NAME">UNJC0230_IF!$D$15</definedName>
    <definedName name="UNJC0230_IF_ACTIVE_COLUMN">UNJC0230_IF!$D$14</definedName>
    <definedName name="UNJC0230_IF_ACTIVE_ROW">UNJC0230_IF!$D$13</definedName>
    <definedName name="UNJC0230_IF_ACTIVE_SHEET">UNJC0230_IF!$D$12</definedName>
    <definedName name="UNJC0230_IF_BUTTON_06_HYOJI">UNJC0230_IF!$D$22</definedName>
    <definedName name="UNJC0230_IF_BUTTON_06_NAME">UNJC0230_IF!$D$18</definedName>
    <definedName name="UNJC0230_IF_BUTTON_07_HYOJI">UNJC0230_IF!$D$23</definedName>
    <definedName name="UNJC0230_IF_BUTTON_10_ERROR">UNJC0230_IF!$D$28</definedName>
    <definedName name="UNJC0230_IF_BUTTON_10_ERROR_MSG">UNJC0230_IF!$D$29</definedName>
    <definedName name="UNJC0230_IF_BUTTON_10_HYOJI">UNJC0230_IF!$D$24</definedName>
    <definedName name="UNJC0230_IF_BUTTON_10_NAME">UNJC0230_IF!$D$19</definedName>
    <definedName name="UNJC0230_IF_BUTTON_20_HYOJI">UNJC0230_IF!$D$25</definedName>
    <definedName name="UNJC0230_IF_COPY_B_INIT">UNJC0230_IF!$O$68:$R$85</definedName>
    <definedName name="UNJC0230_IF_COPY_B_SANSHO">UNJC0230_IF!$O$47:$R$64</definedName>
    <definedName name="UNJC0230_IF_COPY_B_SHINKI">UNJC0230_IF!$O$4:$R$21</definedName>
    <definedName name="UNJC0230_IF_COPY_B_SHUSEI">UNJC0230_IF!$O$26:$R$43</definedName>
    <definedName name="UNJC0230_IF_COPY_H_INIT">UNJC0230_IF!$K$20:$L$20</definedName>
    <definedName name="UNJC0230_IF_COPY_H_SANSHO">UNJC0230_IF!$K$15:$L$15</definedName>
    <definedName name="UNJC0230_IF_COPY_H_SHINKI">UNJC0230_IF!$K$5:$L$5</definedName>
    <definedName name="UNJC0230_IF_COPY_H_SHUSEI">UNJC0230_IF!$K$10:$L$10</definedName>
    <definedName name="UNJC0230_IF_DATA_SEARCH_FLG">UNJC0230_IF!$D$3</definedName>
    <definedName name="UNJC0230_IF_EXCEL_FILE_NAME">UNJC0230_IF!$D$32</definedName>
    <definedName name="UNJC0230_IF_INPUT_CHECK">UNJC0230_IF!$AB$26</definedName>
    <definedName name="UNJC0230_IF_INPUT_ERROR_MESSAGE">UNJC0230_IF!$AB$27</definedName>
    <definedName name="UNJC0230_IF_MODE">UNJC0230_IF!$D$8</definedName>
    <definedName name="UNJC0230_IF_REF_NO">UNJC0230_IF!$D$4</definedName>
    <definedName name="UNJC0230_IF_SAVE_CHECK_ERROR_KOMOKU">UNJC0230_IF!$AB$30</definedName>
    <definedName name="UNJC0230_IF_SAVE_CHECK_RESULT">UNJC0230_IF!$AA$30</definedName>
    <definedName name="UNJC0230_IF_SAVE_ERROR_CHECK">UNJC0230_IF!$W$19</definedName>
    <definedName name="UNJC0230_IF_SAVE_ERROR_MESSAGE">UNJC0230_IF!$W$20</definedName>
    <definedName name="UNJC0230_IF_SAVE_KENSU">UNJC0230_IF!$W$11</definedName>
    <definedName name="UNJC0230_IF_SAVE_NYURYOKUSHA_CD">UNJC0230_IF!$AO$5</definedName>
    <definedName name="UNJC0230_IF_SAVE_RESULT_CD">UNJC0230_IF!$W$17</definedName>
    <definedName name="UNJC0230_IF_SAVE_RESULT_MESSAGE">UNJC0230_IF!$W$18</definedName>
    <definedName name="UNJC0230_IF_SAVE_RESULT_NYUSHUKKO_NO">UNJC0230_IF!$W$16</definedName>
    <definedName name="UNJC0230_IF_SAVE_SHUKKO_DATE">UNJC0230_IF!$AQ$5</definedName>
    <definedName name="UNJC0230_IF_SAVE_SHUKKO_SURYO">UNJC0230_IF!$AR$5</definedName>
    <definedName name="UNJC0230_IF_SAVE_START">UNJC0230_IF!$AG$5</definedName>
    <definedName name="UNJC0230_IF_SAVE_ZAIKO_NO">UNJC0230_IF!$AL$5</definedName>
    <definedName name="UNJC0230_IF_SHIYAKU_FLG">UNJC0230_IF!$D$5</definedName>
    <definedName name="UNJC0230_IF_W_MODE">UNJC0230_IF!$W$7</definedName>
    <definedName name="UNJC0230_IF_W_SERIAL">UNJC0230_IF!$W$5</definedName>
    <definedName name="UNJC0230_IF_W_SERIAL_CREATE">UNJC0230_IF!$W$6</definedName>
    <definedName name="UNJC0230_IF_W_USER_ID">UNJC0230_IF!$W$4</definedName>
    <definedName name="UNJC0230_SQL_DATA">UNJC0230_SQL!$F$3</definedName>
    <definedName name="UNJC0230_SQL_DATA_COUNT">UNJC0230_SQL!$F$12</definedName>
    <definedName name="UNJC0230_SQL_DEFAULT_NYURYOKUSHA">UNJC0230_SQL!$F$22</definedName>
    <definedName name="UNJC0230_SQL_PROC">UNJC0230_SQL!$F$18</definedName>
    <definedName name="UNJC0240_B_ALL_KENSU">UNJC0240_B!$D$11</definedName>
    <definedName name="UNJC0240_B_ALL_PAGE_SU">UNJC0240_B!$D$13</definedName>
    <definedName name="UNJC0240_B_BACK_PAGE">UNJC0240_B!$D$25</definedName>
    <definedName name="UNJC0240_B_BACK_PAGE_NO">UNJC0240_B!$D$24</definedName>
    <definedName name="UNJC0240_B_BARA_TANI">UNJC0240_B!$M$7</definedName>
    <definedName name="UNJC0240_B_GYO">UNJC0240_B!$G$7</definedName>
    <definedName name="UNJC0240_B_HIDE_COLUMN">UNJC0240_B!$D$8</definedName>
    <definedName name="UNJC0240_B_HIDE_ROW">UNJC0240_B!$D$7</definedName>
    <definedName name="UNJC0240_B_HOKAN_BASHO">UNJC0240_B!$P$7</definedName>
    <definedName name="UNJC0240_B_HYOJI_GYO_SU">UNJC0240_B!$D$15</definedName>
    <definedName name="UNJC0240_B_HYOJI_KENSU">UNJC0240_B!$D$14</definedName>
    <definedName name="UNJC0240_B_IRISU">UNJC0240_B!$L$7</definedName>
    <definedName name="UNJC0240_B_IRISU_TANI">UNJC0240_B!$O$7</definedName>
    <definedName name="UNJC0240_B_KOBAIHIN_CD">UNJC0240_B!$H$7</definedName>
    <definedName name="UNJC0240_B_KOBAIHIN_MEI">UNJC0240_B!$I$7</definedName>
    <definedName name="UNJC0240_B_LIST_CLEAR">UNJC0240_B!$D$21</definedName>
    <definedName name="UNJC0240_B_LIST_COPY_FLG">UNJC0240_B!$D$19</definedName>
    <definedName name="UNJC0240_B_LIST_COPY_SAKI">UNJC0240_B!$D$20</definedName>
    <definedName name="UNJC0240_B_LIST_END">UNJC0240_B!$D$18</definedName>
    <definedName name="UNJC0240_B_LIST_START">UNJC0240_B!$D$17</definedName>
    <definedName name="UNJC0240_B_MAKER_CD">UNJC0240_B!$J$7</definedName>
    <definedName name="UNJC0240_B_MAKER_MEI">UNJC0240_B!$K$7</definedName>
    <definedName name="UNJC0240_B_NEXT_PAGE">UNJC0240_B!$D$26</definedName>
    <definedName name="UNJC0240_B_NEXT_PAGE_NO">UNJC0240_B!$D$23</definedName>
    <definedName name="UNJC0240_B_NYUKO_DATE">UNJC0240_B!$T$7</definedName>
    <definedName name="UNJC0240_B_PAGE_NO">UNJC0240_B!$D$12</definedName>
    <definedName name="UNJC0240_B_SCROLL_LOCK">UNJC0240_B!$D$9</definedName>
    <definedName name="UNJC0240_B_SHIIRESAKI_CD">UNJC0240_B!$R$7</definedName>
    <definedName name="UNJC0240_B_SHIIRESAKI_MEI">UNJC0240_B!$S$7</definedName>
    <definedName name="UNJC0240_B_SHUKKO_DATE">UNJC0240_B!$U$7</definedName>
    <definedName name="UNJC0240_B_ZAIKO_SU">UNJC0240_B!$N$7</definedName>
    <definedName name="UNJC0240_H_COPY_CELL_SAKI">UNJC0240_H!$H$3:$M$11</definedName>
    <definedName name="UNJC0240_H_DOKU_FLG">UNJC0240_H!$D$11</definedName>
    <definedName name="UNJC0240_H_DOKU_FLG_S">UNJC0240_H!$D$29</definedName>
    <definedName name="UNJC0240_H_FREEWD_1">UNJC0240_H!$H$11</definedName>
    <definedName name="UNJC0240_H_FREEWD_1_S">UNJC0240_H!$D$30</definedName>
    <definedName name="UNJC0240_H_FREEWD_2">UNJC0240_H!$J$11</definedName>
    <definedName name="UNJC0240_H_FREEWD_2_S">UNJC0240_H!$D$31</definedName>
    <definedName name="UNJC0240_H_FREEWD_3">UNJC0240_H!$L$11</definedName>
    <definedName name="UNJC0240_H_FREEWD_3_S">UNJC0240_H!$D$32</definedName>
    <definedName name="UNJC0240_H_FREEWD_KBN">UNJC0240_H!$D$12</definedName>
    <definedName name="UNJC0240_H_FREEWD_KBN_DISP">UNJC0240_H!$I$11</definedName>
    <definedName name="UNJC0240_H_FREEWD_KBN_S">UNJC0240_H!$D$33</definedName>
    <definedName name="UNJC0240_H_HIDE_COLUMN">UNJC0240_H!$D$3</definedName>
    <definedName name="UNJC0240_H_HIDE_ROW">UNJC0240_H!$D$2</definedName>
    <definedName name="UNJC0240_H_HOKAN_BASHO_KBN">UNJC0240_H!$D$10</definedName>
    <definedName name="UNJC0240_H_HOKAN_BASHO_KBN_MEI">UNJC0240_H!$H$6</definedName>
    <definedName name="UNJC0240_H_HOKAN_BASHO_KBN_MEI_S">UNJC0240_H!$D$24</definedName>
    <definedName name="UNJC0240_H_HOKAN_BASHO_KBN_S">UNJC0240_H!$D$23</definedName>
    <definedName name="UNJC0240_H_INIT_HEADER_DATA_COPY_SAKI">UNJC0240_H!$D$7:$D$12</definedName>
    <definedName name="UNJC0240_H_KOBAIHIN_CD">UNJC0240_H!$H$3</definedName>
    <definedName name="UNJC0240_H_KOBAIHIN_CD_S">UNJC0240_H!$D$17</definedName>
    <definedName name="UNJC0240_H_KOBAIHIN_MEI">UNJC0240_H!$D$7</definedName>
    <definedName name="UNJC0240_H_KOBAIHIN_MEI_S">UNJC0240_H!$D$18</definedName>
    <definedName name="UNJC0240_H_MAKER_CD">UNJC0240_H!$H$5</definedName>
    <definedName name="UNJC0240_H_MAKER_CD_S">UNJC0240_H!$D$21</definedName>
    <definedName name="UNJC0240_H_MAKER_MEI">UNJC0240_H!$D$9</definedName>
    <definedName name="UNJC0240_H_MAKER_MEI_S">UNJC0240_H!$D$22</definedName>
    <definedName name="UNJC0240_H_NYUKO_DATE_END">UNJC0240_H!$J$8</definedName>
    <definedName name="UNJC0240_H_NYUKO_DATE_END_S">UNJC0240_H!$D$26</definedName>
    <definedName name="UNJC0240_H_NYUKO_DATE_START">UNJC0240_H!$H$8</definedName>
    <definedName name="UNJC0240_H_NYUKO_DATE_START_S">UNJC0240_H!$D$25</definedName>
    <definedName name="UNJC0240_H_SHIIRESAKI_CD">UNJC0240_H!$H$4</definedName>
    <definedName name="UNJC0240_H_SHIIRESAKI_CD_S">UNJC0240_H!$D$19</definedName>
    <definedName name="UNJC0240_H_SHIIRESAKI_MEI">UNJC0240_H!$D$8</definedName>
    <definedName name="UNJC0240_H_SHIIRESAKI_MEI_S">UNJC0240_H!$D$20</definedName>
    <definedName name="UNJC0240_H_SHUKKO_DATE_END">UNJC0240_H!$J$9</definedName>
    <definedName name="UNJC0240_H_SHUKKO_DATE_END_S">UNJC0240_H!$D$28</definedName>
    <definedName name="UNJC0240_H_SHUKKO_DATE_START">UNJC0240_H!$H$9</definedName>
    <definedName name="UNJC0240_H_SHUKKO_DATE_START_S">UNJC0240_H!$D$27</definedName>
    <definedName name="UNJC0240_IF_ACTIVE_CELL_NAME">UNJC0240_IF!$D$16</definedName>
    <definedName name="UNJC0240_IF_ACTIVE_COLUMN">UNJC0240_IF!$D$14</definedName>
    <definedName name="UNJC0240_IF_ACTIVE_ROW">UNJC0240_IF!$D$13</definedName>
    <definedName name="UNJC0240_IF_ACTIVE_SHEET">UNJC0240_IF!$D$12</definedName>
    <definedName name="UNJC0240_IF_DATA_SEARCH_FLG">UNJC0240_IF!$D$8</definedName>
    <definedName name="UNJC0240_IF_EXCEL_FILE_NAME">UNJC0240_IF!$AI$10</definedName>
    <definedName name="UNJC0240_IF_INIT_HEADER_COPY_MOTO">UNJC0240_IF!$Y$4:$AD$12</definedName>
    <definedName name="UNJC0240_IF_INIT_HEADER_DATA_COPY_MOTO">UNJC0240_IF!$U$5:$U$10</definedName>
    <definedName name="UNJC0240_IF_LIST_COPY_MOTO">UNJC0240_IF!$D$5:$R$5</definedName>
    <definedName name="UNJC0240_IF_LIST_DEFAULT">UNJC0240_IF!$D$4:$R$4</definedName>
    <definedName name="UNJC0240_IF_PRINT_COUNT">UNJC0240_IF!$AI$6</definedName>
    <definedName name="UNJC0240_IF_PRINT_SHOSHIKI_COPY_FLA">UNJC0240_IF!$AI$8</definedName>
    <definedName name="UNJC0240_IF_PRINT_SHOSHIKI_COPY_MOTO">UNJC0240_IF!$AK$3:$AX$3</definedName>
    <definedName name="UNJC0240_IF_PRINT_SHOSHIKI_COPY_SAKI">UNJC0240_IF!$AI$7</definedName>
    <definedName name="UNJC0240_IF_PRINT_START">UNJC0240_IF!$AK$5</definedName>
    <definedName name="UNJC0240_SQL_DEFAULT_SORT">UNJC0240_SQL!$F$41</definedName>
    <definedName name="UNJC0240_SQL_EXCEL_LIST">UNJC0240_SQL!$F$10</definedName>
    <definedName name="UNJC0240_SQL_SORT">UNJC0240_SQL!$F$32</definedName>
    <definedName name="UNJC0240_SQL_SORT_BY">UNJC0240_SQL!$F$37</definedName>
    <definedName name="UNJC0240_SQL_ZAIKO_KENSAKU_LIST">UNJC0240_SQL!$F$6</definedName>
    <definedName name="UNJC0240_SQL_ZAIKO_KENSAKU_LIST_CNT">UNJC0240_SQL!$F$13</definedName>
    <definedName name="UNJC0250_B_BARA_TANI">UNJC0250_B!$K$11</definedName>
    <definedName name="UNJC0250_B_CODE_AREA">UNJC0250_B!$D$12:$D$16</definedName>
    <definedName name="UNJC0250_B_COPY_SAKI">UNJC0250_B!$H$7:$K$19</definedName>
    <definedName name="UNJC0250_B_HIDE_COLUMN">UNJC0250_B!$D$9</definedName>
    <definedName name="UNJC0250_B_HIDE_ROW">UNJC0250_B!$D$8</definedName>
    <definedName name="UNJC0250_B_HOKAN_BASHO">UNJC0250_B!$H$7</definedName>
    <definedName name="UNJC0250_B_HOKAN_BASHO_KBN">UNJC0250_B!$D$12</definedName>
    <definedName name="UNJC0250_B_IRISU">UNJC0250_B!$K$10</definedName>
    <definedName name="UNJC0250_B_IRISU_TANI">UNJC0250_B!$K$12</definedName>
    <definedName name="UNJC0250_B_KOBAIHIN_CD">UNJC0250_B!$H$9</definedName>
    <definedName name="UNJC0250_B_KOBAIHIN_MEI">UNJC0250_B!$D$13</definedName>
    <definedName name="UNJC0250_B_LAST_NYUKO_DATE">UNJC0250_B!$H$18</definedName>
    <definedName name="UNJC0250_B_LAST_SHUKKO_DATE">UNJC0250_B!$H$19</definedName>
    <definedName name="UNJC0250_B_MAKER_CD">UNJC0250_B!$H$15</definedName>
    <definedName name="UNJC0250_B_MAKER_MEI">UNJC0250_B!$D$15</definedName>
    <definedName name="UNJC0250_B_SHIIRESAKI_CD">UNJC0250_B!$H$14</definedName>
    <definedName name="UNJC0250_B_SHIIRESAKI_MEI">UNJC0250_B!$D$14</definedName>
    <definedName name="UNJC0250_B_SHIYAKU_FLG">UNJC0250_B!$D$16</definedName>
    <definedName name="UNJC0250_B_TANKA">UNJC0250_B!$H$10</definedName>
    <definedName name="UNJC0250_B_ZAIKO_SURYO">UNJC0250_B!$H$11</definedName>
    <definedName name="UNJC0250_H_COPY_SAKI">UNJC0250_H!$G$3:$H$3</definedName>
    <definedName name="UNJC0250_H_DATA_COUNT">UNJC0250_H!$D$5</definedName>
    <definedName name="UNJC0250_H_DBS_01">UNJC0250_H!$D$3</definedName>
    <definedName name="UNJC0250_H_HIDE_COLUMN">UNJC0250_H!$D$9</definedName>
    <definedName name="UNJC0250_H_HIDE_ROW">UNJC0250_H!$D$8</definedName>
    <definedName name="UNJC0250_H_ZAIKO_NO">UNJC0250_H!$H$3</definedName>
    <definedName name="UNJC0250_IF_ACTIVE_CELL_NAME">UNJC0250_IF!$D$15</definedName>
    <definedName name="UNJC0250_IF_ACTIVE_COLUMN">UNJC0250_IF!$D$14</definedName>
    <definedName name="UNJC0250_IF_ACTIVE_ROW">UNJC0250_IF!$D$13</definedName>
    <definedName name="UNJC0250_IF_ACTIVE_SHEET">UNJC0250_IF!$D$12</definedName>
    <definedName name="UNJC0250_IF_BUTTON_06_HYOJI">UNJC0250_IF!$D$22</definedName>
    <definedName name="UNJC0250_IF_BUTTON_06_NAME">UNJC0250_IF!$D$18</definedName>
    <definedName name="UNJC0250_IF_BUTTON_07_HYOJI">UNJC0250_IF!$D$23</definedName>
    <definedName name="UNJC0250_IF_BUTTON_10_HYOJI">UNJC0250_IF!$D$24</definedName>
    <definedName name="UNJC0250_IF_BUTTON_10_NAME">UNJC0250_IF!$D$19</definedName>
    <definedName name="UNJC0250_IF_BUTTON_20_HYOJI">UNJC0250_IF!$D$25</definedName>
    <definedName name="UNJC0250_IF_COPY_B_INIT">UNJC0250_IF!$O$53:$R$65</definedName>
    <definedName name="UNJC0250_IF_COPY_B_SANSHO">UNJC0250_IF!$O$37:$R$49</definedName>
    <definedName name="UNJC0250_IF_COPY_B_SHINKI">UNJC0250_IF!$O$4:$R$16</definedName>
    <definedName name="UNJC0250_IF_COPY_B_SHUSEI">UNJC0250_IF!$O$21:$R$33</definedName>
    <definedName name="UNJC0250_IF_COPY_H_INIT">UNJC0250_IF!$K$20:$L$20</definedName>
    <definedName name="UNJC0250_IF_COPY_H_SANSHO">UNJC0250_IF!$K$15:$L$15</definedName>
    <definedName name="UNJC0250_IF_COPY_H_SHINKI">UNJC0250_IF!$K$5:$L$5</definedName>
    <definedName name="UNJC0250_IF_COPY_H_SHUSEI">UNJC0250_IF!$K$10:$L$10</definedName>
    <definedName name="UNJC0250_IF_DATA_SEARCH_FLG">UNJC0250_IF!$D$3</definedName>
    <definedName name="UNJC0250_IF_EXCEL_FILE_NAME">UNJC0250_IF!$D$29</definedName>
    <definedName name="UNJC0250_IF_INPUT_CHECK">UNJC0250_IF!$AB$26</definedName>
    <definedName name="UNJC0250_IF_INPUT_ERROR_MESSAGE">UNJC0250_IF!$AB$27</definedName>
    <definedName name="UNJC0250_IF_MODE">UNJC0250_IF!$D$8</definedName>
    <definedName name="UNJC0250_IF_REF_NO">UNJC0250_IF!$D$4</definedName>
    <definedName name="UNJC0250_IF_SAVE_CHECK_ERROR_KOMOKU">UNJC0250_IF!$AB$30</definedName>
    <definedName name="UNJC0250_IF_SAVE_CHECK_RESULT">UNJC0250_IF!$AA$30</definedName>
    <definedName name="UNJC0250_IF_SAVE_ERROR_CHECK">UNJC0250_IF!$W$19</definedName>
    <definedName name="UNJC0250_IF_SAVE_ERROR_MESSAGE">UNJC0250_IF!$W$20</definedName>
    <definedName name="UNJC0250_IF_SAVE_HOKAN_BASHO_KBN">UNJC0250_IF!$AM$5</definedName>
    <definedName name="UNJC0250_IF_SAVE_KENSU">UNJC0250_IF!$W$11</definedName>
    <definedName name="UNJC0250_IF_SAVE_KOBAIHIN_CD">UNJC0250_IF!$AL$5</definedName>
    <definedName name="UNJC0250_IF_SAVE_RESULT_CD">UNJC0250_IF!$W$17</definedName>
    <definedName name="UNJC0250_IF_SAVE_RESULT_MESSAGE">UNJC0250_IF!$W$18</definedName>
    <definedName name="UNJC0250_IF_SAVE_RESULT_ZAIKO_NO">UNJC0250_IF!$W$16</definedName>
    <definedName name="UNJC0250_IF_SAVE_START">UNJC0250_IF!$AG$5</definedName>
    <definedName name="UNJC0250_IF_SAVE_ZAIKO_NO">UNJC0250_IF!$AK$5</definedName>
    <definedName name="UNJC0250_IF_SAVE_ZAIKO_SURYO">UNJC0250_IF!$AS$5</definedName>
    <definedName name="UNJC0250_IF_SHIYAKU_FLG">UNJC0250_IF!$D$5</definedName>
    <definedName name="UNJC0250_IF_W_MODE">UNJC0250_IF!$W$7</definedName>
    <definedName name="UNJC0250_IF_W_SERIAL">UNJC0250_IF!$W$5</definedName>
    <definedName name="UNJC0250_IF_W_SERIAL_CREATE">UNJC0250_IF!$W$6</definedName>
    <definedName name="UNJC0250_IF_W_USER_ID">UNJC0250_IF!$W$4</definedName>
    <definedName name="UNJC0250_SQL_DATA">UNJC0250_SQL!$F$3</definedName>
    <definedName name="UNJC0250_SQL_DATA_COUNT">UNJC0250_SQL!$F$8</definedName>
    <definedName name="UNJC0250_SQL_PROC">UNJC0250_SQL!$F$14</definedName>
    <definedName name="UNJC1020_B_ALL_KENSU">UNJC1020_B!$D$2</definedName>
    <definedName name="UNJC1020_B_ALL_PAGE_SU">UNJC1020_B!$D$4</definedName>
    <definedName name="UNJC1020_B_BACK_PAGE">UNJC1020_B!$D$16</definedName>
    <definedName name="UNJC1020_B_BACK_PAGE_NO">UNJC1020_B!$D$15</definedName>
    <definedName name="UNJC1020_B_HIDE_COLUMN">UNJC1020_B!$D$20</definedName>
    <definedName name="UNJC1020_B_HIDE_ROW">UNJC1020_B!$D$19</definedName>
    <definedName name="UNJC1020_B_HYOJI_GYO_SU">UNJC1020_B!$D$6</definedName>
    <definedName name="UNJC1020_B_HYOJI_KENSU">UNJC1020_B!$D$5</definedName>
    <definedName name="UNJC1020_B_JURI_No">UNJC1020_B!$J$2</definedName>
    <definedName name="UNJC1020_B_LIST_CLEAR">UNJC1020_B!$D$12</definedName>
    <definedName name="UNJC1020_B_LIST_COPY_FLAG">UNJC1020_B!$D$10</definedName>
    <definedName name="UNJC1020_B_LIST_COPY_SAKI">UNJC1020_B!$D$11</definedName>
    <definedName name="UNJC1020_B_LIST_END">UNJC1020_B!$D$9</definedName>
    <definedName name="UNJC1020_B_LIST_START">UNJC1020_B!$D$8</definedName>
    <definedName name="UNJC1020_B_NEXT_PAGE">UNJC1020_B!$D$17</definedName>
    <definedName name="UNJC1020_B_NEXT_PAGE_NO">UNJC1020_B!$D$14</definedName>
    <definedName name="UNJC1020_B_PAGE_NO">UNJC1020_B!$D$3</definedName>
    <definedName name="UNJC1020_B_SCROLL_LOCK">UNJC1020_B!$D$21</definedName>
    <definedName name="UNJC1020_B_SELECT_GYO_NO">UNJC1020_B!$D$24</definedName>
    <definedName name="UNJC1020_B_SELECT_JURI_No">UNJC1020_B!$D$23</definedName>
    <definedName name="UNJC1020_B_SENTAKU">UNJC1020_B!$G$2</definedName>
    <definedName name="UNJC1020_H_COPY_CELL_SAKI">UNJC1020_H!$L$6:$W$16</definedName>
    <definedName name="UNJC1020_H_DEMPYO_HAKKO">UNJC1020_H!$W$7</definedName>
    <definedName name="UNJC1020_H_DEMPYO_HAKKO_CD">UNJC1020_H!$D$17</definedName>
    <definedName name="UNJC1020_H_DOKUGEKI_FLG">UNJC1020_H!$D$13</definedName>
    <definedName name="UNJC1020_H_EIGYO_TANTO_CD">UNJC1020_H!$D$2</definedName>
    <definedName name="UNJC1020_H_EIGYO_TANTO_MEI">UNJC1020_H!$L$6</definedName>
    <definedName name="UNJC1020_H_FLG_COPY_SAKI">UNJC1020_H!$D$2:$D$16</definedName>
    <definedName name="UNJC1020_H_FREEWD_1">UNJC1020_H!$L$16</definedName>
    <definedName name="UNJC1020_H_FREEWD_2">UNJC1020_H!$N$16</definedName>
    <definedName name="UNJC1020_H_FREEWD_3">UNJC1020_H!$P$16</definedName>
    <definedName name="UNJC1020_H_FREEWD_KBN">UNJC1020_H!$D$16</definedName>
    <definedName name="UNJC1020_H_FREEWD_KBN_DISP">UNJC1020_H!$M$16</definedName>
    <definedName name="UNJC1020_H_HASSO_MEI">UNJC1020_H!$L$11</definedName>
    <definedName name="UNJC1020_H_HASSOSAKI_CD">UNJC1020_H!$D$29</definedName>
    <definedName name="UNJC1020_H_HASSOSAKI_MEI">UNJC1020_H!$L$11</definedName>
    <definedName name="UNJC1020_H_HIDE_COLUMN">UNJC1020_H!$D$20</definedName>
    <definedName name="UNJC1020_H_HIDE_ROW">UNJC1020_H!$D$19</definedName>
    <definedName name="UNJC1020_H_JUCHU_DATE_1">UNJC1020_H!$P$7</definedName>
    <definedName name="UNJC1020_H_JUCHU_DATE_2">UNJC1020_H!$R$7</definedName>
    <definedName name="UNJC1020_H_JURI_NO_1">UNJC1020_H!$P$6</definedName>
    <definedName name="UNJC1020_H_JURI_NO_2">UNJC1020_H!$R$6</definedName>
    <definedName name="UNJC1020_H_KIKAI_FLG">UNJC1020_H!$D$10</definedName>
    <definedName name="UNJC1020_H_KOJI_FLG">UNJC1020_H!$D$9</definedName>
    <definedName name="UNJC1020_H_MAKER_CD">UNJC1020_H!$L$14</definedName>
    <definedName name="UNJC1020_H_MAKER_MEI">UNJC1020_H!$D$25</definedName>
    <definedName name="UNJC1020_H_MITSUMORI_NO">UNJC1020_H!$L$8</definedName>
    <definedName name="UNJC1020_H_NOHIN_DATE_1">UNJC1020_H!$P$8</definedName>
    <definedName name="UNJC1020_H_NOHIN_DATE_2">UNJC1020_H!$R$8</definedName>
    <definedName name="UNJC1020_H_NYURYOKU_CD">UNJC1020_H!$D$3</definedName>
    <definedName name="UNJC1020_H_NYURYOKUSHA_MEI">UNJC1020_H!$L$7</definedName>
    <definedName name="UNJC1020_H_OEM_DAIRITEN_FLG">UNJC1020_H!$D$8</definedName>
    <definedName name="UNJC1020_H_SAKUJO_FLG">UNJC1020_H!$D$14</definedName>
    <definedName name="UNJC1020_H_SEIKYUSAKI_CD">UNJC1020_H!$L$10</definedName>
    <definedName name="UNJC1020_H_SEIKYUSAKI_MEI">UNJC1020_H!$D$22</definedName>
    <definedName name="UNJC1020_H_SHIIRESAKI_CD">UNJC1020_H!$L$13</definedName>
    <definedName name="UNJC1020_H_SHIIRESAKI_MEI">UNJC1020_H!$D$24</definedName>
    <definedName name="UNJC1020_H_SHOHIN_BUNRUI">UNJC1020_H!$W$8</definedName>
    <definedName name="UNJC1020_H_SHOHIN_BUNRUI_CD">UNJC1020_H!$D$4</definedName>
    <definedName name="UNJC1020_H_SHOHIN_CD">UNJC1020_H!$L$12</definedName>
    <definedName name="UNJC1020_H_SHOHIN_MEI">UNJC1020_H!$D$23</definedName>
    <definedName name="UNJC1020_H_SHORIMI_FLG">UNJC1020_H!$D$11</definedName>
    <definedName name="UNJC1020_H_SHUKKA_FLG">UNJC1020_H!$D$12</definedName>
    <definedName name="UNJC1020_H_ZAIKO_ARI_FLG">UNJC1020_H!$D$6</definedName>
    <definedName name="UNJC1020_H_ZAIKO_NASHI_FLG">UNJC1020_H!$D$7</definedName>
    <definedName name="UNJC1020_IF_ACTIVE_CELL_NAME">UNJC1020_IF!$E$18</definedName>
    <definedName name="UNJC1020_IF_ACTIVE_COLUMN">UNJC1020_IF!$E$16</definedName>
    <definedName name="UNJC1020_IF_ACTIVE_ROW">UNJC1020_IF!$E$15</definedName>
    <definedName name="UNJC1020_IF_ACTIVE_SHEET">UNJC1020_IF!$E$14</definedName>
    <definedName name="UNJC1020_IF_CELL_CLEAR">UNJC1020_IF!$AN$3:$AY$13</definedName>
    <definedName name="UNJC1020_IF_CELL_CLEAR_FLG">UNJC1020_IF!$AN$16:$AN$30</definedName>
    <definedName name="UNJC1020_IF_DATA_SEARCH_FLG">UNJC1020_IF!$E$3</definedName>
    <definedName name="UNJC1020_IF_EXCEL_FILE_NAME">UNJC1020_IF!$BD$8</definedName>
    <definedName name="UNJC1020_IF_JURI_NO">UNJC1020_IF!$E$4</definedName>
    <definedName name="UNJC1020_IF_LIST_COPY_MOTO">UNJC1020_IF!$N$5:$AJ$5</definedName>
    <definedName name="UNJC1020_IF_LIST_DEFAULT">UNJC1020_IF!$N$4:$AJ$4</definedName>
    <definedName name="UNJC1020_IF_LIST_DEMPYO_HAKKO">OFFSET(UNJC1020_IF_LIST_DEMPYO_HAKKO_START,,,IF(UNJC1020_IF_LIST_DEMPYO_HAKKO_KENSU=0,1,UNJC1020_IF_LIST_DEMPYO_HAKKO_KENSU),1)</definedName>
    <definedName name="UNJC1020_IF_LIST_DEMPYO_HAKKO_KENSU">UNJC1020_IF!$J$4</definedName>
    <definedName name="UNJC1020_IF_LIST_DEMPYO_HAKKO_START">UNJC1020_IF!$I$7</definedName>
    <definedName name="UNJC1020_IF_MODE">UNJC1020_IF!$E$11</definedName>
    <definedName name="UNJC1020_IF_PRINT_COUNT">UNJC1020_IF!$BD$5</definedName>
    <definedName name="UNJC1020_IF_PRINT_SHOSHIKI_COPY_MOTO">UNJC1020_IF!$BF$2:$DM$2</definedName>
    <definedName name="UNJC1020_IF_PRINT_SHOSHIKI_COPY_SAKI">UNJC1020_IF!$BD$6</definedName>
    <definedName name="UNJC1020_IF_PRINT_START">UNJC1020_IF!$BF$4</definedName>
    <definedName name="UNJC1020_IF_W_SERIAL">UNJC1020_IF!$E$8</definedName>
    <definedName name="UNJC1020_IF_W_SERIAL_CREATE">UNJC1020_IF!$E$9</definedName>
    <definedName name="UNJC1020_IF_W_USER_ID">UNJC1020_IF!$E$7</definedName>
    <definedName name="UNJC1020_SQL_COPY_MOTO">UNJC1020_SQL!$D$2</definedName>
    <definedName name="UNJC1020_SQL_COPY_SAKI">UNJC1020_SQL!$E$2</definedName>
    <definedName name="UNJC1020_SQL_DEMPYO_HAKKO">UNJC1020_SQL!$D$72</definedName>
    <definedName name="UNJC1020_SQL_FREEWD_1">UNJC1020_SQL!$D$19</definedName>
    <definedName name="UNJC1020_SQL_FREEWD_2">UNJC1020_SQL!$D$20</definedName>
    <definedName name="UNJC1020_SQL_FREEWD_3">UNJC1020_SQL!$D$21</definedName>
    <definedName name="UNJC1020_SQL_SELECT_HAN_JUCHU_LIST">UNJC1020_SQL!$D$70</definedName>
    <definedName name="UNJC1020_SQL_SELECT_HAN_JUCHU_LIST_CNT">UNJC1020_SQL!$D$69</definedName>
    <definedName name="UNJC1020_SQL_SELECT_HAN_JUCHU_PRINT">UNJC1020_SQL!$D$71</definedName>
    <definedName name="UNJC1020_SQL_SELECT_INIT_SORT">UNJC1020_SQL!$D$75</definedName>
    <definedName name="UNJC1020_SQL_SORT">UNJC1020_SQL!$D$67</definedName>
    <definedName name="UNJC1020_SQL_SORT_BY">UNJC1020_SQL!$D$73</definedName>
    <definedName name="UNJC1030_B_AITE_SHOHIN_MEI_BUF">UNJC1030_B!$D$28</definedName>
    <definedName name="UNJC1030_B_ARARIEKI">UNJC1030_B!$AE$20</definedName>
    <definedName name="UNJC1030_B_ARARIRITSU">UNJC1030_B!$AD$20</definedName>
    <definedName name="UNJC1030_B_BAIKA_TENKAI">UNJC1030_B!$D$32</definedName>
    <definedName name="UNJC1030_B_BARA_TANI">UNJC1030_B!$Y$20</definedName>
    <definedName name="UNJC1030_B_BARA_TANI_TENKAI">UNJC1030_B!$D$37</definedName>
    <definedName name="UNJC1030_B_COPY_GYO_SUSHIKI">UNJC1030_B!$D$49</definedName>
    <definedName name="UNJC1030_B_DOKU_TENKAI">UNJC1030_B!$D$42</definedName>
    <definedName name="UNJC1030_B_DOKUGEKI">UNJC1030_B!$N$20</definedName>
    <definedName name="UNJC1030_B_GENKA_KINGAKU">UNJC1030_B!$AC$20</definedName>
    <definedName name="UNJC1030_B_GENKA_SURYO">UNJC1030_B!$Z$20</definedName>
    <definedName name="UNJC1030_B_GENKA_TENKAI">UNJC1030_B!$D$31</definedName>
    <definedName name="UNJC1030_B_GENTANKA">UNJC1030_B!$W$20</definedName>
    <definedName name="UNJC1030_B_GYO">UNJC1030_B!$L$20</definedName>
    <definedName name="UNJC1030_B_GYO_COUNT">UNJC1030_B!$D$22</definedName>
    <definedName name="UNJC1030_B_GYO_DECREMENT">UNJC1030_B!$D$24</definedName>
    <definedName name="UNJC1030_B_GYO_INCREMENT">UNJC1030_B!$D$23</definedName>
    <definedName name="UNJC1030_B_HAMBAI_KINGAKU">UNJC1030_B!$T$20</definedName>
    <definedName name="UNJC1030_B_HAMBAI_TANKA">UNJC1030_B!$S$20</definedName>
    <definedName name="UNJC1030_B_HIDE_COLUMN">UNJC1030_B!$H$21</definedName>
    <definedName name="UNJC1030_B_HIDE_ROW">UNJC1030_B!$H$20</definedName>
    <definedName name="UNJC1030_B_HYOJI_SHOHIN_MEI">UNJC1030_B!$D$29</definedName>
    <definedName name="UNJC1030_B_IRISU">UNJC1030_B!$X$20</definedName>
    <definedName name="UNJC1030_B_IRISU_TANI">UNJC1030_B!$AA$20</definedName>
    <definedName name="UNJC1030_B_IRISU_TANI_TENKAI">UNJC1030_B!$D$34</definedName>
    <definedName name="UNJC1030_B_JUCHU_SURYO">UNJC1030_B!$Q$20</definedName>
    <definedName name="UNJC1030_B_JUCHU_TANI">UNJC1030_B!$R$20</definedName>
    <definedName name="UNJC1030_B_JURI_NO">UNJC1030_B!$AJ$20</definedName>
    <definedName name="UNJC1030_B_LIST_CLEAR_AREA">UNJC1030_B!$D$50</definedName>
    <definedName name="UNJC1030_B_LIST_DELETE_AREA">UNJC1030_B!$D$55</definedName>
    <definedName name="UNJC1030_B_LIST_INSERT_AREA">UNJC1030_B!$D$54</definedName>
    <definedName name="UNJC1030_B_LIST_INSERT_COPY_AREA">UNJC1030_B!$D$48</definedName>
    <definedName name="UNJC1030_B_LIST_INSERT_SELECT_CELL">UNJC1030_B!$D$56</definedName>
    <definedName name="UNJC1030_B_LIST_INSERT_TYPE">UNJC1030_B!$D$47</definedName>
    <definedName name="UNJC1030_B_LIST_START">UNJC1030_B!$D$20</definedName>
    <definedName name="UNJC1030_B_MAKER_CD">UNJC1030_B!$AH$20</definedName>
    <definedName name="UNJC1030_B_MAKER_CD_TENKAI">UNJC1030_B!$D$40</definedName>
    <definedName name="UNJC1030_B_MAKER_MEI">UNJC1030_B!$AI$20</definedName>
    <definedName name="UNJC1030_B_MAKER_MEI_TENKAI">UNJC1030_B!$D$41</definedName>
    <definedName name="UNJC1030_B_MULTI_SELECT_COPY_SAKI">UNJC1030_B!$D$57</definedName>
    <definedName name="UNJC1030_B_ROW_KBN">UNJC1030_B!$M$20</definedName>
    <definedName name="UNJC1030_B_SCROLL_LOCK">UNJC1030_B!$H$23</definedName>
    <definedName name="UNJC1030_B_SHIIRE_IRISU_TENKAI">UNJC1030_B!$D$35</definedName>
    <definedName name="UNJC1030_B_SHIIRE_TANI_TENKAI">UNJC1030_B!$D$36</definedName>
    <definedName name="UNJC1030_B_SHIIRESAKI_CD">UNJC1030_B!$AF$20</definedName>
    <definedName name="UNJC1030_B_SHIIRESAKI_CD_TENKAI">UNJC1030_B!$D$38</definedName>
    <definedName name="UNJC1030_B_SHIIRESAKI_MEI">UNJC1030_B!$AG$20</definedName>
    <definedName name="UNJC1030_B_SHIIRESAKI_MEI_TENKAI">UNJC1030_B!$D$39</definedName>
    <definedName name="UNJC1030_B_SHOHIN_CD">UNJC1030_B!$O$20</definedName>
    <definedName name="UNJC1030_B_SHOHIN_CD_TENKAI">UNJC1030_B!$D$26</definedName>
    <definedName name="UNJC1030_B_SHOHIN_MEI">UNJC1030_B!$P$20</definedName>
    <definedName name="UNJC1030_B_SHOHIN_MEI_BUF">UNJC1030_B!$D$27</definedName>
    <definedName name="UNJC1030_B_SHOHIN_MEI_TENKAI">UNJC1030_B!$D$30</definedName>
    <definedName name="UNJC1030_B_TEIKA">UNJC1030_B!$V$20</definedName>
    <definedName name="UNJC1030_B_TEIKA_TENKAI">UNJC1030_B!$D$33</definedName>
    <definedName name="UNJC1030_B_TEKIYO">UNJC1030_B!$U$20</definedName>
    <definedName name="UNJC1030_B_TOTAL">UNJC1030_B!$AB$20</definedName>
    <definedName name="UNJC1030_H_ADDRESS_1">UNJC1030_H!$I$15</definedName>
    <definedName name="UNJC1030_H_ADDRESS_2">UNJC1030_H!$I$16</definedName>
    <definedName name="UNJC1030_H_ARARIEKI">UNJC1030_H!$O$19</definedName>
    <definedName name="UNJC1030_H_ARARIRITSU">UNJC1030_H!$P$19</definedName>
    <definedName name="UNJC1030_H_COPY_SAKI">UNJC1030_H!$I$3:$R$16</definedName>
    <definedName name="UNJC1030_H_DEMPYO_HAKKO">UNJC1030_H!$L$5</definedName>
    <definedName name="UNJC1030_H_DEMPYO_HAKKO_CD">UNJC1030_H!$D$7</definedName>
    <definedName name="UNJC1030_H_EIGYO_TANTO_CD">UNJC1030_H!$D$3</definedName>
    <definedName name="UNJC1030_H_EIGYO_TANTO_MEI">UNJC1030_H!$O$10</definedName>
    <definedName name="UNJC1030_H_FAX">UNJC1030_H!$O$13</definedName>
    <definedName name="UNJC1030_H_FLG_COPY_MOTO">UNJC1030_IF!$J$3:$J$4</definedName>
    <definedName name="UNJC1030_H_FLG_COPY_SAKI">UNJC1030_H!$D$11:$D$12</definedName>
    <definedName name="UNJC1030_H_GENKA_TOTAL">UNJC1030_H!$N$19</definedName>
    <definedName name="UNJC1030_H_HAMBAI_SHOHIN_KBN">UNJC1030_H!$L$3</definedName>
    <definedName name="UNJC1030_H_HAMBAI_SHOHIN_KBN_CD">UNJC1030_H!$D$6</definedName>
    <definedName name="UNJC1030_H_HASSO_CD">UNJC1030_H!$C$25</definedName>
    <definedName name="UNJC1030_H_HASSO_MEI">UNJC1030_H!$I$13</definedName>
    <definedName name="UNJC1030_H_HASSO_TANTO">UNJC1030_H!$O$14</definedName>
    <definedName name="UNJC1030_H_HASSO_TEL">UNJC1030_H!$O$12</definedName>
    <definedName name="UNJC1030_H_HIDE_COLUMN">UNJC1030_H!$D$22</definedName>
    <definedName name="UNJC1030_H_HIDE_ROW">UNJC1030_H!$D$21</definedName>
    <definedName name="UNJC1030_H_JUCHU_DATE">UNJC1030_H!$I$5</definedName>
    <definedName name="UNJC1030_H_JURI_NO">UNJC1030_H!$I$3</definedName>
    <definedName name="UNJC1030_H_KENMEI">UNJC1030_H!$O$8</definedName>
    <definedName name="UNJC1030_H_KOMI_TOTAL">UNJC1030_H!$M$19</definedName>
    <definedName name="UNJC1030_H_MAKER_CHOKUSO_FLG">UNJC1030_H!$D$11</definedName>
    <definedName name="UNJC1030_H_MITSU_NO">UNJC1030_H!$O$5</definedName>
    <definedName name="UNJC1030_H_NOHIN_DATE">UNJC1030_H!$I$6</definedName>
    <definedName name="UNJC1030_H_NUKI_TOTAL">UNJC1030_H!$K$19</definedName>
    <definedName name="UNJC1030_H_NYURYOKU_DATETIME">UNJC1030_H!$L$4</definedName>
    <definedName name="UNJC1030_H_NYURYOKU_MEI">UNJC1030_H!$O$4</definedName>
    <definedName name="UNJC1030_H_NYURYOKUSHA_CD">UNJC1030_H!$D$4</definedName>
    <definedName name="UNJC1030_H_REF_JURI_NO">UNJC1030_H!$O$3</definedName>
    <definedName name="UNJC1030_H_SEIKYU_TANTO_MEI">UNJC1030_H!$I$10</definedName>
    <definedName name="UNJC1030_H_SEIKYUSAKI_CD">UNJC1030_H!$I$8</definedName>
    <definedName name="UNJC1030_H_SEIKYUSAKI_HASU">UNJC1030_H!$D$12</definedName>
    <definedName name="UNJC1030_H_SEIKYUSAKI_MEI">UNJC1030_H!$I$9</definedName>
    <definedName name="UNJC1030_H_STS">UNJC1030_H!$I$4</definedName>
    <definedName name="UNJC1030_H_STS_CD">UNJC1030_H!$D$5</definedName>
    <definedName name="UNJC1030_H_TAX">UNJC1030_H!$L$19</definedName>
    <definedName name="UNJC1030_H_TAX_RATE">UNJC1030_H!$D$19</definedName>
    <definedName name="UNJC1030_H_YUBIN_NO">UNJC1030_H!$I$14</definedName>
    <definedName name="UNJC1030_IF_ACTIVE_CELL_NAME">UNJC1030_IF!$E$18</definedName>
    <definedName name="UNJC1030_IF_ACTIVE_COLUMN">UNJC1030_IF!$E$16</definedName>
    <definedName name="UNJC1030_IF_ACTIVE_ROW">UNJC1030_IF!$E$15</definedName>
    <definedName name="UNJC1030_IF_ACTIVE_SHEET">UNJC1030_IF!$E$14</definedName>
    <definedName name="UNJC1030_IF_BUTTON_04_HYOJI">UNJC1030_IF!$E$26</definedName>
    <definedName name="UNJC1030_IF_BUTTON_06_HYOJI">UNJC1030_IF!$E$27</definedName>
    <definedName name="UNJC1030_IF_BUTTON_06_NAME">UNJC1030_IF!$E$22</definedName>
    <definedName name="UNJC1030_IF_BUTTON_07_HYOJI">UNJC1030_IF!$E$28</definedName>
    <definedName name="UNJC1030_IF_BUTTON_09_HYOJI">UNJC1030_IF!$E$29</definedName>
    <definedName name="UNJC1030_IF_BUTTON_10_HYOJI">UNJC1030_IF!$E$30</definedName>
    <definedName name="UNJC1030_IF_BUTTON_10_NAME">UNJC1030_IF!$E$23</definedName>
    <definedName name="UNJC1030_IF_BUTTON_11_HYOJI">UNJC1030_IF!$E$31</definedName>
    <definedName name="UNJC1030_IF_BUTTON_12_HYOJI">UNJC1030_IF!$E$32</definedName>
    <definedName name="UNJC1030_IF_BUTTON_13_HYOJI">UNJC1030_IF!$E$33</definedName>
    <definedName name="UNJC1030_IF_BUTTON_15_ERROR">UNJC1030_IF!$E$41</definedName>
    <definedName name="UNJC1030_IF_BUTTON_15_HYOJI">UNJC1030_IF!$E$34</definedName>
    <definedName name="UNJC1030_IF_BUTTON_17_HYOJI">UNJC1030_IF!$E$35</definedName>
    <definedName name="UNJC1030_IF_BUTTON_18_HYOJI">UNJC1030_IF!$E$36</definedName>
    <definedName name="UNJC1030_IF_BUTTON_19_HYOJI">UNJC1030_IF!$E$37</definedName>
    <definedName name="UNJC1030_IF_BUTTON_20_HYOJI">UNJC1030_IF!$E$38</definedName>
    <definedName name="UNJC1030_IF_COPY_B_COMMENT_SANSHO">UNJC1030_IF!$AA$31:$AY$31</definedName>
    <definedName name="UNJC1030_IF_COPY_B_COMMENT_SHINKI">UNJC1030_IF!$AA$7:$AY$7</definedName>
    <definedName name="UNJC1030_IF_COPY_B_COMMENT_SHUSEI">UNJC1030_IF!$AA$19:$AY$19</definedName>
    <definedName name="UNJC1030_IF_COPY_B_GYO_SUSHIKI">UNJC1030_IF!$AA$4</definedName>
    <definedName name="UNJC1030_IF_COPY_B_LIST_CLEAR">UNJC1030_IF!$AA$39:$AY$39</definedName>
    <definedName name="UNJC1030_IF_COPY_B_MEISAI_ARARI_SUSHIKI">UNJC1030_IF!$AR$4:$AT$4</definedName>
    <definedName name="UNJC1030_IF_COPY_B_MEISAI_KINGAKU_SUSHIKI">UNJC1030_IF!$AI$4</definedName>
    <definedName name="UNJC1030_IF_COPY_B_MEISAI_SANSHO">UNJC1030_IF!$AA$28:$AY$28</definedName>
    <definedName name="UNJC1030_IF_COPY_B_MEISAI_SHINKI">UNJC1030_IF!$AA$4:$AY$4</definedName>
    <definedName name="UNJC1030_IF_COPY_B_MEISAI_SHUSEI">UNJC1030_IF!$AA$16:$AY$16</definedName>
    <definedName name="UNJC1030_IF_COPY_B_MEISAI_TOTAL_SUSHIKI">UNJC1030_IF!$AQ$4</definedName>
    <definedName name="UNJC1030_IF_COPY_B_NEBIKI_DIR_SANSHO">UNJC1030_IF!$AA$36:$AY$36</definedName>
    <definedName name="UNJC1030_IF_COPY_B_NEBIKI_DIR_SHINKI">UNJC1030_IF!$AA$12:$AY$12</definedName>
    <definedName name="UNJC1030_IF_COPY_B_NEBIKI_DIR_SHUSEI">UNJC1030_IF!$AA$24:$AY$24</definedName>
    <definedName name="UNJC1030_IF_COPY_B_NEBIKI_PER_SANSHO">UNJC1030_IF!$AA$34:$AY$34</definedName>
    <definedName name="UNJC1030_IF_COPY_B_NEBIKI_PER_SHINKI">UNJC1030_IF!$AA$10:$AY$10</definedName>
    <definedName name="UNJC1030_IF_COPY_B_NEBIKI_PER_SHUSEI">UNJC1030_IF!$AA$22:$AY$22</definedName>
    <definedName name="UNJC1030_IF_COPY_B_NEBIKI_PER_SUSHIKI">UNJC1030_IF!$AG$10:$AI$10</definedName>
    <definedName name="UNJC1030_IF_DATA_SEARCH_FLG">UNJC1030_IF!$E$3</definedName>
    <definedName name="UNJC1030_IF_EXCEL_FILE_NAME">UNJC1030_IF!$E$44</definedName>
    <definedName name="UNJC1030_IF_INPUT_CHECK">UNJC1030_IF!$BQ$26</definedName>
    <definedName name="UNJC1030_IF_INPUT_ERROR_MESSAGE">UNJC1030_IF!$BQ$27</definedName>
    <definedName name="UNJC1030_IF_JURI_NO">UNJC1030_IF!$E$4</definedName>
    <definedName name="UNJC1030_IF_LIST_DEMPYO_HAKKO_KBN">OFFSET(UNJC1030_IF_LIST_DEMPYO_HAKKO_KBN_START,,,IF(UNJC1030_IF_LIST_DEMPYO_HAKKO_KBN_KENSU=0,1,UNJC1030_IF_LIST_DEMPYO_HAKKO_KBN_KENSU),1)</definedName>
    <definedName name="UNJC1030_IF_LIST_DEMPYO_HAKKO_KBN_KENSU">UNJC1030_IF!$BG$4</definedName>
    <definedName name="UNJC1030_IF_LIST_DEMPYO_HAKKO_KBN_START">UNJC1030_IF!$BF$7</definedName>
    <definedName name="UNJC1030_IF_LIST_SHOHIN_KBN">OFFSET(UNJC1030_IF_LIST_SHOHIN_KBN_START,,,IF(UNJC1030_IF_LIST_SHOHIN_KBN_KENSU=0,1,UNJC1030_IF_LIST_SHOHIN_KBN_KENSU-1),1)</definedName>
    <definedName name="UNJC1030_IF_LIST_SHOHIN_KBN_KENSU">UNJC1030_IF!$BD$4</definedName>
    <definedName name="UNJC1030_IF_LIST_SHOHIN_KBN_START">UNJC1030_IF!$BC$7</definedName>
    <definedName name="UNJC1030_IF_MITSU_FLG">UNJC1030_IF!$E$11</definedName>
    <definedName name="UNJC1030_IF_MITSU_NO">UNJC1030_IF!$E$6</definedName>
    <definedName name="UNJC1030_IF_MODE">UNJC1030_IF!$E$9</definedName>
    <definedName name="UNJC1030_IF_MULTI_SELECT_CHECK">UNJC1030_IF!$EH$6</definedName>
    <definedName name="UNJC1030_IF_MULTI_SELECT_COPY_MOTO">UNJC1030_IF!$EH$15</definedName>
    <definedName name="UNJC1030_IF_MULTI_SELECT_FLG">UNJC1030_IF!$E$5</definedName>
    <definedName name="UNJC1030_IF_MULTI_SELECT_GENKA_SUSHIKI_COPY_SAKI">UNJC1030_IF!$EH$13</definedName>
    <definedName name="UNJC1030_IF_MULTI_SELECT_GYO_INCREMENT">UNJC1030_IF!$EH$7</definedName>
    <definedName name="UNJC1030_IF_MULTI_SELECT_GYO_SUSHIKI_COPY_SAKI">UNJC1030_IF!$EH$10</definedName>
    <definedName name="UNJC1030_IF_MULTI_SELECT_KENSU">UNJC1030_IF!$EH$3</definedName>
    <definedName name="UNJC1030_IF_MULTI_SELECT_KINGAKU_SUSHIKI_COPY_SAKI">UNJC1030_IF!$EH$11</definedName>
    <definedName name="UNJC1030_IF_MULTI_SELECT_LIST_ARARI_AREA">UNJC1030_IF!$FC$3:$FE$3</definedName>
    <definedName name="UNJC1030_IF_MULTI_SELECT_LIST_GYO">UNJC1030_IF!$EL$3</definedName>
    <definedName name="UNJC1030_IF_MULTI_SELECT_LIST_KINGAKU">UNJC1030_IF!$ET$3</definedName>
    <definedName name="UNJC1030_IF_MULTI_SELECT_LIST_SOSU">UNJC1030_IF!$FB$3</definedName>
    <definedName name="UNJC1030_IF_MULTI_SELECT_SHOSHIKI_COPY_SAKI">UNJC1030_IF!$EH$9</definedName>
    <definedName name="UNJC1030_IF_MULTI_SELECT_SOSU_SUSHIKI_COPY_SAKI">UNJC1030_IF!$EH$12</definedName>
    <definedName name="UNJC1030_IF_MULTI_SELECT_TENKAI_KENSU">UNJC1030_IF!$EH$5</definedName>
    <definedName name="UNJC1030_IF_MULTI_SELECT_TENKAI_START">UNJC1030_IF!$EL$4</definedName>
    <definedName name="UNJC1030_IF_SANSHO_COPY_MOTO">UNJC1030_IF!$N$32:$W$45</definedName>
    <definedName name="UNJC1030_IF_SANSHO_FLG">UNJC1030_IF!$E$10</definedName>
    <definedName name="UNJC1030_IF_SAVE_ADDRESS_1">UNJC1030_IF!$CP$5</definedName>
    <definedName name="UNJC1030_IF_SAVE_ADDRESS_2">UNJC1030_IF!$CQ$5</definedName>
    <definedName name="UNJC1030_IF_SAVE_ARARIEKI">UNJC1030_IF!$DS$5</definedName>
    <definedName name="UNJC1030_IF_SAVE_ARARIEKI_TOTAL">UNJC1030_IF!$DA$5</definedName>
    <definedName name="UNJC1030_IF_SAVE_ARARIRITSU">UNJC1030_IF!$DT$5</definedName>
    <definedName name="UNJC1030_IF_SAVE_ARARIRITSU_TOTAL">UNJC1030_IF!$DB$5</definedName>
    <definedName name="UNJC1030_IF_SAVE_BARA_TANI">UNJC1030_IF!$DQ$5</definedName>
    <definedName name="UNJC1030_IF_SAVE_CHECK_ERROR_KOMOKU">UNJC1030_IF!$BQ$30</definedName>
    <definedName name="UNJC1030_IF_SAVE_CHECK_RESULT">UNJC1030_IF!$BP$30</definedName>
    <definedName name="UNJC1030_IF_SAVE_CHECK_START">UNJC1030_IF!$DF$6</definedName>
    <definedName name="UNJC1030_IF_SAVE_COPY_MOTO">UNJC1030_IF!$BU$3:$EC$3</definedName>
    <definedName name="UNJC1030_IF_SAVE_COPY_SAKI">UNJC1030_IF!$BL$8</definedName>
    <definedName name="UNJC1030_IF_SAVE_COPY_START">UNJC1030_IF!$BU$6</definedName>
    <definedName name="UNJC1030_IF_SAVE_DEL_FLG">UNJC1030_IF!$DX$5</definedName>
    <definedName name="UNJC1030_IF_SAVE_DEMPYO_HAKKO_KBN">UNJC1030_IF!$DC$5</definedName>
    <definedName name="UNJC1030_IF_SAVE_EIGYO_TANTO_CD">UNJC1030_IF!$CL$5</definedName>
    <definedName name="UNJC1030_IF_SAVE_ERROR_CHECK">UNJC1030_IF!$BL$17</definedName>
    <definedName name="UNJC1030_IF_SAVE_ERROR_MESSAGE">UNJC1030_IF!$BL$18</definedName>
    <definedName name="UNJC1030_IF_SAVE_FAX">UNJC1030_IF!$CS$5</definedName>
    <definedName name="UNJC1030_IF_SAVE_GENKA_KINGAKU">UNJC1030_IF!$DR$5</definedName>
    <definedName name="UNJC1030_IF_SAVE_GENKA_SURYO">UNJC1030_IF!$DN$5</definedName>
    <definedName name="UNJC1030_IF_SAVE_GENKA_TOTAL">UNJC1030_IF!$CZ$5</definedName>
    <definedName name="UNJC1030_IF_SAVE_GENTANKA">UNJC1030_IF!$DM$5</definedName>
    <definedName name="UNJC1030_IF_SAVE_GYO_NO">UNJC1030_IF!$DD$5</definedName>
    <definedName name="UNJC1030_IF_SAVE_HAMBAI_KBN">UNJC1030_IF!$CB$5</definedName>
    <definedName name="UNJC1030_IF_SAVE_HAMBAI_KINGAKU">UNJC1030_IF!$DK$5</definedName>
    <definedName name="UNJC1030_IF_SAVE_HAMBAI_TANKA">UNJC1030_IF!$DJ$5</definedName>
    <definedName name="UNJC1030_IF_SAVE_HASSO_CD">UNJC1030_IF!$CM$5</definedName>
    <definedName name="UNJC1030_IF_SAVE_HASSO_MEI">UNJC1030_IF!$CN$5</definedName>
    <definedName name="UNJC1030_IF_SAVE_HASSO_TANTO_MEI">UNJC1030_IF!$CT$5</definedName>
    <definedName name="UNJC1030_IF_SAVE_IRISU_TANI">UNJC1030_IF!$DO$5</definedName>
    <definedName name="UNJC1030_IF_SAVE_JOGAI_GYO">UNJC1030_IF!$BU$5</definedName>
    <definedName name="UNJC1030_IF_SAVE_JUCHU_DATE">UNJC1030_IF!$CG$5</definedName>
    <definedName name="UNJC1030_IF_SAVE_JUCHU_SURYO">UNJC1030_IF!$DH$5</definedName>
    <definedName name="UNJC1030_IF_SAVE_JUCHU_TANI">UNJC1030_IF!$DI$5</definedName>
    <definedName name="UNJC1030_IF_SAVE_JURI_NO">UNJC1030_IF!$BZ$5</definedName>
    <definedName name="UNJC1030_IF_SAVE_KENMEI">UNJC1030_IF!$CK$5</definedName>
    <definedName name="UNJC1030_IF_SAVE_KOMI_TOTAL">UNJC1030_IF!$CY$5</definedName>
    <definedName name="UNJC1030_IF_SAVE_MAKER_CD">UNJC1030_IF!$DW$5</definedName>
    <definedName name="UNJC1030_IF_SAVE_MAKER_CHOKUSO_FLG">UNJC1030_IF!$CU$5</definedName>
    <definedName name="UNJC1030_IF_SAVE_MITSU_NO">UNJC1030_IF!$CF$5</definedName>
    <definedName name="UNJC1030_IF_SAVE_NOHIN_DATE">UNJC1030_IF!$CH$5</definedName>
    <definedName name="UNJC1030_IF_SAVE_NUKI_TOTAL">UNJC1030_IF!$CW$5</definedName>
    <definedName name="UNJC1030_IF_SAVE_NYURYOKU_DATETIME">UNJC1030_IF!$CD$5</definedName>
    <definedName name="UNJC1030_IF_SAVE_NYURYOKUSHA_CD">UNJC1030_IF!$CE$5</definedName>
    <definedName name="UNJC1030_IF_SAVE_REF_JURI_NO">UNJC1030_IF!$CC$5</definedName>
    <definedName name="UNJC1030_IF_SAVE_RESULT_CD">UNJC1030_IF!$BL$15</definedName>
    <definedName name="UNJC1030_IF_SAVE_RESULT_JURI_NO">UNJC1030_IF!$BL$14</definedName>
    <definedName name="UNJC1030_IF_SAVE_RESULT_MESSAGE">UNJC1030_IF!$BL$16</definedName>
    <definedName name="UNJC1030_IF_SAVE_ROW_KBN">UNJC1030_IF!$DE$5</definedName>
    <definedName name="UNJC1030_IF_SAVE_SEIKYUSAKI_CD">UNJC1030_IF!$CI$5</definedName>
    <definedName name="UNJC1030_IF_SAVE_SEIKYUSAKI_TANTO_CD">UNJC1030_IF!$CJ$5</definedName>
    <definedName name="UNJC1030_IF_SAVE_SHIIRE_CD">UNJC1030_IF!$DV$5</definedName>
    <definedName name="UNJC1030_IF_SAVE_SHOHIN_CD">UNJC1030_IF!$DF$5</definedName>
    <definedName name="UNJC1030_IF_SAVE_SHOHIN_MEI">UNJC1030_IF!$DG$5</definedName>
    <definedName name="UNJC1030_IF_SAVE_START">UNJC1030_IF!$BV$6</definedName>
    <definedName name="UNJC1030_IF_SAVE_STS">UNJC1030_IF!$CA$5</definedName>
    <definedName name="UNJC1030_IF_SAVE_TAX">UNJC1030_IF!$CX$5</definedName>
    <definedName name="UNJC1030_IF_SAVE_TAX_RATE">UNJC1030_IF!$CV$5</definedName>
    <definedName name="UNJC1030_IF_SAVE_TEIKA">UNJC1030_IF!$DU$5</definedName>
    <definedName name="UNJC1030_IF_SAVE_TEKIYO">UNJC1030_IF!$DL$5</definedName>
    <definedName name="UNJC1030_IF_SAVE_TEL">UNJC1030_IF!$CR$5</definedName>
    <definedName name="UNJC1030_IF_SAVE_TOTAL">UNJC1030_IF!$DP$5</definedName>
    <definedName name="UNJC1030_IF_SAVE_W_MODE">UNJC1030_IF!$BY$5</definedName>
    <definedName name="UNJC1030_IF_SAVE_W_ROW">UNJC1030_IF!$BX$5</definedName>
    <definedName name="UNJC1030_IF_SAVE_W_SERIAL">UNJC1030_IF!$BW$5</definedName>
    <definedName name="UNJC1030_IF_SAVE_W_USER_ID">UNJC1030_IF!$BV$5</definedName>
    <definedName name="UNJC1030_IF_SAVE_YUBIN">UNJC1030_IF!$CO$5</definedName>
    <definedName name="UNJC1030_IF_SHINKI_COPY_MOTO">UNJC1030_IF!$N$2:$W$15</definedName>
    <definedName name="UNJC1030_IF_SHUSEI_COPY_MOTO">UNJC1030_IF!$N$17:$W$30</definedName>
    <definedName name="UNJC1030_IF_W_MODE">UNJC1030_IF!$BL$3</definedName>
    <definedName name="UNJC1030_IF_W_SERIAL">UNJC1030_IF!$BL$5</definedName>
    <definedName name="UNJC1030_IF_W_USER_ID">UNJC1030_IF!$BL$4</definedName>
    <definedName name="UNJC1030_REPORT_DOKU_IF_BIKO">UNJC1030_REPORT_DOKU_IF!$AA$4</definedName>
    <definedName name="UNJC1030_REPORT_DOKU_IF_COPY_MOTO">UNJC1030_REPORT_DOKU_IF!$A$11:$D$41</definedName>
    <definedName name="UNJC1030_REPORT_DOKU_IF_COPY_MOTO_GYO">UNJC1030_REPORT_DOKU_IF!$C$5</definedName>
    <definedName name="UNJC1030_REPORT_DOKU_IF_DOKU_MEISHO">UNJC1030_REPORT_DOKU_IF!$Q$4</definedName>
    <definedName name="UNJC1030_REPORT_DOKU_IF_DOKU_SURYO">UNJC1030_REPORT_DOKU_IF!$V$4</definedName>
    <definedName name="UNJC1030_REPORT_DOKU_IF_ERROR_CHECK">UNJC1030_REPORT_DOKU_IF!$C$7</definedName>
    <definedName name="UNJC1030_REPORT_DOKU_IF_IRISU">UNJC1030_REPORT_DOKU_IF!$R$4</definedName>
    <definedName name="UNJC1030_REPORT_DOKU_IF_IRISU_TANI">UNJC1030_REPORT_DOKU_IF!$S$4</definedName>
    <definedName name="UNJC1030_REPORT_DOKU_IF_JUCHU_SURYO">UNJC1030_REPORT_DOKU_IF!$T$4</definedName>
    <definedName name="UNJC1030_REPORT_DOKU_IF_JUCHU_SURYO_TANI">UNJC1030_REPORT_DOKU_IF!$U$4</definedName>
    <definedName name="UNJC1030_REPORT_DOKU_IF_JURI_NO">UNJC1030_REPORT_DOKU_IF!$O$4</definedName>
    <definedName name="UNJC1030_REPORT_DOKU_IF_KENSU">UNJC1030_REPORT_DOKU_IF!$C$2</definedName>
    <definedName name="UNJC1030_REPORT_DOKU_IF_NOHIN_DATE">UNJC1030_REPORT_DOKU_IF!$W$4</definedName>
    <definedName name="UNJC1030_REPORT_DOKU_IF_PRINT_AREA">UNJC1030_REPORT_DOKU_IF!$C$6</definedName>
    <definedName name="UNJC1030_REPORT_DOKU_IF_ROW_KBN">UNJC1030_REPORT_DOKU_IF!$P$4</definedName>
    <definedName name="UNJC1030_REPORT_DOKU_IF_SEIKYUSAKI_JUSHO">UNJC1030_REPORT_DOKU_IF!$Z$4</definedName>
    <definedName name="UNJC1030_REPORT_DOKU_IF_SEIKYUSAKI_MEI">UNJC1030_REPORT_DOKU_IF!$Y$4</definedName>
    <definedName name="UNJC1030_REPORT_DOKU_IF_TANTO_MEI">UNJC1030_REPORT_DOKU_IF!$X$4</definedName>
    <definedName name="UNJC1030_REPORT_DOKU_IF_TENKAI_START">UNJC1030_REPORT_DOKU_IF!$O$5</definedName>
    <definedName name="UNJC1030_REPORT_DOKU_START">UNJC1030_REPORT_DOKU!$A$1</definedName>
    <definedName name="UNJC1030_REPORT_SHIYAKU_BOTTOM_START">UNJC1030_REPORT_SHIYAKU!$K$18</definedName>
    <definedName name="UNJC1030_REPORT_SHIYAKU_IF_BARA_TANI">UNJC1030_REPORT_SHIYAKU_IF!$Y$5</definedName>
    <definedName name="UNJC1030_REPORT_SHIYAKU_IF_BIKO">UNJC1030_REPORT_SHIYAKU_IF!$AB$5</definedName>
    <definedName name="UNJC1030_REPORT_SHIYAKU_IF_COPY_MOTO">UNJC1030_REPORT_SHIYAKU_IF!$A$18:$J$40</definedName>
    <definedName name="UNJC1030_REPORT_SHIYAKU_IF_COPY_MOTO_GYO">UNJC1030_REPORT_SHIYAKU_IF!$D$12</definedName>
    <definedName name="UNJC1030_REPORT_SHIYAKU_IF_DOKU">UNJC1030_REPORT_SHIYAKU_IF!$U$5</definedName>
    <definedName name="UNJC1030_REPORT_SHIYAKU_IF_EIGYO_TANTO_MEI">UNJC1030_REPORT_SHIYAKU_IF!$AA$5</definedName>
    <definedName name="UNJC1030_REPORT_SHIYAKU_IF_ERROR_CHECK">UNJC1030_REPORT_SHIYAKU_IF!$D$14</definedName>
    <definedName name="UNJC1030_REPORT_SHIYAKU_IF_HAKKOSHA">UNJC1030_REPORT_SHIYAKU_IF!$D$5</definedName>
    <definedName name="UNJC1030_REPORT_SHIYAKU_IF_HYOJI_GYO_SU">UNJC1030_REPORT_SHIYAKU_IF!$D$2</definedName>
    <definedName name="UNJC1030_REPORT_SHIYAKU_IF_IRISU">UNJC1030_REPORT_SHIYAKU_IF!$X$5</definedName>
    <definedName name="UNJC1030_REPORT_SHIYAKU_IF_JURI_NO">UNJC1030_REPORT_SHIYAKU_IF!$O$5</definedName>
    <definedName name="UNJC1030_REPORT_SHIYAKU_IF_KENSU">UNJC1030_REPORT_SHIYAKU_IF!$D$9</definedName>
    <definedName name="UNJC1030_REPORT_SHIYAKU_IF_NOHIN_DATE">UNJC1030_REPORT_SHIYAKU_IF!$Z$5</definedName>
    <definedName name="UNJC1030_REPORT_SHIYAKU_IF_PAGE_SU">UNJC1030_REPORT_SHIYAKU_IF!$D$10</definedName>
    <definedName name="UNJC1030_REPORT_SHIYAKU_IF_PRINT_AREA">UNJC1030_REPORT_SHIYAKU_IF!$D$13</definedName>
    <definedName name="UNJC1030_REPORT_SHIYAKU_IF_ROW_KBN">UNJC1030_REPORT_SHIYAKU_IF!$P$5</definedName>
    <definedName name="UNJC1030_REPORT_SHIYAKU_IF_SEIKYUSAKI_MEI">UNJC1030_REPORT_SHIYAKU_IF!$Q$5</definedName>
    <definedName name="UNJC1030_REPORT_SHIYAKU_IF_SHIYAKU_MEI">UNJC1030_REPORT_SHIYAKU_IF!$S$5</definedName>
    <definedName name="UNJC1030_REPORT_SHIYAKU_IF_SHIYAKU_NAIYO">UNJC1030_REPORT_SHIYAKU_IF!$T$5</definedName>
    <definedName name="UNJC1030_REPORT_SHIYAKU_IF_SQL_HAKKOSHA">UNJC1030_REPORT_SHIYAKU_IF!$D$4</definedName>
    <definedName name="UNJC1030_REPORT_SHIYAKU_IF_SURYO">UNJC1030_REPORT_SHIYAKU_IF!$V$5</definedName>
    <definedName name="UNJC1030_REPORT_SHIYAKU_IF_TANI">UNJC1030_REPORT_SHIYAKU_IF!$W$5</definedName>
    <definedName name="UNJC1030_REPORT_SHIYAKU_IF_TANTO_MEI">UNJC1030_REPORT_SHIYAKU_IF!$R$5</definedName>
    <definedName name="UNJC1030_REPORT_SHIYAKU_IF_TEKIYO">UNJC1030_REPORT_SHIYAKU_IF!$AC$5</definedName>
    <definedName name="UNJC1030_REPORT_SHIYAKU_IF_TENKAI_START">UNJC1030_REPORT_SHIYAKU_IF!$O$6</definedName>
    <definedName name="UNJC1030_REPORT_SHIYAKU_IF_USER_ID">UNJC1030_REPORT_SHIYAKU_IF!$D$3</definedName>
    <definedName name="UNJC1030_REPORT_SHIYAKU_START">UNJC1030_REPORT_SHIYAKU!$A$1</definedName>
    <definedName name="UNJC1030_REPORT_SHIYAKU_TOP_START">UNJC1030_REPORT_SHIYAKU!$K$5</definedName>
    <definedName name="UNJC1030_SQL_HAN_JUCHU_B">UNJC1030_SQL!$E$10</definedName>
    <definedName name="UNJC1030_SQL_HAN_JUCHU_B_MITSU">UNJC1030_SQL!$E$12</definedName>
    <definedName name="UNJC1030_SQL_HAN_JUCHU_B_SANSHO">UNJC1030_SQL!$E$11</definedName>
    <definedName name="UNJC1030_SQL_HAN_JUCHU_H">UNJC1030_SQL!$E$5</definedName>
    <definedName name="UNJC1030_SQL_HAN_JUCHU_H_MITSU">UNJC1030_SQL!$E$7</definedName>
    <definedName name="UNJC1030_SQL_HAN_JUCHU_H_SANSHO">UNJC1030_SQL!$E$6</definedName>
    <definedName name="UNJC1030_SQL_HAN_STS_SHIKI">UNJC1030_SQL!$E$20</definedName>
    <definedName name="UNJC1030_SQL_JURI_NO">UNJC1030_SQL!$E$1</definedName>
    <definedName name="UNJC1030_SQL_MITSU_NO">UNJC1030_SQL!$E$2</definedName>
    <definedName name="UNJC1030_SQL_MULTI_SELECT">UNJC1030_SQL!$I$8</definedName>
    <definedName name="UNJC1030_SQL_NYURYOKUSHA">UNJC1030_SQL!$E$18</definedName>
    <definedName name="UNJC1030_SQL_REPORT_DOKU">UNJC1030_SQL!$I$6</definedName>
    <definedName name="UNJC1030_SQL_REPORT_SHIYAKU">UNJC1030_SQL!$I$5</definedName>
    <definedName name="UNJC1030_SQL_SELECT_B">UNJC1030_SQL!$E$9</definedName>
    <definedName name="UNJC1030_SQL_SELECT_H">UNJC1030_SQL!$E$4</definedName>
    <definedName name="UNJC1030_SQL_SHOHIN_KBN">UNJC1030_SQL!$E$14</definedName>
    <definedName name="UNJC1030_SQL_TAX_RATE">UNJC1030_SQL!$E$16</definedName>
    <definedName name="必須チェック設定" localSheetId="7">UNJC0030_IF!$P$4</definedName>
    <definedName name="必須チェック設定" localSheetId="52">UNJC0230_IF!$Z$4</definedName>
    <definedName name="必須チェック設定" localSheetId="60">UNJC0250_IF!$Z$4</definedName>
    <definedName name="必須チェック設定" localSheetId="68">UNJC1030_IF!$BO$4</definedName>
  </definedNames>
  <calcPr calcId="152511" fullPrecision="0"/>
</workbook>
</file>

<file path=xl/calcChain.xml><?xml version="1.0" encoding="utf-8"?>
<calcChain xmlns="http://schemas.openxmlformats.org/spreadsheetml/2006/main">
  <c r="E52" i="238" l="1"/>
  <c r="J61" i="212" l="1"/>
  <c r="D64" i="212"/>
  <c r="D65" i="212"/>
  <c r="EA2" i="208"/>
  <c r="K33" i="207" l="1"/>
  <c r="AI48" i="246" l="1"/>
  <c r="AI1" i="246"/>
  <c r="F14" i="206" l="1"/>
  <c r="T9" i="206" l="1"/>
  <c r="FD93" i="208" l="1"/>
  <c r="FD49" i="208"/>
  <c r="FD6" i="208"/>
  <c r="D26" i="196" l="1"/>
  <c r="D24" i="196" s="1"/>
  <c r="DL2" i="208"/>
  <c r="AY2" i="208"/>
  <c r="Q10" i="243" l="1"/>
  <c r="T8" i="241"/>
  <c r="L11" i="236"/>
  <c r="J10" i="230"/>
  <c r="S7" i="228"/>
  <c r="AV18" i="204"/>
  <c r="O15" i="202"/>
  <c r="E40" i="231" l="1"/>
  <c r="E39" i="238"/>
  <c r="E53" i="244"/>
  <c r="E68" i="244"/>
  <c r="E87" i="205" l="1"/>
  <c r="EV95" i="208" l="1"/>
  <c r="EV51" i="208"/>
  <c r="EV8" i="208"/>
  <c r="L11" i="206"/>
  <c r="O7" i="234" l="1"/>
  <c r="Q17" i="243" l="1"/>
  <c r="J12" i="230"/>
  <c r="J14" i="230"/>
  <c r="J17" i="230"/>
  <c r="O17" i="230"/>
  <c r="AV21" i="204"/>
  <c r="AV27" i="204"/>
  <c r="BA27" i="204"/>
  <c r="D58" i="203" l="1"/>
  <c r="D50" i="205" l="1"/>
  <c r="D51" i="205"/>
  <c r="D52" i="205"/>
  <c r="E75" i="205"/>
  <c r="G19" i="205"/>
  <c r="N4" i="194" l="1"/>
  <c r="I5" i="191"/>
  <c r="E10" i="193" l="1"/>
  <c r="E11" i="193"/>
  <c r="E9" i="193"/>
  <c r="HU6" i="208" l="1"/>
  <c r="J68" i="197" l="1"/>
  <c r="G68" i="197" s="1"/>
  <c r="I68" i="197"/>
  <c r="E68" i="197"/>
  <c r="C68" i="197"/>
  <c r="J67" i="197"/>
  <c r="G67" i="197" s="1"/>
  <c r="I67" i="197"/>
  <c r="E67" i="197"/>
  <c r="C67" i="197"/>
  <c r="J66" i="197"/>
  <c r="G66" i="197" s="1"/>
  <c r="I66" i="197"/>
  <c r="E66" i="197"/>
  <c r="C66" i="197"/>
  <c r="J65" i="197"/>
  <c r="G65" i="197" s="1"/>
  <c r="I65" i="197"/>
  <c r="E65" i="197"/>
  <c r="C65" i="197"/>
  <c r="J64" i="197"/>
  <c r="G64" i="197" s="1"/>
  <c r="I64" i="197"/>
  <c r="E64" i="197"/>
  <c r="C64" i="197"/>
  <c r="I62" i="197"/>
  <c r="I61" i="197"/>
  <c r="J55" i="197"/>
  <c r="G55" i="197" s="1"/>
  <c r="I55" i="197"/>
  <c r="H55" i="197"/>
  <c r="F55" i="197"/>
  <c r="E55" i="197"/>
  <c r="B55" i="197"/>
  <c r="J54" i="197"/>
  <c r="G54" i="197" s="1"/>
  <c r="I54" i="197"/>
  <c r="H54" i="197"/>
  <c r="F54" i="197"/>
  <c r="E54" i="197"/>
  <c r="B54" i="197"/>
  <c r="J53" i="197"/>
  <c r="G53" i="197" s="1"/>
  <c r="I53" i="197"/>
  <c r="H53" i="197"/>
  <c r="F53" i="197"/>
  <c r="E53" i="197"/>
  <c r="B53" i="197"/>
  <c r="J52" i="197"/>
  <c r="G52" i="197" s="1"/>
  <c r="I52" i="197"/>
  <c r="H52" i="197"/>
  <c r="F52" i="197"/>
  <c r="E52" i="197"/>
  <c r="B52" i="197"/>
  <c r="J51" i="197"/>
  <c r="G51" i="197" s="1"/>
  <c r="I51" i="197"/>
  <c r="H51" i="197"/>
  <c r="F51" i="197"/>
  <c r="E51" i="197"/>
  <c r="B51" i="197"/>
  <c r="I49" i="197"/>
  <c r="I48" i="197"/>
  <c r="I47" i="197"/>
  <c r="J45" i="197"/>
  <c r="I45" i="197"/>
  <c r="G45" i="197"/>
  <c r="F45" i="197"/>
  <c r="E45" i="197"/>
  <c r="C45" i="197"/>
  <c r="B45" i="197"/>
  <c r="A45" i="197"/>
  <c r="J44" i="197"/>
  <c r="I44" i="197"/>
  <c r="G44" i="197"/>
  <c r="F44" i="197"/>
  <c r="E44" i="197"/>
  <c r="C44" i="197"/>
  <c r="B44" i="197"/>
  <c r="A44" i="197"/>
  <c r="J43" i="197"/>
  <c r="I43" i="197"/>
  <c r="G43" i="197"/>
  <c r="F43" i="197"/>
  <c r="E43" i="197"/>
  <c r="C43" i="197"/>
  <c r="B43" i="197"/>
  <c r="A43" i="197"/>
  <c r="J42" i="197"/>
  <c r="I42" i="197"/>
  <c r="G42" i="197"/>
  <c r="F42" i="197"/>
  <c r="E42" i="197"/>
  <c r="C42" i="197"/>
  <c r="B42" i="197"/>
  <c r="A42" i="197"/>
  <c r="J41" i="197"/>
  <c r="I41" i="197"/>
  <c r="G41" i="197"/>
  <c r="F41" i="197"/>
  <c r="E41" i="197"/>
  <c r="C41" i="197"/>
  <c r="B41" i="197"/>
  <c r="A41" i="197"/>
  <c r="I39" i="197"/>
  <c r="I38" i="197"/>
  <c r="I37" i="197"/>
  <c r="J32" i="197"/>
  <c r="I32" i="197" s="1"/>
  <c r="F32" i="197"/>
  <c r="J31" i="197"/>
  <c r="I31" i="197" s="1"/>
  <c r="F31" i="197"/>
  <c r="J30" i="197"/>
  <c r="I30" i="197" s="1"/>
  <c r="F30" i="197"/>
  <c r="J29" i="197"/>
  <c r="I29" i="197" s="1"/>
  <c r="F29" i="197"/>
  <c r="J28" i="197"/>
  <c r="I28" i="197" s="1"/>
  <c r="F28" i="197"/>
  <c r="I26" i="197"/>
  <c r="I25" i="197"/>
  <c r="J22" i="197"/>
  <c r="I22" i="197"/>
  <c r="G22" i="197"/>
  <c r="F22" i="197"/>
  <c r="E22" i="197"/>
  <c r="C22" i="197"/>
  <c r="B22" i="197"/>
  <c r="A22" i="197"/>
  <c r="J21" i="197"/>
  <c r="I21" i="197"/>
  <c r="G21" i="197"/>
  <c r="F21" i="197"/>
  <c r="E21" i="197"/>
  <c r="C21" i="197"/>
  <c r="B21" i="197"/>
  <c r="A21" i="197"/>
  <c r="J20" i="197"/>
  <c r="I20" i="197"/>
  <c r="G20" i="197"/>
  <c r="F20" i="197"/>
  <c r="E20" i="197"/>
  <c r="C20" i="197"/>
  <c r="B20" i="197"/>
  <c r="A20" i="197"/>
  <c r="J19" i="197"/>
  <c r="I19" i="197"/>
  <c r="G19" i="197"/>
  <c r="F19" i="197"/>
  <c r="E19" i="197"/>
  <c r="C19" i="197"/>
  <c r="B19" i="197"/>
  <c r="A19" i="197"/>
  <c r="J18" i="197"/>
  <c r="I18" i="197"/>
  <c r="G18" i="197"/>
  <c r="F18" i="197"/>
  <c r="E18" i="197"/>
  <c r="C18" i="197"/>
  <c r="B18" i="197"/>
  <c r="A18" i="197"/>
  <c r="I16" i="197"/>
  <c r="I15" i="197"/>
  <c r="I14" i="197"/>
  <c r="J9" i="197"/>
  <c r="I9" i="197" s="1"/>
  <c r="F9" i="197"/>
  <c r="J8" i="197"/>
  <c r="I8" i="197" s="1"/>
  <c r="F8" i="197"/>
  <c r="J7" i="197"/>
  <c r="I7" i="197" s="1"/>
  <c r="F7" i="197"/>
  <c r="J6" i="197"/>
  <c r="I6" i="197" s="1"/>
  <c r="F6" i="197"/>
  <c r="J5" i="197"/>
  <c r="I5" i="197" s="1"/>
  <c r="F5" i="197"/>
  <c r="I3" i="197"/>
  <c r="I2" i="197"/>
  <c r="A64" i="197" l="1"/>
  <c r="F64" i="197"/>
  <c r="A65" i="197"/>
  <c r="F65" i="197"/>
  <c r="A66" i="197"/>
  <c r="F66" i="197"/>
  <c r="A67" i="197"/>
  <c r="F67" i="197"/>
  <c r="A68" i="197"/>
  <c r="F68" i="197"/>
  <c r="A51" i="197"/>
  <c r="A52" i="197"/>
  <c r="A53" i="197"/>
  <c r="A54" i="197"/>
  <c r="A55" i="197"/>
  <c r="I60" i="197"/>
  <c r="B64" i="197"/>
  <c r="B65" i="197"/>
  <c r="B66" i="197"/>
  <c r="B67" i="197"/>
  <c r="B68" i="197"/>
  <c r="A28" i="197"/>
  <c r="G28" i="197"/>
  <c r="A29" i="197"/>
  <c r="G29" i="197"/>
  <c r="A30" i="197"/>
  <c r="G30" i="197"/>
  <c r="A31" i="197"/>
  <c r="G31" i="197"/>
  <c r="A32" i="197"/>
  <c r="G32" i="197"/>
  <c r="I24" i="197"/>
  <c r="B28" i="197"/>
  <c r="H28" i="197"/>
  <c r="B29" i="197"/>
  <c r="H29" i="197"/>
  <c r="B30" i="197"/>
  <c r="H30" i="197"/>
  <c r="B31" i="197"/>
  <c r="H31" i="197"/>
  <c r="B32" i="197"/>
  <c r="H32" i="197"/>
  <c r="E28" i="197"/>
  <c r="E29" i="197"/>
  <c r="E30" i="197"/>
  <c r="E31" i="197"/>
  <c r="E32" i="197"/>
  <c r="A5" i="197"/>
  <c r="G5" i="197"/>
  <c r="A6" i="197"/>
  <c r="G6" i="197"/>
  <c r="A7" i="197"/>
  <c r="G7" i="197"/>
  <c r="A8" i="197"/>
  <c r="G8" i="197"/>
  <c r="A9" i="197"/>
  <c r="G9" i="197"/>
  <c r="I1" i="197"/>
  <c r="B5" i="197"/>
  <c r="H5" i="197"/>
  <c r="B6" i="197"/>
  <c r="H6" i="197"/>
  <c r="B7" i="197"/>
  <c r="H7" i="197"/>
  <c r="B8" i="197"/>
  <c r="H8" i="197"/>
  <c r="B9" i="197"/>
  <c r="H9" i="197"/>
  <c r="E5" i="197"/>
  <c r="E6" i="197"/>
  <c r="E7" i="197"/>
  <c r="E8" i="197"/>
  <c r="E9" i="197"/>
  <c r="AI49" i="212"/>
  <c r="AF49" i="212"/>
  <c r="AC49" i="212"/>
  <c r="K49" i="212"/>
  <c r="E49" i="212"/>
  <c r="AD48" i="212"/>
  <c r="Z48" i="212"/>
  <c r="V48" i="212"/>
  <c r="R48" i="212"/>
  <c r="K48" i="212"/>
  <c r="E48" i="212"/>
  <c r="AI47" i="212"/>
  <c r="AF47" i="212"/>
  <c r="AC47" i="212"/>
  <c r="K47" i="212"/>
  <c r="E47" i="212"/>
  <c r="AD46" i="212"/>
  <c r="Z46" i="212"/>
  <c r="V46" i="212"/>
  <c r="R46" i="212"/>
  <c r="K46" i="212"/>
  <c r="E46" i="212"/>
  <c r="AI45" i="212"/>
  <c r="AF45" i="212"/>
  <c r="AC45" i="212"/>
  <c r="K45" i="212"/>
  <c r="E45" i="212"/>
  <c r="AD44" i="212"/>
  <c r="Z44" i="212"/>
  <c r="V44" i="212"/>
  <c r="R44" i="212"/>
  <c r="K44" i="212"/>
  <c r="E44" i="212"/>
  <c r="O51" i="211"/>
  <c r="O49" i="211"/>
  <c r="O47" i="211"/>
  <c r="F56" i="208" l="1"/>
  <c r="AS28" i="194" l="1"/>
  <c r="AI4" i="194" l="1"/>
  <c r="AR4" i="194"/>
  <c r="H21" i="192" l="1"/>
  <c r="E64" i="223" l="1"/>
  <c r="D23" i="192"/>
  <c r="D50" i="203" l="1"/>
  <c r="G26" i="261" l="1"/>
  <c r="F26" i="261" s="1"/>
  <c r="D9" i="259"/>
  <c r="AP5" i="256" l="1"/>
  <c r="D28" i="256" l="1"/>
  <c r="E22" i="194" l="1"/>
  <c r="D18" i="264"/>
  <c r="D18" i="256"/>
  <c r="C33" i="236"/>
  <c r="F30" i="208"/>
  <c r="AO11" i="187" l="1"/>
  <c r="AO10" i="187"/>
  <c r="AO9" i="187"/>
  <c r="AO7" i="187"/>
  <c r="D7" i="188"/>
  <c r="D40" i="188" s="1"/>
  <c r="P61" i="264"/>
  <c r="P60" i="264"/>
  <c r="P55" i="264"/>
  <c r="P45" i="264"/>
  <c r="P44" i="264"/>
  <c r="P39" i="264"/>
  <c r="P29" i="264"/>
  <c r="P28" i="264"/>
  <c r="P23" i="264"/>
  <c r="P12" i="264"/>
  <c r="P11" i="264"/>
  <c r="P6" i="264"/>
  <c r="G21" i="261" l="1"/>
  <c r="G24" i="253"/>
  <c r="G17" i="253"/>
  <c r="D24" i="264" l="1"/>
  <c r="Z12" i="260"/>
  <c r="Z6" i="260"/>
  <c r="Z5" i="260"/>
  <c r="Z4" i="260"/>
  <c r="F14" i="265" l="1"/>
  <c r="F10" i="265"/>
  <c r="F8" i="265" s="1"/>
  <c r="F6" i="265"/>
  <c r="F3" i="265"/>
  <c r="D29" i="264"/>
  <c r="AB27" i="264"/>
  <c r="AB26" i="264"/>
  <c r="D25" i="264"/>
  <c r="D23" i="264"/>
  <c r="D22" i="264"/>
  <c r="W19" i="264"/>
  <c r="AA6" i="264"/>
  <c r="AV5" i="264"/>
  <c r="AU5" i="264"/>
  <c r="AT5" i="264"/>
  <c r="AS5" i="264"/>
  <c r="AR5" i="264"/>
  <c r="AQ5" i="264"/>
  <c r="AP5" i="264"/>
  <c r="AO5" i="264"/>
  <c r="AN5" i="264"/>
  <c r="AM5" i="264"/>
  <c r="AL5" i="264"/>
  <c r="AK5" i="264"/>
  <c r="AJ5" i="264"/>
  <c r="AH5" i="264"/>
  <c r="AG5" i="264"/>
  <c r="D5" i="264"/>
  <c r="I15" i="263"/>
  <c r="I14" i="263"/>
  <c r="I9" i="263"/>
  <c r="D9" i="263"/>
  <c r="D8" i="263"/>
  <c r="D9" i="262"/>
  <c r="F33" i="261"/>
  <c r="F31" i="261"/>
  <c r="G30" i="261"/>
  <c r="F30" i="261" s="1"/>
  <c r="G29" i="261"/>
  <c r="G28" i="261"/>
  <c r="F28" i="261" s="1"/>
  <c r="G25" i="261"/>
  <c r="F25" i="261" s="1"/>
  <c r="G24" i="261"/>
  <c r="F24" i="261" s="1"/>
  <c r="G23" i="261"/>
  <c r="F23" i="261" s="1"/>
  <c r="G22" i="261"/>
  <c r="F22" i="261" s="1"/>
  <c r="F21" i="261"/>
  <c r="G20" i="261"/>
  <c r="F20" i="261" s="1"/>
  <c r="G19" i="261"/>
  <c r="F19" i="261" s="1"/>
  <c r="G18" i="261"/>
  <c r="F18" i="261" s="1"/>
  <c r="F7" i="261"/>
  <c r="AI10" i="260"/>
  <c r="AI8" i="260"/>
  <c r="AI7" i="260"/>
  <c r="D25" i="259"/>
  <c r="D24" i="259"/>
  <c r="D23" i="259"/>
  <c r="D21" i="259"/>
  <c r="D19" i="259"/>
  <c r="D18" i="259"/>
  <c r="D17" i="259"/>
  <c r="D20" i="259" s="1"/>
  <c r="D13" i="259"/>
  <c r="D26" i="259" s="1"/>
  <c r="D8" i="259"/>
  <c r="D7" i="259"/>
  <c r="I11" i="258"/>
  <c r="AB12" i="260" s="1"/>
  <c r="I5" i="258"/>
  <c r="I4" i="258"/>
  <c r="I3" i="258"/>
  <c r="D3" i="258"/>
  <c r="F22" i="257"/>
  <c r="F18" i="257"/>
  <c r="F14" i="257"/>
  <c r="F12" i="257" s="1"/>
  <c r="F11" i="257"/>
  <c r="F8" i="257" s="1"/>
  <c r="F3" i="257" s="1"/>
  <c r="F7" i="257"/>
  <c r="F4" i="257" s="1"/>
  <c r="D32" i="256"/>
  <c r="AB27" i="256"/>
  <c r="AB26" i="256"/>
  <c r="D25" i="256"/>
  <c r="D24" i="256"/>
  <c r="D23" i="256"/>
  <c r="D22" i="256"/>
  <c r="W19" i="256"/>
  <c r="AA6" i="256"/>
  <c r="AS5" i="256"/>
  <c r="AR5" i="256"/>
  <c r="AQ5" i="256"/>
  <c r="AO5" i="256"/>
  <c r="AN5" i="256"/>
  <c r="AM5" i="256"/>
  <c r="AL5" i="256"/>
  <c r="AK5" i="256"/>
  <c r="AJ5" i="256"/>
  <c r="AH5" i="256"/>
  <c r="AG5" i="256"/>
  <c r="D5" i="256"/>
  <c r="D9" i="255"/>
  <c r="D8" i="255"/>
  <c r="D9" i="254"/>
  <c r="F33" i="253"/>
  <c r="F31" i="253"/>
  <c r="G30" i="253"/>
  <c r="F30" i="253" s="1"/>
  <c r="G29" i="253"/>
  <c r="F29" i="253" s="1"/>
  <c r="G28" i="253"/>
  <c r="F28" i="253" s="1"/>
  <c r="G26" i="253"/>
  <c r="F26" i="253" s="1"/>
  <c r="G25" i="253"/>
  <c r="F25" i="253" s="1"/>
  <c r="F24" i="253"/>
  <c r="G23" i="253"/>
  <c r="F23" i="253" s="1"/>
  <c r="G22" i="253"/>
  <c r="F22" i="253" s="1"/>
  <c r="G21" i="253"/>
  <c r="F21" i="253" s="1"/>
  <c r="G20" i="253"/>
  <c r="F20" i="253" s="1"/>
  <c r="G19" i="253"/>
  <c r="F19" i="253" s="1"/>
  <c r="G18" i="253"/>
  <c r="F18" i="253" s="1"/>
  <c r="F17" i="253"/>
  <c r="AK15" i="252"/>
  <c r="AT10" i="252"/>
  <c r="AK10" i="252"/>
  <c r="AK9" i="252"/>
  <c r="AT8" i="252"/>
  <c r="AK8" i="252"/>
  <c r="AT7" i="252"/>
  <c r="D41" i="251"/>
  <c r="D37" i="251"/>
  <c r="D35" i="251"/>
  <c r="D34" i="251"/>
  <c r="D32" i="251"/>
  <c r="D30" i="251"/>
  <c r="D29" i="251"/>
  <c r="D28" i="251"/>
  <c r="D31" i="251" s="1"/>
  <c r="D24" i="251"/>
  <c r="D38" i="251" s="1"/>
  <c r="D20" i="251"/>
  <c r="D19" i="251"/>
  <c r="D18" i="251"/>
  <c r="I14" i="250"/>
  <c r="AM15" i="252" s="1"/>
  <c r="I9" i="250"/>
  <c r="I8" i="250"/>
  <c r="I7" i="250"/>
  <c r="D3" i="250"/>
  <c r="F9" i="219"/>
  <c r="F10" i="219"/>
  <c r="F17" i="251" l="1"/>
  <c r="F6" i="259"/>
  <c r="G27" i="261"/>
  <c r="F27" i="261" s="1"/>
  <c r="F17" i="261" s="1"/>
  <c r="F29" i="261"/>
  <c r="K11" i="258"/>
  <c r="G27" i="253"/>
  <c r="F27" i="253" s="1"/>
  <c r="F16" i="253" s="1"/>
  <c r="K14" i="250"/>
  <c r="F10" i="261" l="1"/>
  <c r="F13" i="261"/>
  <c r="F6" i="261"/>
  <c r="F9" i="253"/>
  <c r="F6" i="253"/>
  <c r="F12" i="253"/>
  <c r="D13" i="188" l="1"/>
  <c r="D46" i="188" s="1"/>
  <c r="D12" i="188"/>
  <c r="D45" i="188" l="1"/>
  <c r="AC11" i="211" l="1"/>
  <c r="E57" i="205" l="1"/>
  <c r="G2" i="205"/>
  <c r="G3" i="205"/>
  <c r="BR3" i="212" l="1"/>
  <c r="C9" i="248" l="1"/>
  <c r="J29" i="212" l="1"/>
  <c r="V27" i="212"/>
  <c r="P27" i="212"/>
  <c r="J27" i="212"/>
  <c r="V26" i="212"/>
  <c r="P26" i="212"/>
  <c r="J26" i="212"/>
  <c r="V25" i="212"/>
  <c r="P25" i="212"/>
  <c r="J25" i="212"/>
  <c r="J24" i="212"/>
  <c r="AH22" i="212"/>
  <c r="J22" i="212"/>
  <c r="AH21" i="212"/>
  <c r="J21" i="212"/>
  <c r="AF19" i="212"/>
  <c r="AF18" i="212"/>
  <c r="J18" i="212"/>
  <c r="AF17" i="212"/>
  <c r="J17" i="212"/>
  <c r="AF16" i="212"/>
  <c r="J16" i="212"/>
  <c r="AF15" i="212"/>
  <c r="J15" i="212"/>
  <c r="J13" i="212"/>
  <c r="J12" i="212"/>
  <c r="J11" i="212"/>
  <c r="AH10" i="212"/>
  <c r="X10" i="212"/>
  <c r="J10" i="212"/>
  <c r="AF8" i="212"/>
  <c r="J8" i="212"/>
  <c r="AF7" i="212"/>
  <c r="U7" i="212"/>
  <c r="J7" i="212"/>
  <c r="AF6" i="212"/>
  <c r="J6" i="212"/>
  <c r="AF5" i="212"/>
  <c r="J5" i="212"/>
  <c r="AF4" i="212"/>
  <c r="J4" i="212"/>
  <c r="AF3" i="212"/>
  <c r="J3" i="212"/>
  <c r="CA14" i="212" l="1"/>
  <c r="BG3" i="212" l="1"/>
  <c r="BC3" i="212"/>
  <c r="AP3" i="212"/>
  <c r="C6" i="246"/>
  <c r="C5" i="246"/>
  <c r="E90" i="205" l="1"/>
  <c r="G38" i="205" l="1"/>
  <c r="G37" i="205"/>
  <c r="G33" i="205"/>
  <c r="D5" i="188" l="1"/>
  <c r="D38" i="188" s="1"/>
  <c r="D4" i="188"/>
  <c r="D37" i="188" s="1"/>
  <c r="D3" i="188"/>
  <c r="D36" i="188" s="1"/>
  <c r="B17" i="235" l="1"/>
  <c r="E63" i="227" l="1"/>
  <c r="B9" i="215" l="1"/>
  <c r="B2" i="215"/>
  <c r="D21" i="186" l="1"/>
  <c r="D20" i="186" l="1"/>
  <c r="E67" i="231" l="1"/>
  <c r="E68" i="231"/>
  <c r="B14" i="237" l="1"/>
  <c r="B13" i="237"/>
  <c r="B12" i="237"/>
  <c r="B2" i="235"/>
  <c r="B8" i="235"/>
  <c r="B12" i="235"/>
  <c r="B11" i="235"/>
  <c r="B10" i="235"/>
  <c r="E53" i="231" l="1"/>
  <c r="T17" i="241" l="1"/>
  <c r="F52" i="244"/>
  <c r="T15" i="241" l="1"/>
  <c r="Q19" i="243" l="1"/>
  <c r="F35" i="238" l="1"/>
  <c r="L17" i="236"/>
  <c r="O13" i="234"/>
  <c r="F39" i="231" l="1"/>
  <c r="S9" i="228"/>
  <c r="Z6" i="230" l="1"/>
  <c r="U6" i="230"/>
  <c r="G11" i="211" l="1"/>
  <c r="EE2" i="208" l="1"/>
  <c r="AP2" i="208"/>
  <c r="Q18" i="208" l="1"/>
  <c r="AF57" i="212" l="1"/>
  <c r="AF56" i="212"/>
  <c r="R1" i="211"/>
  <c r="F68" i="205"/>
  <c r="E24" i="231" l="1"/>
  <c r="E28" i="194"/>
  <c r="DJ3" i="194" l="1"/>
  <c r="B31" i="198" l="1"/>
  <c r="C30" i="198"/>
  <c r="C29" i="198"/>
  <c r="C28" i="198"/>
  <c r="B27" i="198"/>
  <c r="C26" i="198"/>
  <c r="C25" i="198"/>
  <c r="B14" i="198"/>
  <c r="B10" i="198"/>
  <c r="C9" i="198"/>
  <c r="C8" i="198"/>
  <c r="B45" i="198"/>
  <c r="C44" i="198"/>
  <c r="C43" i="198"/>
  <c r="C42" i="198"/>
  <c r="B41" i="198"/>
  <c r="C40" i="198"/>
  <c r="C39" i="198"/>
  <c r="C36" i="201"/>
  <c r="C19" i="201"/>
  <c r="E23" i="194"/>
  <c r="AR28" i="194"/>
  <c r="AT28" i="194" s="1"/>
  <c r="AQ28" i="194"/>
  <c r="AR16" i="194"/>
  <c r="AT16" i="194" s="1"/>
  <c r="AQ16" i="194"/>
  <c r="AQ4" i="194"/>
  <c r="B13" i="214" l="1"/>
  <c r="B12" i="214"/>
  <c r="B11" i="214"/>
  <c r="B10" i="214"/>
  <c r="B9" i="214"/>
  <c r="M8" i="214"/>
  <c r="B8" i="214"/>
  <c r="B7" i="214"/>
  <c r="B6" i="214"/>
  <c r="B5" i="214"/>
  <c r="B4" i="214"/>
  <c r="B3" i="214"/>
  <c r="B2" i="214"/>
  <c r="B1" i="214"/>
  <c r="E65" i="238" l="1"/>
  <c r="E64" i="238" s="1"/>
  <c r="E74" i="238" l="1"/>
  <c r="E72" i="238" s="1"/>
  <c r="T16" i="234"/>
  <c r="O16" i="234"/>
  <c r="P2" i="239"/>
  <c r="C37" i="242" l="1"/>
  <c r="F8" i="219"/>
  <c r="C9" i="246" l="1"/>
  <c r="C8" i="246"/>
  <c r="C4" i="246"/>
  <c r="C3" i="246"/>
  <c r="E78" i="244"/>
  <c r="F77" i="244"/>
  <c r="F76" i="244"/>
  <c r="F75" i="244"/>
  <c r="E75" i="244"/>
  <c r="F74" i="244"/>
  <c r="F73" i="244"/>
  <c r="E73" i="244"/>
  <c r="F72" i="244"/>
  <c r="E72" i="244"/>
  <c r="F71" i="244"/>
  <c r="E71" i="244"/>
  <c r="F70" i="244"/>
  <c r="E70" i="244"/>
  <c r="F69" i="244"/>
  <c r="E69" i="244"/>
  <c r="F68" i="244"/>
  <c r="F67" i="244"/>
  <c r="E67" i="244"/>
  <c r="F66" i="244"/>
  <c r="E66" i="244"/>
  <c r="F65" i="244"/>
  <c r="E65" i="244"/>
  <c r="F64" i="244"/>
  <c r="E64" i="244"/>
  <c r="F63" i="244"/>
  <c r="E63" i="244"/>
  <c r="F62" i="244"/>
  <c r="E62" i="244"/>
  <c r="F61" i="244"/>
  <c r="E61" i="244"/>
  <c r="F60" i="244"/>
  <c r="E60" i="244"/>
  <c r="F59" i="244"/>
  <c r="E59" i="244"/>
  <c r="F58" i="244"/>
  <c r="E58" i="244"/>
  <c r="F57" i="244"/>
  <c r="E57" i="244"/>
  <c r="F56" i="244"/>
  <c r="E56" i="244"/>
  <c r="F55" i="244"/>
  <c r="E55" i="244"/>
  <c r="F54" i="244"/>
  <c r="E54" i="244"/>
  <c r="F53" i="244"/>
  <c r="E52" i="244"/>
  <c r="F51" i="244"/>
  <c r="E51" i="244"/>
  <c r="F50" i="244"/>
  <c r="E50" i="244"/>
  <c r="F49" i="244"/>
  <c r="E49" i="244"/>
  <c r="F48" i="244"/>
  <c r="E48" i="244"/>
  <c r="F46" i="244"/>
  <c r="E46" i="244"/>
  <c r="F45" i="244"/>
  <c r="E45" i="244"/>
  <c r="E35" i="244"/>
  <c r="E33" i="244"/>
  <c r="E15" i="244" s="1"/>
  <c r="E30" i="244"/>
  <c r="E28" i="244" s="1"/>
  <c r="E27" i="244"/>
  <c r="E24" i="244" s="1"/>
  <c r="E23" i="244"/>
  <c r="V21" i="243"/>
  <c r="Q21" i="243"/>
  <c r="C13" i="243"/>
  <c r="BN7" i="243"/>
  <c r="BN5" i="243"/>
  <c r="C47" i="242"/>
  <c r="C43" i="242"/>
  <c r="C42" i="242"/>
  <c r="C39" i="242"/>
  <c r="C38" i="242"/>
  <c r="C34" i="242"/>
  <c r="C31" i="242"/>
  <c r="C30" i="242"/>
  <c r="C28" i="242"/>
  <c r="G21" i="242" s="1"/>
  <c r="Y19" i="241"/>
  <c r="T19" i="241"/>
  <c r="H18" i="241"/>
  <c r="H14" i="241"/>
  <c r="BN6" i="243"/>
  <c r="E20" i="244"/>
  <c r="E13" i="244" l="1"/>
  <c r="E11" i="244"/>
  <c r="C46" i="242"/>
  <c r="E77" i="244"/>
  <c r="E44" i="244"/>
  <c r="E43" i="244" s="1"/>
  <c r="E18" i="244"/>
  <c r="E74" i="244"/>
  <c r="E76" i="244"/>
  <c r="E9" i="244"/>
  <c r="D53" i="225" l="1"/>
  <c r="FZ86" i="208" l="1"/>
  <c r="FZ43" i="208"/>
  <c r="FZ1" i="208"/>
  <c r="C2" i="240" l="1"/>
  <c r="M3" i="239"/>
  <c r="J3" i="239"/>
  <c r="E60" i="238"/>
  <c r="E58" i="238"/>
  <c r="F57" i="238"/>
  <c r="F56" i="238"/>
  <c r="F55" i="238"/>
  <c r="E56" i="238" s="1"/>
  <c r="E55" i="238"/>
  <c r="F53" i="238"/>
  <c r="E53" i="238"/>
  <c r="F52" i="238"/>
  <c r="F51" i="238"/>
  <c r="E51" i="238"/>
  <c r="F50" i="238"/>
  <c r="E50" i="238"/>
  <c r="F49" i="238"/>
  <c r="E49" i="238"/>
  <c r="F48" i="238"/>
  <c r="E48" i="238"/>
  <c r="F47" i="238"/>
  <c r="E47" i="238"/>
  <c r="F46" i="238"/>
  <c r="E46" i="238"/>
  <c r="F45" i="238"/>
  <c r="E45" i="238"/>
  <c r="F44" i="238"/>
  <c r="E44" i="238"/>
  <c r="F43" i="238"/>
  <c r="E43" i="238"/>
  <c r="F42" i="238"/>
  <c r="E42" i="238"/>
  <c r="F41" i="238"/>
  <c r="E41" i="238"/>
  <c r="F40" i="238"/>
  <c r="E40" i="238"/>
  <c r="F39" i="238"/>
  <c r="F38" i="238"/>
  <c r="E38" i="238"/>
  <c r="F37" i="238"/>
  <c r="E37" i="238"/>
  <c r="F36" i="238"/>
  <c r="E36" i="238"/>
  <c r="E35" i="238"/>
  <c r="E34" i="238"/>
  <c r="E31" i="238"/>
  <c r="E29" i="238"/>
  <c r="E14" i="238" s="1"/>
  <c r="E21" i="238"/>
  <c r="E20" i="238"/>
  <c r="E8" i="238"/>
  <c r="E6" i="238"/>
  <c r="E3" i="238" s="1"/>
  <c r="B11" i="237"/>
  <c r="B10" i="237"/>
  <c r="B9" i="237"/>
  <c r="B8" i="237"/>
  <c r="B7" i="237"/>
  <c r="B4" i="237"/>
  <c r="B2" i="237"/>
  <c r="C41" i="236"/>
  <c r="C40" i="236"/>
  <c r="C39" i="236"/>
  <c r="C38" i="236"/>
  <c r="C37" i="236"/>
  <c r="C34" i="236"/>
  <c r="C25" i="236"/>
  <c r="C24" i="236"/>
  <c r="U22" i="236"/>
  <c r="C22" i="236"/>
  <c r="C21" i="236"/>
  <c r="C20" i="236"/>
  <c r="AR17" i="236"/>
  <c r="C17" i="236"/>
  <c r="C19" i="236" s="1"/>
  <c r="AR16" i="236"/>
  <c r="C5" i="236"/>
  <c r="B9" i="235"/>
  <c r="B7" i="235"/>
  <c r="B6" i="235"/>
  <c r="B5" i="235"/>
  <c r="N4" i="235"/>
  <c r="J2" i="239" s="1"/>
  <c r="B3" i="235"/>
  <c r="C36" i="234"/>
  <c r="C35" i="234"/>
  <c r="BL5" i="236"/>
  <c r="AP10" i="236"/>
  <c r="B3" i="237"/>
  <c r="F54" i="238" l="1"/>
  <c r="E33" i="238" s="1"/>
  <c r="E32" i="238" s="1"/>
  <c r="E15" i="238"/>
  <c r="E16" i="238"/>
  <c r="E54" i="238"/>
  <c r="E2" i="235"/>
  <c r="E57" i="238"/>
  <c r="E13" i="238"/>
  <c r="E17" i="238"/>
  <c r="Z60" i="212"/>
  <c r="F51" i="207" l="1"/>
  <c r="AE25" i="211" l="1"/>
  <c r="AE24" i="211"/>
  <c r="D40" i="192" l="1"/>
  <c r="E66" i="227" l="1"/>
  <c r="E67" i="223"/>
  <c r="D49" i="203" l="1"/>
  <c r="B4" i="215" l="1"/>
  <c r="E78" i="205" l="1"/>
  <c r="AM9" i="230" l="1"/>
  <c r="AM5" i="230" l="1"/>
  <c r="AI3" i="228" l="1"/>
  <c r="AD3" i="228"/>
  <c r="BD6" i="226"/>
  <c r="AY6" i="226"/>
  <c r="Z7" i="224"/>
  <c r="U7" i="224"/>
  <c r="X7" i="220"/>
  <c r="S7" i="220"/>
  <c r="BD6" i="222"/>
  <c r="AY6" i="222"/>
  <c r="T22" i="215" l="1"/>
  <c r="AM3" i="211"/>
  <c r="AM6" i="211"/>
  <c r="T21" i="215" l="1"/>
  <c r="B14" i="215"/>
  <c r="B13" i="215"/>
  <c r="B12" i="215"/>
  <c r="B11" i="215"/>
  <c r="B10" i="215"/>
  <c r="M9" i="215"/>
  <c r="B8" i="215"/>
  <c r="B7" i="215"/>
  <c r="B6" i="215"/>
  <c r="B5" i="215"/>
  <c r="B3" i="215"/>
  <c r="AF58" i="212"/>
  <c r="AF59" i="212"/>
  <c r="C7" i="201" l="1"/>
  <c r="AW18" i="226" l="1"/>
  <c r="AR18" i="226"/>
  <c r="S19" i="224"/>
  <c r="N19" i="224"/>
  <c r="AW17" i="222"/>
  <c r="AR17" i="222"/>
  <c r="Q18" i="220"/>
  <c r="T24" i="202"/>
  <c r="O24" i="202"/>
  <c r="L18" i="220"/>
  <c r="F54" i="231" l="1"/>
  <c r="AD1" i="233" l="1"/>
  <c r="E10" i="232"/>
  <c r="B10" i="232"/>
  <c r="E9" i="232"/>
  <c r="E8" i="232"/>
  <c r="M8" i="232"/>
  <c r="E7" i="232"/>
  <c r="P6" i="232"/>
  <c r="M6" i="232"/>
  <c r="E6" i="232"/>
  <c r="P5" i="232"/>
  <c r="M5" i="232"/>
  <c r="E5" i="232"/>
  <c r="P4" i="232"/>
  <c r="M4" i="232"/>
  <c r="E4" i="232"/>
  <c r="P3" i="232"/>
  <c r="M3" i="232"/>
  <c r="E3" i="232"/>
  <c r="P2" i="232"/>
  <c r="M2" i="232"/>
  <c r="E61" i="231"/>
  <c r="F60" i="231"/>
  <c r="F59" i="231"/>
  <c r="F58" i="231"/>
  <c r="E58" i="231"/>
  <c r="F56" i="231"/>
  <c r="E56" i="231"/>
  <c r="F55" i="231"/>
  <c r="E55" i="231"/>
  <c r="E54" i="231"/>
  <c r="F53" i="231"/>
  <c r="F52" i="231"/>
  <c r="E52" i="231"/>
  <c r="F51" i="231"/>
  <c r="E51" i="231"/>
  <c r="F50" i="231"/>
  <c r="E50" i="231"/>
  <c r="F49" i="231"/>
  <c r="E49" i="231"/>
  <c r="F48" i="231"/>
  <c r="E48" i="231"/>
  <c r="F47" i="231"/>
  <c r="E47" i="231"/>
  <c r="F46" i="231"/>
  <c r="E46" i="231"/>
  <c r="F45" i="231"/>
  <c r="E45" i="231"/>
  <c r="F44" i="231"/>
  <c r="E44" i="231"/>
  <c r="F43" i="231"/>
  <c r="E43" i="231"/>
  <c r="F42" i="231"/>
  <c r="E42" i="231"/>
  <c r="F41" i="231"/>
  <c r="E41" i="231"/>
  <c r="F40" i="231"/>
  <c r="E39" i="231"/>
  <c r="F38" i="231"/>
  <c r="E38" i="231"/>
  <c r="F37" i="231"/>
  <c r="E37" i="231"/>
  <c r="F36" i="231"/>
  <c r="E36" i="231"/>
  <c r="E22" i="231"/>
  <c r="E17" i="231"/>
  <c r="E14" i="231"/>
  <c r="E70" i="231" s="1"/>
  <c r="FL11" i="230"/>
  <c r="FL8" i="230"/>
  <c r="FL7" i="230"/>
  <c r="FL6" i="230"/>
  <c r="FN2" i="230"/>
  <c r="FG1" i="230"/>
  <c r="FF1" i="230"/>
  <c r="FE1" i="230"/>
  <c r="FD1" i="230"/>
  <c r="FC1" i="230"/>
  <c r="FB1" i="230"/>
  <c r="FA1" i="230"/>
  <c r="EZ1" i="230"/>
  <c r="EY1" i="230"/>
  <c r="EX1" i="230"/>
  <c r="EW1" i="230"/>
  <c r="EV1" i="230"/>
  <c r="EU1" i="230"/>
  <c r="ET1" i="230"/>
  <c r="ES1" i="230"/>
  <c r="ER1" i="230"/>
  <c r="EQ1" i="230"/>
  <c r="EP1" i="230"/>
  <c r="EO1" i="230"/>
  <c r="EN1" i="230"/>
  <c r="EM1" i="230"/>
  <c r="EL1" i="230"/>
  <c r="EK1" i="230"/>
  <c r="EJ1" i="230"/>
  <c r="EI1" i="230"/>
  <c r="EH1" i="230"/>
  <c r="EG1" i="230"/>
  <c r="EF1" i="230"/>
  <c r="EE1" i="230"/>
  <c r="ED1" i="230"/>
  <c r="EC1" i="230"/>
  <c r="EB1" i="230"/>
  <c r="EA1" i="230"/>
  <c r="DZ1" i="230"/>
  <c r="DY1" i="230"/>
  <c r="DX1" i="230"/>
  <c r="DW1" i="230"/>
  <c r="DV1" i="230"/>
  <c r="DU1" i="230"/>
  <c r="DT1" i="230"/>
  <c r="DS1" i="230"/>
  <c r="DR1" i="230"/>
  <c r="DQ1" i="230"/>
  <c r="DP1" i="230"/>
  <c r="DO1" i="230"/>
  <c r="DN1" i="230"/>
  <c r="DM1" i="230"/>
  <c r="DL1" i="230"/>
  <c r="DK1" i="230"/>
  <c r="DJ1" i="230"/>
  <c r="DI1" i="230"/>
  <c r="DH1" i="230"/>
  <c r="DG1" i="230"/>
  <c r="DF1" i="230"/>
  <c r="DE1" i="230"/>
  <c r="DD1" i="230"/>
  <c r="DC1" i="230"/>
  <c r="DB1" i="230"/>
  <c r="DA1" i="230"/>
  <c r="CZ1" i="230"/>
  <c r="CY1" i="230"/>
  <c r="CX1" i="230"/>
  <c r="CW1" i="230"/>
  <c r="CV1" i="230"/>
  <c r="CU1" i="230"/>
  <c r="CT1" i="230"/>
  <c r="CS1" i="230"/>
  <c r="CR1" i="230"/>
  <c r="CQ1" i="230"/>
  <c r="CP1" i="230"/>
  <c r="CO1" i="230"/>
  <c r="CN1" i="230"/>
  <c r="CM1" i="230"/>
  <c r="CL1" i="230"/>
  <c r="CK1" i="230"/>
  <c r="CJ1" i="230"/>
  <c r="CI1" i="230"/>
  <c r="CH1" i="230"/>
  <c r="CG1" i="230"/>
  <c r="CF1" i="230"/>
  <c r="CE1" i="230"/>
  <c r="CD1" i="230"/>
  <c r="CC1" i="230"/>
  <c r="CB1" i="230"/>
  <c r="CA1" i="230"/>
  <c r="BZ1" i="230"/>
  <c r="BY1" i="230"/>
  <c r="BX1" i="230"/>
  <c r="BW1" i="230"/>
  <c r="BV1" i="230"/>
  <c r="BU1" i="230"/>
  <c r="BT1" i="230"/>
  <c r="BS1" i="230"/>
  <c r="BR1" i="230"/>
  <c r="BQ1" i="230"/>
  <c r="BP1" i="230"/>
  <c r="BO1" i="230"/>
  <c r="BN1" i="230"/>
  <c r="BM1" i="230"/>
  <c r="D34" i="229"/>
  <c r="D32" i="229"/>
  <c r="D31" i="229"/>
  <c r="D24" i="229"/>
  <c r="D23" i="229"/>
  <c r="D21" i="229"/>
  <c r="D17" i="229"/>
  <c r="D14" i="229"/>
  <c r="D10" i="229"/>
  <c r="D20" i="229" s="1"/>
  <c r="R3" i="229"/>
  <c r="H15" i="228"/>
  <c r="X14" i="228"/>
  <c r="S14" i="228"/>
  <c r="S11" i="228"/>
  <c r="E10" i="231" l="1"/>
  <c r="E64" i="231"/>
  <c r="E74" i="231"/>
  <c r="F57" i="231"/>
  <c r="E35" i="231" s="1"/>
  <c r="E8" i="231" s="1"/>
  <c r="E59" i="231"/>
  <c r="E60" i="231"/>
  <c r="E66" i="231"/>
  <c r="E57" i="231"/>
  <c r="E73" i="231"/>
  <c r="E13" i="231"/>
  <c r="E12" i="231" s="1"/>
  <c r="F2" i="229"/>
  <c r="E65" i="231"/>
  <c r="E11" i="231"/>
  <c r="F10" i="208" l="1"/>
  <c r="M11" i="208" l="1"/>
  <c r="F53" i="223" l="1"/>
  <c r="F52" i="223"/>
  <c r="F51" i="227"/>
  <c r="F50" i="227"/>
  <c r="KH6" i="208"/>
  <c r="F81" i="227" l="1"/>
  <c r="H80" i="227"/>
  <c r="F80" i="227"/>
  <c r="F79" i="227"/>
  <c r="E77" i="227"/>
  <c r="E76" i="227"/>
  <c r="E75" i="227"/>
  <c r="E74" i="227"/>
  <c r="E73" i="227"/>
  <c r="E72" i="227"/>
  <c r="F71" i="227"/>
  <c r="F70" i="227"/>
  <c r="F69" i="227"/>
  <c r="E68" i="227"/>
  <c r="E67" i="227"/>
  <c r="E65" i="227"/>
  <c r="E64" i="227"/>
  <c r="E62" i="227"/>
  <c r="E61" i="227"/>
  <c r="E60" i="227"/>
  <c r="F59" i="227"/>
  <c r="F58" i="227"/>
  <c r="F57" i="227"/>
  <c r="F56" i="227"/>
  <c r="F55" i="227"/>
  <c r="F54" i="227"/>
  <c r="F53" i="227"/>
  <c r="F52" i="227"/>
  <c r="F49" i="227"/>
  <c r="F48" i="227"/>
  <c r="E46" i="227"/>
  <c r="J45" i="227"/>
  <c r="J43" i="227"/>
  <c r="I49" i="227" s="1"/>
  <c r="G38" i="227"/>
  <c r="G37" i="227"/>
  <c r="G36" i="227"/>
  <c r="G35" i="227"/>
  <c r="G34" i="227"/>
  <c r="G33" i="227"/>
  <c r="G32" i="227"/>
  <c r="G31" i="227"/>
  <c r="G30" i="227"/>
  <c r="G29" i="227"/>
  <c r="G28" i="227"/>
  <c r="G27" i="227"/>
  <c r="G26" i="227"/>
  <c r="G25" i="227"/>
  <c r="G24" i="227"/>
  <c r="G23" i="227"/>
  <c r="G22" i="227"/>
  <c r="G21" i="227"/>
  <c r="G20" i="227"/>
  <c r="G18" i="227"/>
  <c r="G17" i="227"/>
  <c r="G16" i="227"/>
  <c r="G15" i="227"/>
  <c r="G14" i="227"/>
  <c r="G13" i="227"/>
  <c r="G12" i="227"/>
  <c r="G11" i="227"/>
  <c r="G10" i="227"/>
  <c r="G9" i="227"/>
  <c r="G8" i="227"/>
  <c r="G7" i="227"/>
  <c r="G6" i="227"/>
  <c r="G5" i="227"/>
  <c r="G4" i="227"/>
  <c r="G3" i="227"/>
  <c r="G2" i="227"/>
  <c r="BM20" i="226"/>
  <c r="BM11" i="226"/>
  <c r="BM10" i="226"/>
  <c r="BU4" i="226"/>
  <c r="BS4" i="226"/>
  <c r="BR4" i="226"/>
  <c r="BQ4" i="226"/>
  <c r="CO4" i="226" s="1"/>
  <c r="AR14" i="226"/>
  <c r="D52" i="225"/>
  <c r="D49" i="225"/>
  <c r="D45" i="225"/>
  <c r="D44" i="225"/>
  <c r="D42" i="225"/>
  <c r="D38" i="225"/>
  <c r="D34" i="225"/>
  <c r="D33" i="225"/>
  <c r="D30" i="225"/>
  <c r="G21" i="225" s="1"/>
  <c r="D24" i="224"/>
  <c r="D21" i="224"/>
  <c r="G19" i="227" s="1"/>
  <c r="N15" i="224"/>
  <c r="D36" i="225"/>
  <c r="CB4" i="226" l="1"/>
  <c r="BX4" i="226"/>
  <c r="BT4" i="226"/>
  <c r="BW4" i="226"/>
  <c r="CM4" i="226"/>
  <c r="E78" i="227"/>
  <c r="CI4" i="226"/>
  <c r="CH4" i="226"/>
  <c r="I41" i="227"/>
  <c r="CD4" i="226"/>
  <c r="CN4" i="226"/>
  <c r="BZ4" i="226"/>
  <c r="CE4" i="226"/>
  <c r="CJ4" i="226"/>
  <c r="CP4" i="226"/>
  <c r="BV4" i="226"/>
  <c r="CA4" i="226"/>
  <c r="CF4" i="226"/>
  <c r="CL4" i="226"/>
  <c r="E47" i="227"/>
  <c r="L41" i="227"/>
  <c r="D41" i="225"/>
  <c r="BY4" i="226"/>
  <c r="CC4" i="226"/>
  <c r="CG4" i="226"/>
  <c r="CK4" i="226"/>
  <c r="F82" i="223"/>
  <c r="H81" i="223"/>
  <c r="F81" i="223"/>
  <c r="F80" i="223"/>
  <c r="E78" i="223"/>
  <c r="E77" i="223"/>
  <c r="E76" i="223"/>
  <c r="E75" i="223"/>
  <c r="E74" i="223"/>
  <c r="E73" i="223"/>
  <c r="F72" i="223"/>
  <c r="F71" i="223"/>
  <c r="F70" i="223"/>
  <c r="E69" i="223"/>
  <c r="E68" i="223"/>
  <c r="E66" i="223"/>
  <c r="E65" i="223"/>
  <c r="E63" i="223"/>
  <c r="E62" i="223"/>
  <c r="F61" i="223"/>
  <c r="F60" i="223"/>
  <c r="F59" i="223"/>
  <c r="F58" i="223"/>
  <c r="F57" i="223"/>
  <c r="F56" i="223"/>
  <c r="F55" i="223"/>
  <c r="F54" i="223"/>
  <c r="F51" i="223"/>
  <c r="F50" i="223"/>
  <c r="E48" i="223"/>
  <c r="J47" i="223"/>
  <c r="J45" i="223"/>
  <c r="I51" i="223" s="1"/>
  <c r="G40" i="223"/>
  <c r="G39" i="223"/>
  <c r="G38" i="223"/>
  <c r="G37" i="223"/>
  <c r="G36" i="223"/>
  <c r="G35" i="223"/>
  <c r="G34" i="223"/>
  <c r="G33" i="223"/>
  <c r="G32" i="223"/>
  <c r="G31" i="223"/>
  <c r="G30" i="223"/>
  <c r="G29" i="223"/>
  <c r="G28" i="223"/>
  <c r="G27" i="223"/>
  <c r="G26" i="223"/>
  <c r="G25" i="223"/>
  <c r="G24" i="223"/>
  <c r="G23" i="223"/>
  <c r="G22" i="223"/>
  <c r="G20" i="223"/>
  <c r="G19" i="223"/>
  <c r="G18" i="223"/>
  <c r="G17" i="223"/>
  <c r="G16" i="223"/>
  <c r="G15" i="223"/>
  <c r="G14" i="223"/>
  <c r="G13" i="223"/>
  <c r="G12" i="223"/>
  <c r="G11" i="223"/>
  <c r="G10" i="223"/>
  <c r="G9" i="223"/>
  <c r="G8" i="223"/>
  <c r="G7" i="223"/>
  <c r="G6" i="223"/>
  <c r="G5" i="223"/>
  <c r="G4" i="223"/>
  <c r="G3" i="223"/>
  <c r="G2" i="223"/>
  <c r="BM21" i="222"/>
  <c r="BM12" i="222"/>
  <c r="BM11" i="222"/>
  <c r="BU5" i="222"/>
  <c r="BS5" i="222"/>
  <c r="BR5" i="222"/>
  <c r="BQ5" i="222"/>
  <c r="CS5" i="222" s="1"/>
  <c r="AR13" i="222"/>
  <c r="D53" i="221"/>
  <c r="D52" i="221"/>
  <c r="D49" i="221"/>
  <c r="D45" i="221"/>
  <c r="D44" i="221"/>
  <c r="D42" i="221"/>
  <c r="D38" i="221"/>
  <c r="D34" i="221"/>
  <c r="D33" i="221"/>
  <c r="D30" i="221"/>
  <c r="G21" i="221" s="1"/>
  <c r="D28" i="220"/>
  <c r="D22" i="220"/>
  <c r="G21" i="223" s="1"/>
  <c r="L14" i="220"/>
  <c r="D35" i="225"/>
  <c r="D35" i="221"/>
  <c r="D55" i="225"/>
  <c r="D36" i="221"/>
  <c r="D42" i="227" l="1"/>
  <c r="D41" i="227"/>
  <c r="D43" i="227"/>
  <c r="E49" i="223"/>
  <c r="E79" i="223"/>
  <c r="D45" i="223" s="1"/>
  <c r="CD5" i="222"/>
  <c r="CT5" i="222"/>
  <c r="BW5" i="222"/>
  <c r="CM5" i="222"/>
  <c r="BZ5" i="222"/>
  <c r="CH5" i="222"/>
  <c r="CP5" i="222"/>
  <c r="I43" i="223"/>
  <c r="BV5" i="222"/>
  <c r="CL5" i="222"/>
  <c r="CE5" i="222"/>
  <c r="CU5" i="222"/>
  <c r="CA5" i="222"/>
  <c r="CI5" i="222"/>
  <c r="CQ5" i="222"/>
  <c r="L43" i="223"/>
  <c r="D41" i="221"/>
  <c r="BT5" i="222"/>
  <c r="BX5" i="222"/>
  <c r="CB5" i="222"/>
  <c r="CF5" i="222"/>
  <c r="CJ5" i="222"/>
  <c r="CN5" i="222"/>
  <c r="CR5" i="222"/>
  <c r="BY5" i="222"/>
  <c r="CC5" i="222"/>
  <c r="CG5" i="222"/>
  <c r="CK5" i="222"/>
  <c r="CO5" i="222"/>
  <c r="G3" i="209"/>
  <c r="D2" i="209"/>
  <c r="D70" i="209" s="1"/>
  <c r="D55" i="221"/>
  <c r="D16" i="209" l="1"/>
  <c r="D14" i="209" s="1"/>
  <c r="D44" i="223"/>
  <c r="D43" i="223"/>
  <c r="L19" i="191" l="1"/>
  <c r="E98" i="205" l="1"/>
  <c r="F11" i="206" l="1"/>
  <c r="Q9" i="208" l="1"/>
  <c r="Q10" i="208"/>
  <c r="R9" i="208"/>
  <c r="BP9" i="204"/>
  <c r="BD6" i="187"/>
  <c r="D67" i="188"/>
  <c r="D71" i="188" s="1"/>
  <c r="BP18" i="194" l="1"/>
  <c r="BQ26" i="194" l="1"/>
  <c r="R26" i="208"/>
  <c r="BP19" i="194"/>
  <c r="R27" i="208" l="1"/>
  <c r="BQ27" i="194"/>
  <c r="BP15" i="194"/>
  <c r="BP6" i="194" l="1"/>
  <c r="BP13" i="194"/>
  <c r="Q13" i="208" l="1"/>
  <c r="Q6" i="208"/>
  <c r="E10" i="218" l="1"/>
  <c r="C1" i="218"/>
  <c r="E8" i="218" s="1"/>
  <c r="D26" i="216"/>
  <c r="D15" i="216"/>
  <c r="D12" i="216"/>
  <c r="D11" i="216"/>
  <c r="D8" i="216"/>
  <c r="G6" i="216" s="1"/>
  <c r="J60" i="212"/>
  <c r="J58" i="212"/>
  <c r="J57" i="212"/>
  <c r="J56" i="212"/>
  <c r="AF55" i="212"/>
  <c r="J55" i="212"/>
  <c r="CA6" i="212"/>
  <c r="D1" i="213" s="1"/>
  <c r="AO3" i="212"/>
  <c r="AF52" i="211"/>
  <c r="AC52" i="211"/>
  <c r="Z52" i="211"/>
  <c r="H52" i="211"/>
  <c r="B52" i="211"/>
  <c r="AA51" i="211"/>
  <c r="W51" i="211"/>
  <c r="S51" i="211"/>
  <c r="H51" i="211"/>
  <c r="B51" i="211"/>
  <c r="AF50" i="211"/>
  <c r="AC50" i="211"/>
  <c r="Z50" i="211"/>
  <c r="H50" i="211"/>
  <c r="B50" i="211"/>
  <c r="AA49" i="211"/>
  <c r="W49" i="211"/>
  <c r="S49" i="211"/>
  <c r="H49" i="211"/>
  <c r="B49" i="211"/>
  <c r="AF48" i="211"/>
  <c r="AC48" i="211"/>
  <c r="Z48" i="211"/>
  <c r="H48" i="211"/>
  <c r="B48" i="211"/>
  <c r="AA47" i="211"/>
  <c r="W47" i="211"/>
  <c r="S47" i="211"/>
  <c r="H47" i="211"/>
  <c r="B47" i="211"/>
  <c r="G32" i="211"/>
  <c r="S30" i="211"/>
  <c r="M30" i="211"/>
  <c r="G30" i="211"/>
  <c r="S29" i="211"/>
  <c r="M29" i="211"/>
  <c r="G29" i="211"/>
  <c r="S28" i="211"/>
  <c r="M28" i="211"/>
  <c r="G28" i="211"/>
  <c r="G27" i="211"/>
  <c r="G25" i="211"/>
  <c r="G24" i="211"/>
  <c r="AC22" i="211"/>
  <c r="AC21" i="211"/>
  <c r="G21" i="211"/>
  <c r="AC20" i="211"/>
  <c r="G20" i="211"/>
  <c r="AC19" i="211"/>
  <c r="G19" i="211"/>
  <c r="AC18" i="211"/>
  <c r="G18" i="211"/>
  <c r="G16" i="211"/>
  <c r="G15" i="211"/>
  <c r="G14" i="211"/>
  <c r="AE13" i="211"/>
  <c r="U13" i="211"/>
  <c r="G13" i="211"/>
  <c r="AC10" i="211"/>
  <c r="R10" i="211"/>
  <c r="G10" i="211"/>
  <c r="AC9" i="211"/>
  <c r="G9" i="211"/>
  <c r="AC8" i="211"/>
  <c r="G8" i="211"/>
  <c r="AC7" i="211"/>
  <c r="G7" i="211"/>
  <c r="AC6" i="211"/>
  <c r="G6" i="211"/>
  <c r="B4" i="211"/>
  <c r="AM2" i="211"/>
  <c r="AH2" i="211"/>
  <c r="AM1" i="211"/>
  <c r="K1" i="211"/>
  <c r="C62" i="210"/>
  <c r="D13" i="210"/>
  <c r="C6" i="210"/>
  <c r="P2" i="210"/>
  <c r="D77" i="209"/>
  <c r="D78" i="209" s="1"/>
  <c r="D75" i="209" s="1"/>
  <c r="D56" i="209"/>
  <c r="D54" i="209" s="1"/>
  <c r="D5" i="209"/>
  <c r="D96" i="209" s="1"/>
  <c r="D4" i="209"/>
  <c r="D95" i="209" s="1"/>
  <c r="D3" i="209"/>
  <c r="D22" i="209" s="1"/>
  <c r="G2" i="209"/>
  <c r="D102" i="209" s="1"/>
  <c r="D65" i="209"/>
  <c r="F53" i="208"/>
  <c r="F52" i="208"/>
  <c r="F51" i="208"/>
  <c r="F50" i="208"/>
  <c r="F49" i="208"/>
  <c r="F48" i="208"/>
  <c r="F47" i="208"/>
  <c r="F44" i="208"/>
  <c r="F43" i="208"/>
  <c r="F42" i="208"/>
  <c r="F41" i="208"/>
  <c r="F40" i="208"/>
  <c r="F39" i="208"/>
  <c r="F38" i="208"/>
  <c r="F35" i="208"/>
  <c r="F34" i="208"/>
  <c r="F31" i="208"/>
  <c r="F27" i="208"/>
  <c r="F26" i="208"/>
  <c r="M24" i="208"/>
  <c r="M17" i="208"/>
  <c r="FV10" i="208"/>
  <c r="FV9" i="208"/>
  <c r="FV8" i="208"/>
  <c r="FV7" i="208"/>
  <c r="KH5" i="208"/>
  <c r="HU5" i="208"/>
  <c r="HU9" i="208" s="1"/>
  <c r="KH4" i="208"/>
  <c r="FV4" i="208"/>
  <c r="GX3" i="208"/>
  <c r="GX2" i="208"/>
  <c r="EH2" i="208"/>
  <c r="EG2" i="208"/>
  <c r="EF2" i="208"/>
  <c r="ED2" i="208"/>
  <c r="EC2" i="208"/>
  <c r="EB2" i="208" s="1"/>
  <c r="DZ2" i="208"/>
  <c r="DY2" i="208"/>
  <c r="DX2" i="208"/>
  <c r="DW2" i="208"/>
  <c r="DV2" i="208"/>
  <c r="DU2" i="208"/>
  <c r="DT2" i="208"/>
  <c r="DS2" i="208"/>
  <c r="DR2" i="208"/>
  <c r="DQ2" i="208"/>
  <c r="DP2" i="208"/>
  <c r="DO2" i="208"/>
  <c r="DN2" i="208"/>
  <c r="DM2" i="208"/>
  <c r="DJ2" i="208"/>
  <c r="DI2" i="208"/>
  <c r="DH2" i="208"/>
  <c r="DG2" i="208"/>
  <c r="DF2" i="208"/>
  <c r="DE2" i="208"/>
  <c r="DD2" i="208"/>
  <c r="DC2" i="208"/>
  <c r="DB2" i="208"/>
  <c r="DA2" i="208"/>
  <c r="CZ2" i="208"/>
  <c r="CY2" i="208"/>
  <c r="CX2" i="208"/>
  <c r="CW2" i="208"/>
  <c r="CV2" i="208"/>
  <c r="CU2" i="208"/>
  <c r="CT2" i="208"/>
  <c r="CS2" i="208"/>
  <c r="CR2" i="208"/>
  <c r="CQ2" i="208"/>
  <c r="CP2" i="208"/>
  <c r="CO2" i="208"/>
  <c r="CN2" i="208"/>
  <c r="CM2" i="208"/>
  <c r="CL2" i="208"/>
  <c r="CK2" i="208"/>
  <c r="CJ2" i="208"/>
  <c r="CI2" i="208"/>
  <c r="CH2" i="208"/>
  <c r="CG2" i="208"/>
  <c r="CF2" i="208"/>
  <c r="CE2" i="208"/>
  <c r="CD2" i="208"/>
  <c r="CC2" i="208"/>
  <c r="CB2" i="208"/>
  <c r="CA2" i="208"/>
  <c r="BZ2" i="208"/>
  <c r="BY2" i="208"/>
  <c r="BX2" i="208"/>
  <c r="BW2" i="208"/>
  <c r="BV2" i="208"/>
  <c r="BU2" i="208"/>
  <c r="BT2" i="208"/>
  <c r="BS2" i="208"/>
  <c r="BR2" i="208"/>
  <c r="BQ2" i="208"/>
  <c r="BP2" i="208"/>
  <c r="BN2" i="208"/>
  <c r="BM2" i="208"/>
  <c r="BK2" i="208"/>
  <c r="BJ2" i="208"/>
  <c r="BI2" i="208"/>
  <c r="BH2" i="208"/>
  <c r="BG2" i="208"/>
  <c r="BF2" i="208"/>
  <c r="BE2" i="208"/>
  <c r="BD2" i="208"/>
  <c r="BC2" i="208"/>
  <c r="BB2" i="208"/>
  <c r="BA2" i="208"/>
  <c r="AZ2" i="208"/>
  <c r="AX2" i="208"/>
  <c r="AW2" i="208"/>
  <c r="AV2" i="208"/>
  <c r="AT2" i="208"/>
  <c r="AS2" i="208"/>
  <c r="AR2" i="208"/>
  <c r="AQ2" i="208"/>
  <c r="AO2" i="208"/>
  <c r="AM2" i="208"/>
  <c r="AL2" i="208"/>
  <c r="AK2" i="208"/>
  <c r="AJ2" i="208"/>
  <c r="AI2" i="208"/>
  <c r="AH2" i="208"/>
  <c r="AG2" i="208"/>
  <c r="AF2" i="208"/>
  <c r="AE2" i="208"/>
  <c r="AC2" i="208"/>
  <c r="AB2" i="208"/>
  <c r="AA2" i="208"/>
  <c r="Z2" i="208"/>
  <c r="Y2" i="208"/>
  <c r="X2" i="208"/>
  <c r="W2" i="208"/>
  <c r="F58" i="207"/>
  <c r="F57" i="207"/>
  <c r="F56" i="207"/>
  <c r="F55" i="207"/>
  <c r="F52" i="207"/>
  <c r="F48" i="207"/>
  <c r="F47" i="207"/>
  <c r="F46" i="207"/>
  <c r="F45" i="207"/>
  <c r="F44" i="207"/>
  <c r="F43" i="207"/>
  <c r="F49" i="207" s="1"/>
  <c r="F41" i="207"/>
  <c r="F38" i="207"/>
  <c r="F45" i="208" s="1"/>
  <c r="F37" i="207"/>
  <c r="F46" i="208" s="1"/>
  <c r="F3" i="207"/>
  <c r="F2" i="207"/>
  <c r="F24" i="206"/>
  <c r="F23" i="206"/>
  <c r="F13" i="206"/>
  <c r="BO2" i="208" s="1"/>
  <c r="F12" i="206"/>
  <c r="BL2" i="208" s="1"/>
  <c r="AU2" i="208"/>
  <c r="F10" i="206"/>
  <c r="AN2" i="208" s="1"/>
  <c r="F7" i="206"/>
  <c r="L2" i="206"/>
  <c r="E102" i="205"/>
  <c r="D49" i="205" s="1"/>
  <c r="F97" i="205"/>
  <c r="F96" i="205"/>
  <c r="F95" i="205"/>
  <c r="H94" i="205"/>
  <c r="E93" i="205"/>
  <c r="E92" i="205"/>
  <c r="E91" i="205"/>
  <c r="E89" i="205"/>
  <c r="E88" i="205"/>
  <c r="E86" i="205"/>
  <c r="E85" i="205"/>
  <c r="E84" i="205"/>
  <c r="E83" i="205"/>
  <c r="E82" i="205"/>
  <c r="E81" i="205"/>
  <c r="E80" i="205"/>
  <c r="E79" i="205"/>
  <c r="E77" i="205"/>
  <c r="E76" i="205"/>
  <c r="E74" i="205"/>
  <c r="E73" i="205"/>
  <c r="E72" i="205"/>
  <c r="F71" i="205"/>
  <c r="F70" i="205"/>
  <c r="F69" i="205"/>
  <c r="F67" i="205"/>
  <c r="F66" i="205"/>
  <c r="F65" i="205"/>
  <c r="F64" i="205"/>
  <c r="F63" i="205"/>
  <c r="F62" i="205"/>
  <c r="F61" i="205"/>
  <c r="F60" i="205"/>
  <c r="E58" i="205"/>
  <c r="G46" i="205"/>
  <c r="G45" i="205"/>
  <c r="G44" i="205"/>
  <c r="G43" i="205"/>
  <c r="G42" i="205"/>
  <c r="G41" i="205"/>
  <c r="G40" i="205"/>
  <c r="G39" i="205"/>
  <c r="G36" i="205"/>
  <c r="G35" i="205"/>
  <c r="G34" i="205"/>
  <c r="G31" i="205"/>
  <c r="G30" i="205"/>
  <c r="G29" i="205"/>
  <c r="G28" i="205"/>
  <c r="G27" i="205"/>
  <c r="G26" i="205"/>
  <c r="G23" i="205"/>
  <c r="G22" i="205"/>
  <c r="G20" i="205"/>
  <c r="G18" i="205"/>
  <c r="G17" i="205"/>
  <c r="G16" i="205"/>
  <c r="G15" i="205"/>
  <c r="G14" i="205"/>
  <c r="G13" i="205"/>
  <c r="G12" i="205"/>
  <c r="G11" i="205"/>
  <c r="G10" i="205"/>
  <c r="G9" i="205"/>
  <c r="G8" i="205"/>
  <c r="G7" i="205"/>
  <c r="G6" i="205"/>
  <c r="G5" i="205"/>
  <c r="G4" i="205"/>
  <c r="BP10" i="204"/>
  <c r="D57" i="203"/>
  <c r="D43" i="203"/>
  <c r="D42" i="203"/>
  <c r="D40" i="203"/>
  <c r="D36" i="203"/>
  <c r="D32" i="203"/>
  <c r="D29" i="203"/>
  <c r="D39" i="203" s="1"/>
  <c r="D29" i="202"/>
  <c r="D24" i="202"/>
  <c r="G32" i="205" s="1"/>
  <c r="D23" i="202"/>
  <c r="G21" i="205" s="1"/>
  <c r="O18" i="202"/>
  <c r="D47" i="203"/>
  <c r="D110" i="205" s="1"/>
  <c r="D33" i="203"/>
  <c r="F60" i="207"/>
  <c r="D34" i="203"/>
  <c r="F7" i="219"/>
  <c r="F11" i="219"/>
  <c r="D13" i="216"/>
  <c r="D60" i="203"/>
  <c r="GC95" i="208" l="1"/>
  <c r="R42" i="207"/>
  <c r="P42" i="207"/>
  <c r="L42" i="207"/>
  <c r="N42" i="207"/>
  <c r="D93" i="209"/>
  <c r="F8" i="206"/>
  <c r="DK2" i="208" s="1"/>
  <c r="FV5" i="208"/>
  <c r="AD2" i="208"/>
  <c r="D42" i="209"/>
  <c r="D47" i="209"/>
  <c r="D11" i="209"/>
  <c r="D46" i="209"/>
  <c r="E94" i="205"/>
  <c r="D5" i="218"/>
  <c r="E59" i="205"/>
  <c r="D41" i="209"/>
  <c r="D61" i="209"/>
  <c r="D59" i="209" s="1"/>
  <c r="D51" i="209"/>
  <c r="M16" i="208"/>
  <c r="Q15" i="208"/>
  <c r="D23" i="209"/>
  <c r="D31" i="209"/>
  <c r="G21" i="203"/>
  <c r="D32" i="209"/>
  <c r="D68" i="209"/>
  <c r="HU7" i="208"/>
  <c r="HU10" i="208"/>
  <c r="HU12" i="208"/>
  <c r="G25" i="205"/>
  <c r="D2" i="219"/>
  <c r="G24" i="205"/>
  <c r="D11" i="213"/>
  <c r="D9" i="213" s="1"/>
  <c r="D16" i="213"/>
  <c r="D14" i="213" s="1"/>
  <c r="D6" i="213"/>
  <c r="D4" i="213" s="1"/>
  <c r="D4" i="218"/>
  <c r="D3" i="218"/>
  <c r="GG10" i="208"/>
  <c r="GA52" i="208"/>
  <c r="GE95" i="208"/>
  <c r="D12" i="209"/>
  <c r="EI2" i="208"/>
  <c r="GA10" i="208"/>
  <c r="GC52" i="208"/>
  <c r="GG95" i="208"/>
  <c r="D24" i="209"/>
  <c r="D40" i="209"/>
  <c r="GC10" i="208"/>
  <c r="GE52" i="208"/>
  <c r="GA95" i="208"/>
  <c r="D33" i="209"/>
  <c r="D52" i="209"/>
  <c r="GE10" i="208"/>
  <c r="GG52" i="208"/>
  <c r="E44" i="194"/>
  <c r="F53" i="207"/>
  <c r="D44" i="209" l="1"/>
  <c r="D8" i="209"/>
  <c r="D37" i="209"/>
  <c r="D28" i="209"/>
  <c r="D19" i="209"/>
  <c r="D49" i="209"/>
  <c r="D48" i="192" l="1"/>
  <c r="E33" i="194" l="1"/>
  <c r="E2" i="193" l="1"/>
  <c r="E12" i="193" s="1"/>
  <c r="AI10" i="194"/>
  <c r="AI22" i="194"/>
  <c r="AI34" i="194"/>
  <c r="AI16" i="194"/>
  <c r="AS16" i="194" l="1"/>
  <c r="E7" i="193"/>
  <c r="EH5" i="194"/>
  <c r="EH7" i="194" s="1"/>
  <c r="EH6" i="194"/>
  <c r="EH15" i="194" l="1"/>
  <c r="EH11" i="194"/>
  <c r="EH12" i="194"/>
  <c r="EH9" i="194"/>
  <c r="EH13" i="194"/>
  <c r="EH10" i="194"/>
  <c r="D10" i="200" l="1"/>
  <c r="D14" i="200" s="1"/>
  <c r="C35" i="201"/>
  <c r="E18" i="193" l="1"/>
  <c r="E16" i="193"/>
  <c r="E1" i="193" l="1"/>
  <c r="E6" i="193" l="1"/>
  <c r="E5" i="193"/>
  <c r="E4" i="193" s="1"/>
  <c r="D10" i="186"/>
  <c r="B62" i="198" l="1"/>
  <c r="C61" i="198"/>
  <c r="C60" i="198"/>
  <c r="C59" i="198"/>
  <c r="B58" i="198"/>
  <c r="C57" i="198"/>
  <c r="C56" i="198"/>
  <c r="B41" i="201"/>
  <c r="C40" i="201"/>
  <c r="C39" i="201"/>
  <c r="C38" i="201"/>
  <c r="B37" i="201"/>
  <c r="B24" i="201"/>
  <c r="B20" i="201"/>
  <c r="C18" i="201"/>
  <c r="C6" i="201"/>
  <c r="C5" i="201"/>
  <c r="D12" i="200"/>
  <c r="D13" i="200"/>
  <c r="J39" i="200"/>
  <c r="J38" i="200"/>
  <c r="J37" i="200"/>
  <c r="J36" i="200"/>
  <c r="J35" i="200"/>
  <c r="E35" i="200" s="1"/>
  <c r="I33" i="200"/>
  <c r="I32" i="200"/>
  <c r="J26" i="200"/>
  <c r="E26" i="200" s="1"/>
  <c r="J25" i="200"/>
  <c r="E25" i="200" s="1"/>
  <c r="J24" i="200"/>
  <c r="E24" i="200" s="1"/>
  <c r="J23" i="200"/>
  <c r="E23" i="200" s="1"/>
  <c r="J22" i="200"/>
  <c r="I20" i="200"/>
  <c r="I19" i="200"/>
  <c r="D4" i="200"/>
  <c r="D42" i="192"/>
  <c r="G36" i="200" l="1"/>
  <c r="E36" i="200"/>
  <c r="G38" i="200"/>
  <c r="E38" i="200"/>
  <c r="G39" i="200"/>
  <c r="E39" i="200"/>
  <c r="G37" i="200"/>
  <c r="E37" i="200"/>
  <c r="I18" i="200"/>
  <c r="E22" i="200"/>
  <c r="G35" i="200"/>
  <c r="I31" i="200"/>
  <c r="I35" i="200"/>
  <c r="I25" i="200"/>
  <c r="G25" i="200"/>
  <c r="I26" i="200"/>
  <c r="G26" i="200"/>
  <c r="I23" i="200"/>
  <c r="G23" i="200"/>
  <c r="I24" i="200"/>
  <c r="G24" i="200"/>
  <c r="I22" i="200"/>
  <c r="G22" i="200"/>
  <c r="I39" i="200"/>
  <c r="B39" i="200"/>
  <c r="A39" i="200"/>
  <c r="F39" i="200"/>
  <c r="C39" i="200"/>
  <c r="I37" i="200"/>
  <c r="B37" i="200"/>
  <c r="A37" i="200"/>
  <c r="F37" i="200"/>
  <c r="C37" i="200"/>
  <c r="F36" i="200"/>
  <c r="C36" i="200"/>
  <c r="I36" i="200"/>
  <c r="B36" i="200"/>
  <c r="A36" i="200"/>
  <c r="F38" i="200"/>
  <c r="C38" i="200"/>
  <c r="I38" i="200"/>
  <c r="B38" i="200"/>
  <c r="A38" i="200"/>
  <c r="F35" i="200"/>
  <c r="B35" i="200"/>
  <c r="C35" i="200"/>
  <c r="A35" i="200"/>
  <c r="H25" i="200"/>
  <c r="B25" i="200"/>
  <c r="A25" i="200"/>
  <c r="F25" i="200"/>
  <c r="H26" i="200"/>
  <c r="B26" i="200"/>
  <c r="A26" i="200"/>
  <c r="F26" i="200"/>
  <c r="F23" i="200"/>
  <c r="H23" i="200"/>
  <c r="B23" i="200"/>
  <c r="A23" i="200"/>
  <c r="A24" i="200"/>
  <c r="F24" i="200"/>
  <c r="H24" i="200"/>
  <c r="B24" i="200"/>
  <c r="H22" i="200"/>
  <c r="F22" i="200"/>
  <c r="B22" i="200"/>
  <c r="A22" i="200"/>
  <c r="CD3" i="194"/>
  <c r="DW3" i="194"/>
  <c r="DV3" i="194"/>
  <c r="DU3" i="194"/>
  <c r="DT3" i="194"/>
  <c r="DS3" i="194"/>
  <c r="DR3" i="194"/>
  <c r="DQ3" i="194"/>
  <c r="DP3" i="194"/>
  <c r="DO3" i="194"/>
  <c r="DM3" i="194"/>
  <c r="DL3" i="194"/>
  <c r="DK3" i="194"/>
  <c r="DI3" i="194"/>
  <c r="DH3" i="194"/>
  <c r="DN3" i="194" s="1"/>
  <c r="DG3" i="194"/>
  <c r="DF3" i="194"/>
  <c r="DE3" i="194"/>
  <c r="BU3" i="194" s="1"/>
  <c r="DD3" i="194"/>
  <c r="K19" i="191"/>
  <c r="N19" i="191"/>
  <c r="CV3" i="194"/>
  <c r="BX3" i="194"/>
  <c r="BY3" i="194"/>
  <c r="BV3" i="194"/>
  <c r="M14" i="185" l="1"/>
  <c r="M13" i="185"/>
  <c r="M12" i="185"/>
  <c r="M10" i="185"/>
  <c r="E41" i="194" l="1"/>
  <c r="D50" i="192" l="1"/>
  <c r="BL8" i="194"/>
  <c r="BL17" i="194"/>
  <c r="BW3" i="194" l="1"/>
  <c r="E38" i="194"/>
  <c r="E37" i="194"/>
  <c r="E36" i="194"/>
  <c r="E35" i="194"/>
  <c r="E34" i="194"/>
  <c r="E32" i="194"/>
  <c r="E31" i="194"/>
  <c r="E30" i="194"/>
  <c r="E29" i="194"/>
  <c r="E27" i="194"/>
  <c r="E26" i="194"/>
  <c r="D22" i="191" l="1"/>
  <c r="AI28" i="194" l="1"/>
  <c r="AT4" i="194"/>
  <c r="AS4" i="194" s="1"/>
  <c r="D41" i="192"/>
  <c r="D39" i="192"/>
  <c r="D38" i="192"/>
  <c r="D37" i="192"/>
  <c r="D36" i="192"/>
  <c r="D35" i="192"/>
  <c r="D34" i="192"/>
  <c r="D33" i="192"/>
  <c r="D32" i="192"/>
  <c r="D31" i="192"/>
  <c r="D30" i="192"/>
  <c r="D26" i="192"/>
  <c r="H23" i="192"/>
  <c r="H20" i="192"/>
  <c r="D20" i="192"/>
  <c r="CW3" i="194"/>
  <c r="CZ3" i="194"/>
  <c r="D49" i="192"/>
  <c r="AA16" i="194"/>
  <c r="AA22" i="194"/>
  <c r="AA28" i="194"/>
  <c r="O19" i="191" l="1"/>
  <c r="AA36" i="194"/>
  <c r="AA19" i="194"/>
  <c r="D54" i="192"/>
  <c r="AA4" i="194"/>
  <c r="D57" i="192"/>
  <c r="AA31" i="194"/>
  <c r="AA12" i="194"/>
  <c r="AA10" i="194"/>
  <c r="AA24" i="194"/>
  <c r="D55" i="192"/>
  <c r="AA7" i="194"/>
  <c r="AA34" i="194"/>
  <c r="P19" i="191" l="1"/>
  <c r="DA3" i="194"/>
  <c r="D24" i="192"/>
  <c r="J19" i="191"/>
  <c r="D56" i="192"/>
  <c r="DB3" i="194" l="1"/>
  <c r="M19" i="191"/>
  <c r="CX3" i="194"/>
  <c r="CU3" i="194"/>
  <c r="CT3" i="194"/>
  <c r="CS3" i="194"/>
  <c r="CR3" i="194"/>
  <c r="CQ3" i="194"/>
  <c r="CP3" i="194"/>
  <c r="CO3" i="194"/>
  <c r="CN3" i="194"/>
  <c r="CL3" i="194"/>
  <c r="CK3" i="194"/>
  <c r="CJ3" i="194"/>
  <c r="CI3" i="194"/>
  <c r="CH3" i="194"/>
  <c r="CG3" i="194"/>
  <c r="CF3" i="194"/>
  <c r="CE3" i="194"/>
  <c r="CC3" i="194"/>
  <c r="CA3" i="194"/>
  <c r="BZ3" i="194"/>
  <c r="D7" i="191"/>
  <c r="AO13" i="187"/>
  <c r="D17" i="185"/>
  <c r="D18" i="188" s="1"/>
  <c r="D60" i="188" s="1"/>
  <c r="D22" i="188"/>
  <c r="CY3" i="194" l="1"/>
  <c r="DC3" i="194"/>
  <c r="D23" i="186"/>
  <c r="I5" i="193" l="1"/>
  <c r="I6" i="193"/>
  <c r="J1" i="191" l="1"/>
  <c r="D6" i="191" l="1"/>
  <c r="CB3" i="194" l="1"/>
  <c r="D20" i="185" l="1"/>
  <c r="BD8" i="187" l="1"/>
  <c r="D69" i="188" l="1"/>
  <c r="D19" i="188" l="1"/>
  <c r="D61" i="188" s="1"/>
  <c r="F61" i="188"/>
  <c r="D21" i="188" l="1"/>
  <c r="D63" i="188" s="1"/>
  <c r="D20" i="188"/>
  <c r="D62" i="188" s="1"/>
  <c r="F68" i="188"/>
  <c r="D68" i="188" s="1"/>
  <c r="D70" i="188" s="1"/>
  <c r="D4" i="186"/>
  <c r="D17" i="186" s="1"/>
  <c r="D16" i="186"/>
  <c r="D15" i="186"/>
  <c r="D14" i="186"/>
  <c r="D11" i="188" l="1"/>
  <c r="D44" i="188" s="1"/>
  <c r="D31" i="188"/>
  <c r="D59" i="188" s="1"/>
  <c r="D30" i="188"/>
  <c r="D58" i="188" s="1"/>
  <c r="D29" i="188"/>
  <c r="D57" i="188" s="1"/>
  <c r="D28" i="188"/>
  <c r="D56" i="188" s="1"/>
  <c r="D27" i="188"/>
  <c r="D55" i="188" s="1"/>
  <c r="D26" i="188"/>
  <c r="D54" i="188" s="1"/>
  <c r="D25" i="188"/>
  <c r="D53" i="188" s="1"/>
  <c r="D24" i="188"/>
  <c r="D52" i="188" s="1"/>
  <c r="D23" i="188"/>
  <c r="D51" i="188" s="1"/>
  <c r="E50" i="188"/>
  <c r="E49" i="188"/>
  <c r="E48" i="188"/>
  <c r="E47" i="188"/>
  <c r="D65" i="188" l="1"/>
  <c r="D66" i="188"/>
  <c r="D12" i="186"/>
  <c r="D9" i="186"/>
  <c r="D8" i="186"/>
  <c r="D11" i="186" s="1"/>
  <c r="F1" i="186" l="1"/>
  <c r="D17" i="188"/>
  <c r="D50" i="188" s="1"/>
  <c r="D16" i="188"/>
  <c r="D49" i="188" s="1"/>
  <c r="D15" i="188"/>
  <c r="D48" i="188" s="1"/>
  <c r="D14" i="188"/>
  <c r="D47" i="188" s="1"/>
  <c r="D10" i="188"/>
  <c r="D43" i="188" s="1"/>
  <c r="D9" i="188"/>
  <c r="D42" i="188" s="1"/>
  <c r="D8" i="188"/>
  <c r="D41" i="188" s="1"/>
  <c r="D6" i="188"/>
  <c r="D39" i="188" s="1"/>
  <c r="M16" i="185" l="1"/>
  <c r="AQ13" i="187" s="1"/>
  <c r="O16" i="185" l="1"/>
  <c r="D64" i="188" l="1"/>
  <c r="D2" i="188" s="1"/>
</calcChain>
</file>

<file path=xl/comments1.xml><?xml version="1.0" encoding="utf-8"?>
<comments xmlns="http://schemas.openxmlformats.org/spreadsheetml/2006/main">
  <authors>
    <author>久我 享一郎</author>
  </authors>
  <commentList>
    <comment ref="AL2" authorId="0" shapeId="0">
      <text>
        <r>
          <rPr>
            <sz val="9"/>
            <color indexed="81"/>
            <rFont val="ＭＳ Ｐゴシック"/>
            <family val="3"/>
            <charset val="128"/>
          </rPr>
          <t>今後数が変わる可能性も考慮し、ここへリスト化しておく</t>
        </r>
      </text>
    </comment>
  </commentList>
</comments>
</file>

<file path=xl/sharedStrings.xml><?xml version="1.0" encoding="utf-8"?>
<sst xmlns="http://schemas.openxmlformats.org/spreadsheetml/2006/main" count="8565" uniqueCount="4548">
  <si>
    <t>選択</t>
    <rPh sb="0" eb="2">
      <t>センタク</t>
    </rPh>
    <phoneticPr fontId="2"/>
  </si>
  <si>
    <t>備考</t>
    <rPh sb="0" eb="2">
      <t>ビコウ</t>
    </rPh>
    <phoneticPr fontId="2"/>
  </si>
  <si>
    <t>見積No.</t>
    <rPh sb="0" eb="2">
      <t>ミツモリ</t>
    </rPh>
    <phoneticPr fontId="2"/>
  </si>
  <si>
    <t>請求先CD</t>
    <rPh sb="0" eb="2">
      <t>セイキュウ</t>
    </rPh>
    <rPh sb="2" eb="3">
      <t>サキ</t>
    </rPh>
    <phoneticPr fontId="2"/>
  </si>
  <si>
    <t>請求先名</t>
    <rPh sb="0" eb="2">
      <t>セイキュウ</t>
    </rPh>
    <rPh sb="2" eb="3">
      <t>サキ</t>
    </rPh>
    <rPh sb="3" eb="4">
      <t>メイ</t>
    </rPh>
    <phoneticPr fontId="2"/>
  </si>
  <si>
    <t>件名</t>
    <rPh sb="0" eb="2">
      <t>ケンメイ</t>
    </rPh>
    <phoneticPr fontId="2"/>
  </si>
  <si>
    <t>税抜合計</t>
    <rPh sb="0" eb="2">
      <t>ゼイヌキ</t>
    </rPh>
    <rPh sb="2" eb="4">
      <t>ゴウケイ</t>
    </rPh>
    <phoneticPr fontId="2"/>
  </si>
  <si>
    <t>粗利益</t>
    <rPh sb="0" eb="3">
      <t>アラリエキ</t>
    </rPh>
    <phoneticPr fontId="2"/>
  </si>
  <si>
    <t>修正</t>
    <rPh sb="0" eb="2">
      <t>シュウセイ</t>
    </rPh>
    <phoneticPr fontId="2"/>
  </si>
  <si>
    <t>削除</t>
    <rPh sb="0" eb="2">
      <t>サクジョ</t>
    </rPh>
    <phoneticPr fontId="2"/>
  </si>
  <si>
    <t>新規登録</t>
    <rPh sb="0" eb="2">
      <t>シンキ</t>
    </rPh>
    <rPh sb="2" eb="4">
      <t>トウロク</t>
    </rPh>
    <phoneticPr fontId="2"/>
  </si>
  <si>
    <t>件名：</t>
    <rPh sb="0" eb="2">
      <t>ケンメイ</t>
    </rPh>
    <phoneticPr fontId="2"/>
  </si>
  <si>
    <t>請求先名：</t>
    <rPh sb="0" eb="2">
      <t>セイキュウ</t>
    </rPh>
    <rPh sb="2" eb="3">
      <t>サキ</t>
    </rPh>
    <rPh sb="3" eb="4">
      <t>メイ</t>
    </rPh>
    <phoneticPr fontId="2"/>
  </si>
  <si>
    <t>税率</t>
    <rPh sb="0" eb="2">
      <t>ゼイリツ</t>
    </rPh>
    <phoneticPr fontId="2"/>
  </si>
  <si>
    <t>消費税</t>
    <rPh sb="0" eb="3">
      <t>ショウヒゼイ</t>
    </rPh>
    <phoneticPr fontId="2"/>
  </si>
  <si>
    <t>税込合計</t>
    <rPh sb="0" eb="2">
      <t>ゼイコミ</t>
    </rPh>
    <rPh sb="2" eb="4">
      <t>ゴウケイ</t>
    </rPh>
    <phoneticPr fontId="2"/>
  </si>
  <si>
    <t>原価合計</t>
    <rPh sb="0" eb="2">
      <t>ゲンカ</t>
    </rPh>
    <rPh sb="2" eb="4">
      <t>ゴウケイ</t>
    </rPh>
    <phoneticPr fontId="2"/>
  </si>
  <si>
    <t>行</t>
    <rPh sb="0" eb="1">
      <t>ギョウ</t>
    </rPh>
    <phoneticPr fontId="2"/>
  </si>
  <si>
    <t>商品名</t>
    <rPh sb="0" eb="3">
      <t>ショウヒンメイ</t>
    </rPh>
    <phoneticPr fontId="2"/>
  </si>
  <si>
    <t>単位</t>
    <rPh sb="0" eb="2">
      <t>タンイ</t>
    </rPh>
    <phoneticPr fontId="2"/>
  </si>
  <si>
    <t>摘要</t>
    <rPh sb="0" eb="2">
      <t>テキヨウ</t>
    </rPh>
    <phoneticPr fontId="2"/>
  </si>
  <si>
    <t>粗利率</t>
    <rPh sb="0" eb="3">
      <t>アラリリツ</t>
    </rPh>
    <phoneticPr fontId="2"/>
  </si>
  <si>
    <t>定価</t>
    <rPh sb="0" eb="2">
      <t>テイカ</t>
    </rPh>
    <phoneticPr fontId="2"/>
  </si>
  <si>
    <t>仕入先名</t>
    <rPh sb="0" eb="2">
      <t>シイレ</t>
    </rPh>
    <rPh sb="2" eb="3">
      <t>サキ</t>
    </rPh>
    <rPh sb="3" eb="4">
      <t>メイ</t>
    </rPh>
    <phoneticPr fontId="2"/>
  </si>
  <si>
    <t>商品CD</t>
    <rPh sb="0" eb="2">
      <t>ショウヒン</t>
    </rPh>
    <phoneticPr fontId="2"/>
  </si>
  <si>
    <t>受理No.：</t>
    <rPh sb="0" eb="2">
      <t>ジュリ</t>
    </rPh>
    <phoneticPr fontId="2"/>
  </si>
  <si>
    <t>～</t>
    <phoneticPr fontId="2"/>
  </si>
  <si>
    <t>ステータス</t>
    <phoneticPr fontId="2"/>
  </si>
  <si>
    <t>受理No.</t>
    <rPh sb="0" eb="2">
      <t>ジュリ</t>
    </rPh>
    <phoneticPr fontId="2"/>
  </si>
  <si>
    <t>納品日</t>
    <rPh sb="0" eb="3">
      <t>ノウヒンビ</t>
    </rPh>
    <phoneticPr fontId="2"/>
  </si>
  <si>
    <t>＞</t>
    <phoneticPr fontId="2"/>
  </si>
  <si>
    <t>入力日時：</t>
    <rPh sb="0" eb="2">
      <t>ニュウリョク</t>
    </rPh>
    <rPh sb="2" eb="4">
      <t>ニチジ</t>
    </rPh>
    <phoneticPr fontId="2"/>
  </si>
  <si>
    <t>参照元受理No.：</t>
    <rPh sb="0" eb="2">
      <t>サンショウ</t>
    </rPh>
    <rPh sb="2" eb="3">
      <t>モト</t>
    </rPh>
    <rPh sb="3" eb="5">
      <t>ジュリ</t>
    </rPh>
    <phoneticPr fontId="2"/>
  </si>
  <si>
    <t>住所</t>
    <rPh sb="0" eb="2">
      <t>ジュウショ</t>
    </rPh>
    <phoneticPr fontId="2"/>
  </si>
  <si>
    <t>販売商品受注検索</t>
    <rPh sb="0" eb="2">
      <t>ハンバイ</t>
    </rPh>
    <rPh sb="2" eb="4">
      <t>ショウヒン</t>
    </rPh>
    <rPh sb="4" eb="6">
      <t>ジュチュウ</t>
    </rPh>
    <rPh sb="6" eb="8">
      <t>ケンサク</t>
    </rPh>
    <phoneticPr fontId="2"/>
  </si>
  <si>
    <t>販売商品区分：</t>
    <rPh sb="0" eb="2">
      <t>ハンバイ</t>
    </rPh>
    <rPh sb="2" eb="4">
      <t>ショウヒン</t>
    </rPh>
    <rPh sb="4" eb="6">
      <t>クブン</t>
    </rPh>
    <phoneticPr fontId="2"/>
  </si>
  <si>
    <t>ステータス：</t>
    <phoneticPr fontId="2"/>
  </si>
  <si>
    <t>～</t>
    <phoneticPr fontId="2"/>
  </si>
  <si>
    <t>毒劇物取扱：</t>
    <rPh sb="0" eb="1">
      <t>ドク</t>
    </rPh>
    <rPh sb="1" eb="3">
      <t>ゲキブツ</t>
    </rPh>
    <rPh sb="3" eb="5">
      <t>トリアツカイ</t>
    </rPh>
    <phoneticPr fontId="2"/>
  </si>
  <si>
    <t>フリーワード：</t>
    <phoneticPr fontId="2"/>
  </si>
  <si>
    <t>販売商品区分</t>
    <rPh sb="0" eb="2">
      <t>ハンバイ</t>
    </rPh>
    <rPh sb="2" eb="4">
      <t>ショウヒン</t>
    </rPh>
    <rPh sb="4" eb="6">
      <t>クブン</t>
    </rPh>
    <phoneticPr fontId="2"/>
  </si>
  <si>
    <t>発送先CD</t>
    <rPh sb="0" eb="2">
      <t>ハッソウ</t>
    </rPh>
    <rPh sb="2" eb="3">
      <t>サキ</t>
    </rPh>
    <phoneticPr fontId="2"/>
  </si>
  <si>
    <t>発送先名</t>
    <rPh sb="0" eb="3">
      <t>ハッソウサキ</t>
    </rPh>
    <rPh sb="3" eb="4">
      <t>メイ</t>
    </rPh>
    <phoneticPr fontId="2"/>
  </si>
  <si>
    <t>毒劇物</t>
    <rPh sb="0" eb="1">
      <t>ドク</t>
    </rPh>
    <rPh sb="1" eb="3">
      <t>ゲキブツ</t>
    </rPh>
    <phoneticPr fontId="2"/>
  </si>
  <si>
    <t>販売商品受注入力</t>
    <rPh sb="0" eb="2">
      <t>ハンバイ</t>
    </rPh>
    <rPh sb="2" eb="4">
      <t>ショウヒン</t>
    </rPh>
    <rPh sb="4" eb="6">
      <t>ジュチュウ</t>
    </rPh>
    <rPh sb="6" eb="8">
      <t>ニュウリョク</t>
    </rPh>
    <phoneticPr fontId="2"/>
  </si>
  <si>
    <t>発送先名：</t>
    <rPh sb="0" eb="2">
      <t>ハッソウ</t>
    </rPh>
    <rPh sb="2" eb="3">
      <t>サキ</t>
    </rPh>
    <rPh sb="3" eb="4">
      <t>メイ</t>
    </rPh>
    <phoneticPr fontId="2"/>
  </si>
  <si>
    <t>発送先郵便番号：</t>
    <rPh sb="0" eb="2">
      <t>ハッソウ</t>
    </rPh>
    <rPh sb="2" eb="3">
      <t>サキ</t>
    </rPh>
    <rPh sb="3" eb="7">
      <t>ユウビンバンゴウ</t>
    </rPh>
    <phoneticPr fontId="2"/>
  </si>
  <si>
    <t>発送先TEL：</t>
    <rPh sb="0" eb="2">
      <t>ハッソウ</t>
    </rPh>
    <rPh sb="2" eb="3">
      <t>サキ</t>
    </rPh>
    <phoneticPr fontId="2"/>
  </si>
  <si>
    <t>発送先住所１：</t>
    <rPh sb="0" eb="2">
      <t>ハッソウ</t>
    </rPh>
    <rPh sb="2" eb="3">
      <t>サキ</t>
    </rPh>
    <rPh sb="3" eb="5">
      <t>ジュウショ</t>
    </rPh>
    <phoneticPr fontId="2"/>
  </si>
  <si>
    <t>発送先FAX：</t>
    <rPh sb="0" eb="2">
      <t>ハッソウ</t>
    </rPh>
    <rPh sb="2" eb="3">
      <t>サキ</t>
    </rPh>
    <phoneticPr fontId="2"/>
  </si>
  <si>
    <t>発送先住所２：</t>
    <rPh sb="0" eb="2">
      <t>ハッソウ</t>
    </rPh>
    <rPh sb="2" eb="3">
      <t>サキ</t>
    </rPh>
    <rPh sb="3" eb="5">
      <t>ジュウショ</t>
    </rPh>
    <phoneticPr fontId="2"/>
  </si>
  <si>
    <t>メーカー直送：</t>
    <rPh sb="4" eb="6">
      <t>チョクソウ</t>
    </rPh>
    <phoneticPr fontId="2"/>
  </si>
  <si>
    <t>粗利益</t>
    <rPh sb="0" eb="2">
      <t>アラリ</t>
    </rPh>
    <rPh sb="2" eb="3">
      <t>エキ</t>
    </rPh>
    <phoneticPr fontId="2"/>
  </si>
  <si>
    <t>粗利率</t>
    <rPh sb="0" eb="2">
      <t>アラリ</t>
    </rPh>
    <rPh sb="2" eb="3">
      <t>リツ</t>
    </rPh>
    <phoneticPr fontId="2"/>
  </si>
  <si>
    <t>毒劇</t>
    <rPh sb="0" eb="1">
      <t>ドク</t>
    </rPh>
    <rPh sb="1" eb="2">
      <t>ゲキ</t>
    </rPh>
    <phoneticPr fontId="2"/>
  </si>
  <si>
    <t>販売金額</t>
    <rPh sb="0" eb="2">
      <t>ハンバイ</t>
    </rPh>
    <rPh sb="2" eb="4">
      <t>キンガク</t>
    </rPh>
    <phoneticPr fontId="2"/>
  </si>
  <si>
    <t>入数</t>
    <rPh sb="0" eb="1">
      <t>イ</t>
    </rPh>
    <rPh sb="1" eb="2">
      <t>スウ</t>
    </rPh>
    <phoneticPr fontId="2"/>
  </si>
  <si>
    <t>原価数量</t>
    <rPh sb="0" eb="2">
      <t>ゲンカ</t>
    </rPh>
    <rPh sb="2" eb="4">
      <t>スウリョウ</t>
    </rPh>
    <phoneticPr fontId="2"/>
  </si>
  <si>
    <t>総数</t>
    <rPh sb="0" eb="2">
      <t>ソウスウ</t>
    </rPh>
    <phoneticPr fontId="2"/>
  </si>
  <si>
    <t>原価金額</t>
    <rPh sb="0" eb="2">
      <t>ゲンカ</t>
    </rPh>
    <rPh sb="2" eb="4">
      <t>キンガク</t>
    </rPh>
    <phoneticPr fontId="2"/>
  </si>
  <si>
    <t>メーカーCD</t>
    <phoneticPr fontId="2"/>
  </si>
  <si>
    <t>メーカー名</t>
    <rPh sb="4" eb="5">
      <t>メイ</t>
    </rPh>
    <phoneticPr fontId="2"/>
  </si>
  <si>
    <t>試料種類</t>
    <rPh sb="0" eb="2">
      <t>シリョウ</t>
    </rPh>
    <rPh sb="2" eb="4">
      <t>シュルイ</t>
    </rPh>
    <phoneticPr fontId="2"/>
  </si>
  <si>
    <t>試料名</t>
    <rPh sb="0" eb="2">
      <t>シリョウ</t>
    </rPh>
    <rPh sb="2" eb="3">
      <t>メイ</t>
    </rPh>
    <phoneticPr fontId="2"/>
  </si>
  <si>
    <t>仕入先CD</t>
    <rPh sb="0" eb="2">
      <t>シイレ</t>
    </rPh>
    <rPh sb="2" eb="3">
      <t>サキ</t>
    </rPh>
    <phoneticPr fontId="2"/>
  </si>
  <si>
    <t>商品CD</t>
  </si>
  <si>
    <t>入数単位</t>
    <rPh sb="0" eb="2">
      <t>イリスウ</t>
    </rPh>
    <rPh sb="2" eb="4">
      <t>タンイ</t>
    </rPh>
    <phoneticPr fontId="2"/>
  </si>
  <si>
    <t>ステータス▼</t>
  </si>
  <si>
    <t>請求先▼</t>
    <rPh sb="0" eb="2">
      <t>セイキュウ</t>
    </rPh>
    <rPh sb="2" eb="3">
      <t>サキ</t>
    </rPh>
    <phoneticPr fontId="2"/>
  </si>
  <si>
    <t>見積No.▼</t>
    <rPh sb="0" eb="2">
      <t>ミツモリ</t>
    </rPh>
    <phoneticPr fontId="2"/>
  </si>
  <si>
    <t>発送先▼</t>
    <rPh sb="0" eb="2">
      <t>ハッソウ</t>
    </rPh>
    <rPh sb="2" eb="3">
      <t>サキ</t>
    </rPh>
    <phoneticPr fontId="2"/>
  </si>
  <si>
    <t>商品▼</t>
    <rPh sb="0" eb="2">
      <t>ショウヒン</t>
    </rPh>
    <phoneticPr fontId="2"/>
  </si>
  <si>
    <t>仕入先▼</t>
    <rPh sb="0" eb="2">
      <t>シイレ</t>
    </rPh>
    <rPh sb="2" eb="3">
      <t>サキ</t>
    </rPh>
    <phoneticPr fontId="2"/>
  </si>
  <si>
    <t>メーカー▼</t>
  </si>
  <si>
    <t>請求先CD▼</t>
    <rPh sb="0" eb="2">
      <t>セイキュウ</t>
    </rPh>
    <rPh sb="2" eb="3">
      <t>サキ</t>
    </rPh>
    <phoneticPr fontId="2"/>
  </si>
  <si>
    <t>発送先CD▼</t>
    <rPh sb="0" eb="2">
      <t>ハッソウ</t>
    </rPh>
    <rPh sb="2" eb="3">
      <t>サキ</t>
    </rPh>
    <phoneticPr fontId="2"/>
  </si>
  <si>
    <t>販売商品区分▼</t>
    <rPh sb="0" eb="2">
      <t>ハンバイ</t>
    </rPh>
    <rPh sb="2" eb="4">
      <t>ショウヒン</t>
    </rPh>
    <rPh sb="4" eb="6">
      <t>クブン</t>
    </rPh>
    <phoneticPr fontId="2"/>
  </si>
  <si>
    <t>メーカーCD</t>
  </si>
  <si>
    <t>枝番</t>
    <rPh sb="0" eb="2">
      <t>エダバン</t>
    </rPh>
    <phoneticPr fontId="2"/>
  </si>
  <si>
    <t>原単価</t>
    <rPh sb="0" eb="1">
      <t>ゲン</t>
    </rPh>
    <rPh sb="1" eb="3">
      <t>タンカ</t>
    </rPh>
    <phoneticPr fontId="2"/>
  </si>
  <si>
    <t>受注数量</t>
    <rPh sb="0" eb="2">
      <t>ジュチュウ</t>
    </rPh>
    <rPh sb="2" eb="4">
      <t>スウリョウ</t>
    </rPh>
    <phoneticPr fontId="2"/>
  </si>
  <si>
    <t>販売単価</t>
    <rPh sb="0" eb="2">
      <t>ハンバイ</t>
    </rPh>
    <rPh sb="2" eb="4">
      <t>タンカ</t>
    </rPh>
    <phoneticPr fontId="2"/>
  </si>
  <si>
    <t>受理No.▽</t>
    <rPh sb="0" eb="2">
      <t>ジュリ</t>
    </rPh>
    <phoneticPr fontId="2"/>
  </si>
  <si>
    <t>見積No.▽</t>
    <rPh sb="0" eb="2">
      <t>ミツモリ</t>
    </rPh>
    <phoneticPr fontId="2"/>
  </si>
  <si>
    <t>受注日</t>
    <rPh sb="0" eb="2">
      <t>ジュチュウ</t>
    </rPh>
    <rPh sb="2" eb="3">
      <t>ビ</t>
    </rPh>
    <phoneticPr fontId="2"/>
  </si>
  <si>
    <t>営業担当者名▼</t>
    <rPh sb="0" eb="2">
      <t>エイギョウ</t>
    </rPh>
    <phoneticPr fontId="2"/>
  </si>
  <si>
    <t>営業担当者名</t>
    <rPh sb="0" eb="2">
      <t>エイギョウ</t>
    </rPh>
    <phoneticPr fontId="2"/>
  </si>
  <si>
    <t>発送先担当者名：</t>
    <rPh sb="0" eb="2">
      <t>ハッソウ</t>
    </rPh>
    <rPh sb="2" eb="3">
      <t>サキ</t>
    </rPh>
    <phoneticPr fontId="2"/>
  </si>
  <si>
    <t>バラ単位</t>
    <rPh sb="2" eb="4">
      <t>タンイ</t>
    </rPh>
    <phoneticPr fontId="2"/>
  </si>
  <si>
    <t>削除済も表示</t>
    <rPh sb="0" eb="2">
      <t>サクジョ</t>
    </rPh>
    <rPh sb="2" eb="3">
      <t>ス</t>
    </rPh>
    <rPh sb="4" eb="6">
      <t>ヒョウジ</t>
    </rPh>
    <phoneticPr fontId="2"/>
  </si>
  <si>
    <t>受注数量単位</t>
    <rPh sb="0" eb="2">
      <t>ジュチュウ</t>
    </rPh>
    <rPh sb="2" eb="4">
      <t>スウリョウ</t>
    </rPh>
    <rPh sb="4" eb="6">
      <t>タンイ</t>
    </rPh>
    <phoneticPr fontId="2"/>
  </si>
  <si>
    <t>入力者名▼</t>
    <phoneticPr fontId="2"/>
  </si>
  <si>
    <t>入力者名</t>
    <phoneticPr fontId="2"/>
  </si>
  <si>
    <t>入力者名▼</t>
    <phoneticPr fontId="2"/>
  </si>
  <si>
    <t>伝票発行状態▼</t>
    <rPh sb="0" eb="2">
      <t>デンピョウ</t>
    </rPh>
    <rPh sb="2" eb="4">
      <t>ハッコウ</t>
    </rPh>
    <rPh sb="4" eb="6">
      <t>ジョウタイ</t>
    </rPh>
    <phoneticPr fontId="2"/>
  </si>
  <si>
    <t>伝票発行</t>
    <rPh sb="0" eb="2">
      <t>デンピョウ</t>
    </rPh>
    <rPh sb="2" eb="4">
      <t>ハッコウ</t>
    </rPh>
    <phoneticPr fontId="2"/>
  </si>
  <si>
    <t>伝票発行CD</t>
    <rPh sb="0" eb="2">
      <t>デンピョウ</t>
    </rPh>
    <rPh sb="2" eb="4">
      <t>ハッコウ</t>
    </rPh>
    <phoneticPr fontId="2"/>
  </si>
  <si>
    <t>営業担当者CD</t>
    <rPh sb="0" eb="2">
      <t>エイギョウ</t>
    </rPh>
    <rPh sb="2" eb="5">
      <t>タントウシャ</t>
    </rPh>
    <phoneticPr fontId="2"/>
  </si>
  <si>
    <t>入力者CD</t>
    <rPh sb="0" eb="2">
      <t>ニュウリョク</t>
    </rPh>
    <rPh sb="2" eb="3">
      <t>シャ</t>
    </rPh>
    <phoneticPr fontId="2"/>
  </si>
  <si>
    <t>リスト名</t>
    <rPh sb="3" eb="4">
      <t>メイ</t>
    </rPh>
    <phoneticPr fontId="2"/>
  </si>
  <si>
    <t>件数</t>
    <rPh sb="0" eb="2">
      <t>ケンスウ</t>
    </rPh>
    <phoneticPr fontId="2"/>
  </si>
  <si>
    <t>名称</t>
    <rPh sb="0" eb="2">
      <t>メイショウ</t>
    </rPh>
    <phoneticPr fontId="2"/>
  </si>
  <si>
    <t>コード</t>
    <phoneticPr fontId="2"/>
  </si>
  <si>
    <t>【処理用判定】</t>
    <rPh sb="1" eb="3">
      <t>ショリ</t>
    </rPh>
    <rPh sb="3" eb="4">
      <t>ヨウ</t>
    </rPh>
    <rPh sb="4" eb="6">
      <t>ハンテイ</t>
    </rPh>
    <phoneticPr fontId="2"/>
  </si>
  <si>
    <t>データ照会中フラグ</t>
    <rPh sb="3" eb="5">
      <t>ショウカイ</t>
    </rPh>
    <rPh sb="5" eb="6">
      <t>チュウ</t>
    </rPh>
    <phoneticPr fontId="2"/>
  </si>
  <si>
    <t>ON:1</t>
  </si>
  <si>
    <t>OFF:1以外</t>
    <rPh sb="5" eb="7">
      <t>イガイ</t>
    </rPh>
    <phoneticPr fontId="2"/>
  </si>
  <si>
    <t>対象受理No.</t>
    <rPh sb="0" eb="2">
      <t>タイショウ</t>
    </rPh>
    <rPh sb="2" eb="4">
      <t>ジュリ</t>
    </rPh>
    <phoneticPr fontId="2"/>
  </si>
  <si>
    <t>ユーザーID</t>
    <phoneticPr fontId="2"/>
  </si>
  <si>
    <t>シリアル生成</t>
    <rPh sb="4" eb="6">
      <t>セイセイ</t>
    </rPh>
    <phoneticPr fontId="2"/>
  </si>
  <si>
    <t>シリアル値</t>
    <rPh sb="4" eb="5">
      <t>アタイ</t>
    </rPh>
    <phoneticPr fontId="2"/>
  </si>
  <si>
    <t>【ワークテーブル用】</t>
    <rPh sb="8" eb="9">
      <t>ヨウ</t>
    </rPh>
    <phoneticPr fontId="2"/>
  </si>
  <si>
    <t>【モード判定】</t>
    <rPh sb="4" eb="6">
      <t>ハンテイ</t>
    </rPh>
    <phoneticPr fontId="2"/>
  </si>
  <si>
    <t>モード</t>
    <phoneticPr fontId="2"/>
  </si>
  <si>
    <t>入力者名▼</t>
  </si>
  <si>
    <t>納品日▼</t>
  </si>
  <si>
    <t>伝票発行▼</t>
  </si>
  <si>
    <t>請求先▼</t>
  </si>
  <si>
    <t>営業担当者名▼</t>
  </si>
  <si>
    <t>1：新規2：修正0：参照</t>
    <rPh sb="2" eb="4">
      <t>シンキ</t>
    </rPh>
    <rPh sb="6" eb="8">
      <t>シュウセイ</t>
    </rPh>
    <rPh sb="10" eb="12">
      <t>サンショウ</t>
    </rPh>
    <phoneticPr fontId="2"/>
  </si>
  <si>
    <t>【フォーカス判定】</t>
    <rPh sb="6" eb="8">
      <t>ハンテイ</t>
    </rPh>
    <phoneticPr fontId="2"/>
  </si>
  <si>
    <t>選択シート名</t>
    <rPh sb="0" eb="2">
      <t>センタク</t>
    </rPh>
    <rPh sb="5" eb="6">
      <t>メイ</t>
    </rPh>
    <phoneticPr fontId="2"/>
  </si>
  <si>
    <t>選択行番号</t>
    <rPh sb="0" eb="2">
      <t>センタク</t>
    </rPh>
    <rPh sb="2" eb="3">
      <t>ギョウ</t>
    </rPh>
    <rPh sb="3" eb="5">
      <t>バンゴウ</t>
    </rPh>
    <phoneticPr fontId="2"/>
  </si>
  <si>
    <t>選択列番号</t>
    <rPh sb="0" eb="2">
      <t>センタク</t>
    </rPh>
    <rPh sb="2" eb="3">
      <t>レツ</t>
    </rPh>
    <rPh sb="3" eb="5">
      <t>バンゴウ</t>
    </rPh>
    <phoneticPr fontId="2"/>
  </si>
  <si>
    <t>選択セル名</t>
    <rPh sb="0" eb="2">
      <t>センタク</t>
    </rPh>
    <rPh sb="4" eb="5">
      <t>メイ</t>
    </rPh>
    <phoneticPr fontId="2"/>
  </si>
  <si>
    <t>展開開始位置</t>
    <rPh sb="0" eb="2">
      <t>テンカイ</t>
    </rPh>
    <rPh sb="2" eb="4">
      <t>カイシ</t>
    </rPh>
    <rPh sb="4" eb="6">
      <t>イチ</t>
    </rPh>
    <phoneticPr fontId="2"/>
  </si>
  <si>
    <t>表示件数</t>
    <rPh sb="0" eb="2">
      <t>ヒョウジ</t>
    </rPh>
    <rPh sb="2" eb="4">
      <t>ケンスウ</t>
    </rPh>
    <phoneticPr fontId="2"/>
  </si>
  <si>
    <t>モード制御参照</t>
    <rPh sb="3" eb="5">
      <t>セイギョ</t>
    </rPh>
    <rPh sb="5" eb="7">
      <t>サンショウ</t>
    </rPh>
    <phoneticPr fontId="2"/>
  </si>
  <si>
    <t>修正</t>
  </si>
  <si>
    <t>参照</t>
  </si>
  <si>
    <t>伝票発行</t>
  </si>
  <si>
    <t>コード</t>
  </si>
  <si>
    <t>営業担当CD</t>
    <rPh sb="0" eb="2">
      <t>エイギョウ</t>
    </rPh>
    <rPh sb="2" eb="4">
      <t>タントウ</t>
    </rPh>
    <phoneticPr fontId="2"/>
  </si>
  <si>
    <t>UNJC1020_H_EIGYO_TANTO_CD</t>
    <phoneticPr fontId="2"/>
  </si>
  <si>
    <t>UNJC1020_H_NYURYOKU_CD</t>
    <phoneticPr fontId="2"/>
  </si>
  <si>
    <t>UNJC1020_IF_DATA_SEARCH_FLG</t>
    <phoneticPr fontId="2"/>
  </si>
  <si>
    <t>UNJC1020_IF_JURI_NO</t>
    <phoneticPr fontId="2"/>
  </si>
  <si>
    <t>UNJC1020_IF_W_USER_ID</t>
    <phoneticPr fontId="2"/>
  </si>
  <si>
    <t>UNJC1020_IF_W_SERIAL</t>
    <phoneticPr fontId="2"/>
  </si>
  <si>
    <t>UNJC1020_IF_W_SERIAL_CREATE</t>
    <phoneticPr fontId="2"/>
  </si>
  <si>
    <t>UNJC1020_IF_MODE</t>
    <phoneticPr fontId="2"/>
  </si>
  <si>
    <t>UNJC1020_IF_ACTIVE_SHEET</t>
    <phoneticPr fontId="2"/>
  </si>
  <si>
    <t>UNJC1020_IF_ACTIVE_ROW</t>
    <phoneticPr fontId="2"/>
  </si>
  <si>
    <t>UNJC1020_IF_ACTIVE_COLUMN</t>
    <phoneticPr fontId="2"/>
  </si>
  <si>
    <t>UNJC1020_IF_ACTIVE_CELL_NAME</t>
    <phoneticPr fontId="2"/>
  </si>
  <si>
    <t>製造(在庫有)フラグ</t>
    <phoneticPr fontId="2"/>
  </si>
  <si>
    <t>製造(在庫無)フラグ</t>
    <phoneticPr fontId="2"/>
  </si>
  <si>
    <t>OEM・代理店フラグ</t>
    <phoneticPr fontId="2"/>
  </si>
  <si>
    <t>工事フラグ</t>
    <phoneticPr fontId="2"/>
  </si>
  <si>
    <t>機械フラグ</t>
    <phoneticPr fontId="2"/>
  </si>
  <si>
    <t>処理未フラグ</t>
    <phoneticPr fontId="2"/>
  </si>
  <si>
    <t>出荷準備完了フラグ</t>
    <phoneticPr fontId="2"/>
  </si>
  <si>
    <t>UNJC1020_H_ZAIKO_ARI_FLG</t>
    <phoneticPr fontId="2"/>
  </si>
  <si>
    <t>UNJC1020_H_ZAIKO_NASHI_FLG</t>
    <phoneticPr fontId="2"/>
  </si>
  <si>
    <t>UNJC1020_H_OEM_DAIRITEN_FLG</t>
    <phoneticPr fontId="2"/>
  </si>
  <si>
    <t>UNJC1020_H_KOJI_FLG</t>
    <phoneticPr fontId="2"/>
  </si>
  <si>
    <t>UNJC1020_H_KIKAI_FLG</t>
    <phoneticPr fontId="2"/>
  </si>
  <si>
    <t>UNJC1020_H_SHORIMI_FLG</t>
    <phoneticPr fontId="2"/>
  </si>
  <si>
    <t>UNJC1020_H_SHUKKA_FLG</t>
    <phoneticPr fontId="2"/>
  </si>
  <si>
    <t>毒劇物フラグ</t>
    <rPh sb="0" eb="1">
      <t>ドク</t>
    </rPh>
    <rPh sb="1" eb="3">
      <t>ゲキブツ</t>
    </rPh>
    <phoneticPr fontId="2"/>
  </si>
  <si>
    <t>UNJC1020_H_DOKUGEKI_FLG</t>
    <phoneticPr fontId="2"/>
  </si>
  <si>
    <t>削除済みフラグ</t>
    <rPh sb="0" eb="2">
      <t>サクジョ</t>
    </rPh>
    <rPh sb="2" eb="3">
      <t>ズ</t>
    </rPh>
    <phoneticPr fontId="2"/>
  </si>
  <si>
    <t>UNJC1020_H_SAKUJO_FLG</t>
    <phoneticPr fontId="2"/>
  </si>
  <si>
    <t>フリーワード区分</t>
    <rPh sb="6" eb="8">
      <t>クブン</t>
    </rPh>
    <phoneticPr fontId="2"/>
  </si>
  <si>
    <t>1:AND2:OR3:NAND</t>
  </si>
  <si>
    <t>UNJC1020_H_FREEWD_KBN</t>
    <phoneticPr fontId="2"/>
  </si>
  <si>
    <t>【コンボボックス】</t>
    <phoneticPr fontId="2"/>
  </si>
  <si>
    <t>伝票発行状態</t>
    <rPh sb="0" eb="2">
      <t>デンピョウ</t>
    </rPh>
    <rPh sb="2" eb="4">
      <t>ハッコウ</t>
    </rPh>
    <rPh sb="4" eb="6">
      <t>ジョウタイ</t>
    </rPh>
    <phoneticPr fontId="2"/>
  </si>
  <si>
    <t>UNJC1020_IF_LIST_DENPYO_HAKKO</t>
    <phoneticPr fontId="2"/>
  </si>
  <si>
    <t>「=OFFSET(UNJC1020_IF_LIST_DENPYO_HAKKO_START,,,IF(UNJC1020_IF_LIST_DENPYO_HAKKO_KENSU=0,1,UNJC1020_IF_LIST_DENPYO_HAKKO_KENSU),1)」</t>
    <phoneticPr fontId="2"/>
  </si>
  <si>
    <t>伝票発行状態</t>
    <rPh sb="0" eb="2">
      <t>デンピョウ</t>
    </rPh>
    <rPh sb="2" eb="4">
      <t>ハッコウ</t>
    </rPh>
    <rPh sb="4" eb="6">
      <t>ジョウタイ</t>
    </rPh>
    <phoneticPr fontId="2"/>
  </si>
  <si>
    <t>UNJC1020_H_DENPYO_HAKKO_CD</t>
    <phoneticPr fontId="2"/>
  </si>
  <si>
    <t>メーカーCD</t>
    <phoneticPr fontId="2"/>
  </si>
  <si>
    <t>納品日1</t>
    <rPh sb="0" eb="3">
      <t>ノウヒンビ</t>
    </rPh>
    <phoneticPr fontId="2"/>
  </si>
  <si>
    <t>納品日2</t>
    <rPh sb="0" eb="3">
      <t>ノウヒンビ</t>
    </rPh>
    <phoneticPr fontId="2"/>
  </si>
  <si>
    <t>伝票発行状態取得SQL</t>
    <rPh sb="0" eb="2">
      <t>デンピョウ</t>
    </rPh>
    <rPh sb="2" eb="4">
      <t>ハッコウ</t>
    </rPh>
    <rPh sb="4" eb="6">
      <t>ジョウタイ</t>
    </rPh>
    <rPh sb="6" eb="8">
      <t>シュトク</t>
    </rPh>
    <phoneticPr fontId="2"/>
  </si>
  <si>
    <t>フリーワード１</t>
    <phoneticPr fontId="2"/>
  </si>
  <si>
    <t>フリーワード2</t>
    <phoneticPr fontId="2"/>
  </si>
  <si>
    <t>フリーワード3</t>
    <phoneticPr fontId="2"/>
  </si>
  <si>
    <t>SQL1</t>
    <phoneticPr fontId="2"/>
  </si>
  <si>
    <t>条件(営業担当者CD)</t>
    <rPh sb="0" eb="2">
      <t>ジョウケン</t>
    </rPh>
    <rPh sb="3" eb="5">
      <t>エイギョウ</t>
    </rPh>
    <rPh sb="5" eb="8">
      <t>タントウシャ</t>
    </rPh>
    <phoneticPr fontId="2"/>
  </si>
  <si>
    <t>条件(入力者CD)</t>
    <rPh sb="0" eb="2">
      <t>ジョウケン</t>
    </rPh>
    <rPh sb="3" eb="5">
      <t>ニュウリョク</t>
    </rPh>
    <rPh sb="5" eb="6">
      <t>シャ</t>
    </rPh>
    <phoneticPr fontId="2"/>
  </si>
  <si>
    <t>条件(請求先CD)</t>
    <rPh sb="0" eb="2">
      <t>ジョウケン</t>
    </rPh>
    <rPh sb="3" eb="5">
      <t>セイキュウ</t>
    </rPh>
    <rPh sb="5" eb="6">
      <t>サキ</t>
    </rPh>
    <phoneticPr fontId="2"/>
  </si>
  <si>
    <t>条件(商品CD)</t>
    <rPh sb="0" eb="2">
      <t>ジョウケン</t>
    </rPh>
    <rPh sb="3" eb="5">
      <t>ショウヒン</t>
    </rPh>
    <phoneticPr fontId="2"/>
  </si>
  <si>
    <t>条件(仕入先CD)</t>
    <rPh sb="0" eb="2">
      <t>ジョウケン</t>
    </rPh>
    <rPh sb="3" eb="5">
      <t>シイレ</t>
    </rPh>
    <rPh sb="5" eb="6">
      <t>サキ</t>
    </rPh>
    <phoneticPr fontId="2"/>
  </si>
  <si>
    <t>条件(メーカーCD)</t>
    <rPh sb="0" eb="2">
      <t>ジョウケン</t>
    </rPh>
    <phoneticPr fontId="2"/>
  </si>
  <si>
    <t>条件(納品日1)</t>
    <rPh sb="0" eb="2">
      <t>ジョウケン</t>
    </rPh>
    <rPh sb="3" eb="6">
      <t>ノウヒンビ</t>
    </rPh>
    <phoneticPr fontId="2"/>
  </si>
  <si>
    <t>条件(納品日2)</t>
    <rPh sb="0" eb="2">
      <t>ジョウケン</t>
    </rPh>
    <rPh sb="3" eb="6">
      <t>ノウヒンビ</t>
    </rPh>
    <phoneticPr fontId="2"/>
  </si>
  <si>
    <t>UNJC1020_B_PAGE_NO</t>
    <phoneticPr fontId="2"/>
  </si>
  <si>
    <t>全件数</t>
    <rPh sb="0" eb="2">
      <t>ゼンケン</t>
    </rPh>
    <rPh sb="2" eb="3">
      <t>スウ</t>
    </rPh>
    <phoneticPr fontId="2"/>
  </si>
  <si>
    <t>ページ番号</t>
    <rPh sb="3" eb="5">
      <t>バンゴウ</t>
    </rPh>
    <phoneticPr fontId="2"/>
  </si>
  <si>
    <t>総ページ数</t>
    <rPh sb="0" eb="1">
      <t>ソウ</t>
    </rPh>
    <rPh sb="4" eb="5">
      <t>スウ</t>
    </rPh>
    <phoneticPr fontId="2"/>
  </si>
  <si>
    <t>表示行数定義</t>
    <rPh sb="0" eb="2">
      <t>ヒョウジ</t>
    </rPh>
    <rPh sb="2" eb="4">
      <t>ギョウスウ</t>
    </rPh>
    <rPh sb="4" eb="6">
      <t>テイギ</t>
    </rPh>
    <phoneticPr fontId="2"/>
  </si>
  <si>
    <t>UNJC1020_B_ALL_PAGE_SU</t>
    <phoneticPr fontId="2"/>
  </si>
  <si>
    <t>UNJC1020_B_HYOJI_KENSU</t>
    <phoneticPr fontId="2"/>
  </si>
  <si>
    <t>UNJC1020_B_ALL_KENSU</t>
    <phoneticPr fontId="2"/>
  </si>
  <si>
    <t>UNJC1020_B_HYOJI_GYO_SU</t>
    <phoneticPr fontId="2"/>
  </si>
  <si>
    <t>コピー元書式</t>
    <rPh sb="3" eb="4">
      <t>モト</t>
    </rPh>
    <rPh sb="4" eb="6">
      <t>ショシキ</t>
    </rPh>
    <phoneticPr fontId="2"/>
  </si>
  <si>
    <t>リスト初期書式コピー元範囲</t>
    <rPh sb="3" eb="5">
      <t>ショキ</t>
    </rPh>
    <rPh sb="5" eb="7">
      <t>ショシキ</t>
    </rPh>
    <rPh sb="10" eb="11">
      <t>モト</t>
    </rPh>
    <rPh sb="11" eb="13">
      <t>ハンイ</t>
    </rPh>
    <phoneticPr fontId="2"/>
  </si>
  <si>
    <t>リスト書式コピー元範囲</t>
    <rPh sb="3" eb="5">
      <t>ショシキ</t>
    </rPh>
    <rPh sb="8" eb="9">
      <t>モト</t>
    </rPh>
    <rPh sb="9" eb="11">
      <t>ハンイ</t>
    </rPh>
    <phoneticPr fontId="2"/>
  </si>
  <si>
    <t>UNJC1020_IF_LIST_DEFAULT</t>
    <phoneticPr fontId="2"/>
  </si>
  <si>
    <t>リスト展開開始位置</t>
    <rPh sb="3" eb="5">
      <t>テンカイ</t>
    </rPh>
    <rPh sb="5" eb="7">
      <t>カイシ</t>
    </rPh>
    <rPh sb="7" eb="9">
      <t>イチ</t>
    </rPh>
    <phoneticPr fontId="2"/>
  </si>
  <si>
    <t>リスト展開終了位置</t>
    <rPh sb="3" eb="5">
      <t>テンカイ</t>
    </rPh>
    <rPh sb="5" eb="7">
      <t>シュウリョウ</t>
    </rPh>
    <rPh sb="7" eb="9">
      <t>イチ</t>
    </rPh>
    <phoneticPr fontId="2"/>
  </si>
  <si>
    <t>リスト書式コピー先</t>
    <rPh sb="3" eb="5">
      <t>ショシキ</t>
    </rPh>
    <rPh sb="8" eb="9">
      <t>サキ</t>
    </rPh>
    <phoneticPr fontId="2"/>
  </si>
  <si>
    <t>リストクリア範囲</t>
    <rPh sb="6" eb="8">
      <t>ハンイ</t>
    </rPh>
    <phoneticPr fontId="2"/>
  </si>
  <si>
    <t>UNJC1020_B_LIST_START</t>
    <phoneticPr fontId="2"/>
  </si>
  <si>
    <t>UNJC1020_B_LIST_END</t>
    <phoneticPr fontId="2"/>
  </si>
  <si>
    <t>UNJC1020_B_LIST_COPY_SAKI</t>
    <phoneticPr fontId="2"/>
  </si>
  <si>
    <t>UNJC1020_B_LIST_CLEAR</t>
    <phoneticPr fontId="2"/>
  </si>
  <si>
    <t>カウントSQL</t>
    <phoneticPr fontId="2"/>
  </si>
  <si>
    <t>検索実行SQL文</t>
    <phoneticPr fontId="2"/>
  </si>
  <si>
    <t>UNJC1020_SQL_SELECT_HAN_JUCHU_LIST_CNT</t>
    <phoneticPr fontId="2"/>
  </si>
  <si>
    <t>UNJC1020_SQL_SELECT_HAN_JUCHU_LIST</t>
    <phoneticPr fontId="2"/>
  </si>
  <si>
    <t>受注日1</t>
    <rPh sb="0" eb="2">
      <t>ジュチュウ</t>
    </rPh>
    <rPh sb="2" eb="3">
      <t>ビ</t>
    </rPh>
    <phoneticPr fontId="2"/>
  </si>
  <si>
    <t>受注日2</t>
    <rPh sb="0" eb="2">
      <t>ジュチュウ</t>
    </rPh>
    <rPh sb="2" eb="3">
      <t>ビ</t>
    </rPh>
    <phoneticPr fontId="2"/>
  </si>
  <si>
    <t>条件(受注日1)</t>
    <rPh sb="0" eb="2">
      <t>ジョウケン</t>
    </rPh>
    <rPh sb="3" eb="5">
      <t>ジュチュウ</t>
    </rPh>
    <rPh sb="5" eb="6">
      <t>ビ</t>
    </rPh>
    <phoneticPr fontId="2"/>
  </si>
  <si>
    <t>条件(受注日2)</t>
    <rPh sb="0" eb="2">
      <t>ジョウケン</t>
    </rPh>
    <rPh sb="3" eb="5">
      <t>ジュチュウ</t>
    </rPh>
    <rPh sb="5" eb="6">
      <t>ビ</t>
    </rPh>
    <phoneticPr fontId="2"/>
  </si>
  <si>
    <t>受注最小</t>
    <rPh sb="0" eb="2">
      <t>ジュチュウ</t>
    </rPh>
    <rPh sb="2" eb="4">
      <t>サイショウ</t>
    </rPh>
    <phoneticPr fontId="2"/>
  </si>
  <si>
    <t>受注最大</t>
    <rPh sb="0" eb="2">
      <t>ジュチュウ</t>
    </rPh>
    <rPh sb="2" eb="4">
      <t>サイダイ</t>
    </rPh>
    <phoneticPr fontId="2"/>
  </si>
  <si>
    <t>納品最小</t>
    <rPh sb="0" eb="2">
      <t>ノウヒン</t>
    </rPh>
    <rPh sb="2" eb="4">
      <t>サイショウ</t>
    </rPh>
    <phoneticPr fontId="2"/>
  </si>
  <si>
    <t>納品最大</t>
    <rPh sb="0" eb="2">
      <t>ノウヒン</t>
    </rPh>
    <rPh sb="2" eb="4">
      <t>サイダイ</t>
    </rPh>
    <phoneticPr fontId="2"/>
  </si>
  <si>
    <t>条件(製造(在庫有)フラグ)</t>
    <rPh sb="0" eb="2">
      <t>ジョウケン</t>
    </rPh>
    <phoneticPr fontId="2"/>
  </si>
  <si>
    <t>条件(製造(在庫無)フラグ)</t>
    <rPh sb="0" eb="2">
      <t>ジョウケン</t>
    </rPh>
    <phoneticPr fontId="2"/>
  </si>
  <si>
    <t>条件(OEM・代理店フラグ)</t>
    <phoneticPr fontId="2"/>
  </si>
  <si>
    <t>条件(工事フラグ)</t>
    <phoneticPr fontId="2"/>
  </si>
  <si>
    <t>条件(機械フラグ)</t>
    <phoneticPr fontId="2"/>
  </si>
  <si>
    <t>条件(処理未フラグ)</t>
    <phoneticPr fontId="2"/>
  </si>
  <si>
    <t>条件(出荷準備完了フラグ)</t>
    <phoneticPr fontId="2"/>
  </si>
  <si>
    <t>条件(毒劇物フラグ)</t>
    <rPh sb="3" eb="4">
      <t>ドク</t>
    </rPh>
    <rPh sb="4" eb="6">
      <t>ゲキブツ</t>
    </rPh>
    <phoneticPr fontId="2"/>
  </si>
  <si>
    <t>条件(削除済みフラグ)</t>
    <rPh sb="3" eb="5">
      <t>サクジョ</t>
    </rPh>
    <rPh sb="5" eb="6">
      <t>ズ</t>
    </rPh>
    <phoneticPr fontId="2"/>
  </si>
  <si>
    <t>販売商品区分SQL</t>
    <rPh sb="0" eb="2">
      <t>ハンバイ</t>
    </rPh>
    <rPh sb="2" eb="4">
      <t>ショウヒン</t>
    </rPh>
    <rPh sb="4" eb="6">
      <t>クブン</t>
    </rPh>
    <phoneticPr fontId="2"/>
  </si>
  <si>
    <t>販売ステータスSQL</t>
    <rPh sb="0" eb="2">
      <t>ハンバイ</t>
    </rPh>
    <phoneticPr fontId="2"/>
  </si>
  <si>
    <t>条件(伝票発行状態)</t>
    <rPh sb="0" eb="2">
      <t>ジョウケン</t>
    </rPh>
    <rPh sb="3" eb="5">
      <t>デンピョウ</t>
    </rPh>
    <rPh sb="5" eb="7">
      <t>ハッコウ</t>
    </rPh>
    <rPh sb="7" eb="9">
      <t>ジョウタイ</t>
    </rPh>
    <phoneticPr fontId="2"/>
  </si>
  <si>
    <t>前ページ番号</t>
    <rPh sb="0" eb="1">
      <t>マエ</t>
    </rPh>
    <rPh sb="4" eb="6">
      <t>バンゴウ</t>
    </rPh>
    <phoneticPr fontId="2"/>
  </si>
  <si>
    <t>次ページ番号</t>
    <rPh sb="0" eb="1">
      <t>ツギ</t>
    </rPh>
    <rPh sb="4" eb="6">
      <t>バンゴウ</t>
    </rPh>
    <phoneticPr fontId="2"/>
  </si>
  <si>
    <t>前ページ判断</t>
    <rPh sb="0" eb="1">
      <t>マエ</t>
    </rPh>
    <rPh sb="4" eb="6">
      <t>ハンダン</t>
    </rPh>
    <phoneticPr fontId="2"/>
  </si>
  <si>
    <t>1:有効2:無効</t>
    <rPh sb="2" eb="4">
      <t>ユウコウ</t>
    </rPh>
    <rPh sb="6" eb="8">
      <t>ムコウ</t>
    </rPh>
    <phoneticPr fontId="2"/>
  </si>
  <si>
    <t>次ページ判断</t>
    <rPh sb="0" eb="1">
      <t>ツギ</t>
    </rPh>
    <rPh sb="4" eb="6">
      <t>ハンダン</t>
    </rPh>
    <phoneticPr fontId="2"/>
  </si>
  <si>
    <t>UNJC1020_B_BACK_PAGE</t>
    <phoneticPr fontId="2"/>
  </si>
  <si>
    <t>UNJC1020_B_BACK_PAGE_NO</t>
    <phoneticPr fontId="2"/>
  </si>
  <si>
    <t>UNJC1020_B_NEXT_PAGE_NO</t>
    <phoneticPr fontId="2"/>
  </si>
  <si>
    <t>UNJC1020_B_NEXT_PAGE</t>
    <phoneticPr fontId="2"/>
  </si>
  <si>
    <t>ページング</t>
    <phoneticPr fontId="2"/>
  </si>
  <si>
    <t>並び替え</t>
    <rPh sb="0" eb="1">
      <t>ナラ</t>
    </rPh>
    <rPh sb="2" eb="3">
      <t>カ</t>
    </rPh>
    <phoneticPr fontId="2"/>
  </si>
  <si>
    <t>条件(フリーワード1)</t>
    <rPh sb="0" eb="2">
      <t>ジョウケン</t>
    </rPh>
    <phoneticPr fontId="2"/>
  </si>
  <si>
    <t>条件(フリーワード2)</t>
    <rPh sb="0" eb="2">
      <t>ジョウケン</t>
    </rPh>
    <phoneticPr fontId="2"/>
  </si>
  <si>
    <t>条件(フリーワード3)</t>
    <rPh sb="0" eb="2">
      <t>ジョウケン</t>
    </rPh>
    <phoneticPr fontId="2"/>
  </si>
  <si>
    <t>フリーワード区分</t>
    <rPh sb="6" eb="8">
      <t>クブン</t>
    </rPh>
    <phoneticPr fontId="2"/>
  </si>
  <si>
    <t>条件(フリーワード)</t>
    <rPh sb="0" eb="2">
      <t>ジョウケン</t>
    </rPh>
    <phoneticPr fontId="2"/>
  </si>
  <si>
    <t>UNJC1020_SQL_SORT</t>
    <phoneticPr fontId="2"/>
  </si>
  <si>
    <t>並び替え項目取得SQL</t>
    <rPh sb="0" eb="1">
      <t>ナラ</t>
    </rPh>
    <rPh sb="2" eb="3">
      <t>カ</t>
    </rPh>
    <rPh sb="4" eb="6">
      <t>コウモク</t>
    </rPh>
    <rPh sb="6" eb="8">
      <t>シュトク</t>
    </rPh>
    <phoneticPr fontId="2"/>
  </si>
  <si>
    <t>UNJC1020_SQL_SORT_BY</t>
    <phoneticPr fontId="2"/>
  </si>
  <si>
    <t>現在の条件</t>
    <rPh sb="0" eb="2">
      <t>ゲンザイ</t>
    </rPh>
    <rPh sb="3" eb="5">
      <t>ジョウケン</t>
    </rPh>
    <phoneticPr fontId="2"/>
  </si>
  <si>
    <t>前回の条件</t>
    <rPh sb="0" eb="2">
      <t>ゼンカイ</t>
    </rPh>
    <rPh sb="3" eb="5">
      <t>ジョウケン</t>
    </rPh>
    <phoneticPr fontId="2"/>
  </si>
  <si>
    <t>【初期化用】</t>
    <rPh sb="1" eb="4">
      <t>ショキカ</t>
    </rPh>
    <rPh sb="4" eb="5">
      <t>ヨウ</t>
    </rPh>
    <phoneticPr fontId="2"/>
  </si>
  <si>
    <t>UNJC1020_IF_LIST_COPY_MOTO</t>
    <phoneticPr fontId="2"/>
  </si>
  <si>
    <t>UNJC1020_IF_CELL_CLEAR</t>
    <phoneticPr fontId="2"/>
  </si>
  <si>
    <t>UNJC1020_IF_CELL_CLEAR_FLG</t>
    <phoneticPr fontId="2"/>
  </si>
  <si>
    <t>UNJC1020_SQL_SELECT_HAN_JUCHU_PRINT</t>
    <phoneticPr fontId="2"/>
  </si>
  <si>
    <t>検索件数</t>
    <rPh sb="0" eb="2">
      <t>ケンサク</t>
    </rPh>
    <rPh sb="2" eb="4">
      <t>ケンスウ</t>
    </rPh>
    <phoneticPr fontId="2"/>
  </si>
  <si>
    <t>UNJC1020_IF_PRINT_COUNT</t>
    <phoneticPr fontId="2"/>
  </si>
  <si>
    <t>UNＪＣ1020_IF_EXCEL_FILE_NAME</t>
    <phoneticPr fontId="2"/>
  </si>
  <si>
    <t>保存ファイル名</t>
    <rPh sb="0" eb="2">
      <t>ホゾン</t>
    </rPh>
    <rPh sb="6" eb="7">
      <t>メイ</t>
    </rPh>
    <phoneticPr fontId="2"/>
  </si>
  <si>
    <t>フリーワード：</t>
  </si>
  <si>
    <t>ステータス</t>
  </si>
  <si>
    <t>販売商品区分</t>
  </si>
  <si>
    <t>受理No.</t>
  </si>
  <si>
    <t>件名</t>
  </si>
  <si>
    <t>営業担当者名</t>
  </si>
  <si>
    <t>受注日</t>
  </si>
  <si>
    <t>納品日</t>
  </si>
  <si>
    <t>請求先CD</t>
  </si>
  <si>
    <t>請求先名</t>
  </si>
  <si>
    <t>発送先CD</t>
  </si>
  <si>
    <t>発送先名</t>
  </si>
  <si>
    <t>見積No.</t>
  </si>
  <si>
    <t>非表示行</t>
    <rPh sb="0" eb="3">
      <t>ヒヒョウジ</t>
    </rPh>
    <rPh sb="3" eb="4">
      <t>ギョウ</t>
    </rPh>
    <phoneticPr fontId="2"/>
  </si>
  <si>
    <t>非表示列</t>
    <rPh sb="0" eb="3">
      <t>ヒヒョウジ</t>
    </rPh>
    <rPh sb="3" eb="4">
      <t>レツ</t>
    </rPh>
    <phoneticPr fontId="2"/>
  </si>
  <si>
    <t>UNJC1020_H_HIDE_ROW</t>
    <phoneticPr fontId="2"/>
  </si>
  <si>
    <t>UNJC1020_H_HIDE_COLUMN</t>
    <phoneticPr fontId="2"/>
  </si>
  <si>
    <t>UNJC1020_B_HIDE_ROW</t>
    <phoneticPr fontId="2"/>
  </si>
  <si>
    <t>UNJC1020_B_HIDE_COLUMN</t>
    <phoneticPr fontId="2"/>
  </si>
  <si>
    <t>ウィンドウ固定位置</t>
    <rPh sb="5" eb="7">
      <t>コテイ</t>
    </rPh>
    <rPh sb="7" eb="9">
      <t>イチ</t>
    </rPh>
    <phoneticPr fontId="2"/>
  </si>
  <si>
    <t>UNJC1020_B_SCROLL_LOCK</t>
    <phoneticPr fontId="2"/>
  </si>
  <si>
    <t>販売商品区分取得SQL</t>
    <rPh sb="0" eb="2">
      <t>ハンバイ</t>
    </rPh>
    <rPh sb="2" eb="4">
      <t>ショウヒン</t>
    </rPh>
    <rPh sb="4" eb="6">
      <t>クブン</t>
    </rPh>
    <rPh sb="6" eb="8">
      <t>シュトク</t>
    </rPh>
    <phoneticPr fontId="2"/>
  </si>
  <si>
    <t>UNJC1030_SQL_SHOHIN_KBN</t>
    <phoneticPr fontId="2"/>
  </si>
  <si>
    <t>SELECT *
FROM V_HAN_JUCHU_SHOHIN_KBN</t>
    <phoneticPr fontId="2"/>
  </si>
  <si>
    <t>UNJC1030_IF_DATA_SEARCH_FLG</t>
    <phoneticPr fontId="2"/>
  </si>
  <si>
    <t>UNJC1030_IF_JURI_NO</t>
  </si>
  <si>
    <t>UNJC1030_IF_W_USER_ID</t>
  </si>
  <si>
    <t>UNJC1030_IF_W_SERIAL</t>
  </si>
  <si>
    <t>UNJC1030_IF_MODE</t>
  </si>
  <si>
    <t>UNJC1030_IF_ACTIVE_SHEET</t>
  </si>
  <si>
    <t>UNJC1030_IF_ACTIVE_ROW</t>
  </si>
  <si>
    <t>UNJC1030_IF_ACTIVE_COLUMN</t>
  </si>
  <si>
    <t>UNJC1030_IF_ACTIVE_CELL_NAME</t>
  </si>
  <si>
    <t>UNJC1030_IF_BUTTON_06_NAME</t>
    <phoneticPr fontId="2"/>
  </si>
  <si>
    <t>表示行数取得</t>
    <rPh sb="0" eb="2">
      <t>ヒョウジ</t>
    </rPh>
    <rPh sb="2" eb="4">
      <t>ギョウスウ</t>
    </rPh>
    <rPh sb="4" eb="6">
      <t>シュトク</t>
    </rPh>
    <phoneticPr fontId="2"/>
  </si>
  <si>
    <t>所属部署検索用SQL</t>
    <rPh sb="0" eb="2">
      <t>ショゾク</t>
    </rPh>
    <rPh sb="2" eb="4">
      <t>ブショ</t>
    </rPh>
    <rPh sb="4" eb="6">
      <t>ケンサク</t>
    </rPh>
    <rPh sb="6" eb="7">
      <t>ヨウ</t>
    </rPh>
    <phoneticPr fontId="2"/>
  </si>
  <si>
    <t>社員検索用SQL</t>
    <rPh sb="0" eb="2">
      <t>シャイン</t>
    </rPh>
    <rPh sb="2" eb="4">
      <t>ケンサク</t>
    </rPh>
    <rPh sb="4" eb="5">
      <t>ヨウ</t>
    </rPh>
    <phoneticPr fontId="2"/>
  </si>
  <si>
    <t>商品検索用SQL</t>
  </si>
  <si>
    <t>仕入先検索用SQL</t>
    <rPh sb="0" eb="2">
      <t>シイレ</t>
    </rPh>
    <rPh sb="2" eb="3">
      <t>サキ</t>
    </rPh>
    <rPh sb="3" eb="5">
      <t>ケンサク</t>
    </rPh>
    <rPh sb="5" eb="6">
      <t>ヨウ</t>
    </rPh>
    <phoneticPr fontId="2"/>
  </si>
  <si>
    <t>相手先検索用SQL</t>
    <rPh sb="0" eb="2">
      <t>アイテ</t>
    </rPh>
    <rPh sb="2" eb="3">
      <t>サキ</t>
    </rPh>
    <rPh sb="3" eb="5">
      <t>ケンサク</t>
    </rPh>
    <rPh sb="5" eb="6">
      <t>ヨウ</t>
    </rPh>
    <phoneticPr fontId="2"/>
  </si>
  <si>
    <t>分析項目群検索用SQL</t>
    <rPh sb="0" eb="2">
      <t>ブンセキ</t>
    </rPh>
    <rPh sb="2" eb="4">
      <t>コウモク</t>
    </rPh>
    <rPh sb="4" eb="5">
      <t>グン</t>
    </rPh>
    <rPh sb="5" eb="8">
      <t>ケンサクヨウ</t>
    </rPh>
    <phoneticPr fontId="2"/>
  </si>
  <si>
    <t>分析項目検索用SQL</t>
    <rPh sb="0" eb="2">
      <t>ブンセキ</t>
    </rPh>
    <rPh sb="2" eb="4">
      <t>コウモク</t>
    </rPh>
    <rPh sb="4" eb="7">
      <t>ケンサクヨウ</t>
    </rPh>
    <phoneticPr fontId="2"/>
  </si>
  <si>
    <t>見積No取得用SQL</t>
    <rPh sb="0" eb="2">
      <t>ミツモリ</t>
    </rPh>
    <rPh sb="4" eb="6">
      <t>シュトク</t>
    </rPh>
    <rPh sb="6" eb="7">
      <t>ヨウ</t>
    </rPh>
    <phoneticPr fontId="2"/>
  </si>
  <si>
    <t>請求先取得SQL</t>
    <rPh sb="0" eb="2">
      <t>セイキュウ</t>
    </rPh>
    <rPh sb="2" eb="3">
      <t>サキ</t>
    </rPh>
    <rPh sb="3" eb="5">
      <t>シュトク</t>
    </rPh>
    <phoneticPr fontId="2"/>
  </si>
  <si>
    <t>報告先取得SQL</t>
    <rPh sb="0" eb="2">
      <t>ホウコク</t>
    </rPh>
    <rPh sb="2" eb="3">
      <t>サキ</t>
    </rPh>
    <rPh sb="3" eb="5">
      <t>シュトク</t>
    </rPh>
    <phoneticPr fontId="2"/>
  </si>
  <si>
    <t>報告リスト取得SQL</t>
    <rPh sb="0" eb="2">
      <t>ホウコク</t>
    </rPh>
    <rPh sb="5" eb="7">
      <t>シュトク</t>
    </rPh>
    <phoneticPr fontId="2"/>
  </si>
  <si>
    <t>試料種類取得SQL</t>
    <rPh sb="0" eb="2">
      <t>シリョウ</t>
    </rPh>
    <rPh sb="2" eb="4">
      <t>シュルイ</t>
    </rPh>
    <rPh sb="4" eb="6">
      <t>シュトク</t>
    </rPh>
    <phoneticPr fontId="2"/>
  </si>
  <si>
    <t>一括記載表示用SQL</t>
    <rPh sb="0" eb="2">
      <t>イッカツ</t>
    </rPh>
    <rPh sb="2" eb="4">
      <t>キサイ</t>
    </rPh>
    <rPh sb="4" eb="7">
      <t>ヒョウジヨウ</t>
    </rPh>
    <phoneticPr fontId="2"/>
  </si>
  <si>
    <t>SELECT '一括記載' AS 試料名</t>
  </si>
  <si>
    <t>発送先検索用SQL</t>
    <rPh sb="0" eb="2">
      <t>ハッソウ</t>
    </rPh>
    <rPh sb="2" eb="3">
      <t>サキ</t>
    </rPh>
    <rPh sb="3" eb="6">
      <t>ケンサクヨウ</t>
    </rPh>
    <phoneticPr fontId="2"/>
  </si>
  <si>
    <t>メーカー名検索用SQL</t>
    <rPh sb="4" eb="5">
      <t>メイ</t>
    </rPh>
    <rPh sb="5" eb="8">
      <t>ケンサクヨウ</t>
    </rPh>
    <phoneticPr fontId="2"/>
  </si>
  <si>
    <t>営業担当CD</t>
    <rPh sb="0" eb="2">
      <t>エイギョウ</t>
    </rPh>
    <rPh sb="2" eb="4">
      <t>タントウ</t>
    </rPh>
    <phoneticPr fontId="2"/>
  </si>
  <si>
    <t>UNJC1030_H_EIGYO_TANTO_CD</t>
    <phoneticPr fontId="2"/>
  </si>
  <si>
    <t>入力者CD</t>
    <rPh sb="0" eb="2">
      <t>ニュウリョク</t>
    </rPh>
    <rPh sb="2" eb="3">
      <t>シャ</t>
    </rPh>
    <phoneticPr fontId="2"/>
  </si>
  <si>
    <t>UNJC1030_H_NYURYOKUSHA_CD</t>
    <phoneticPr fontId="2"/>
  </si>
  <si>
    <t>UNJC1030_H_MAKER_CHOKUSO_FLG</t>
    <phoneticPr fontId="2"/>
  </si>
  <si>
    <t>メーカ直送フラグ</t>
    <rPh sb="3" eb="5">
      <t>チョクソウ</t>
    </rPh>
    <phoneticPr fontId="2"/>
  </si>
  <si>
    <t>UNJC1030_IF_LIST_SHOHIN_KBN</t>
    <phoneticPr fontId="2"/>
  </si>
  <si>
    <t>販売商品区分</t>
    <rPh sb="0" eb="2">
      <t>ハンバイ</t>
    </rPh>
    <rPh sb="2" eb="4">
      <t>ショウヒン</t>
    </rPh>
    <rPh sb="4" eb="6">
      <t>クブン</t>
    </rPh>
    <phoneticPr fontId="2"/>
  </si>
  <si>
    <t>UNJC1030_H_HAMBAI_SHOHIN_KBN_CD</t>
    <phoneticPr fontId="2"/>
  </si>
  <si>
    <t>【書式コピー元】</t>
    <rPh sb="1" eb="3">
      <t>ショシキ</t>
    </rPh>
    <rPh sb="6" eb="7">
      <t>モト</t>
    </rPh>
    <phoneticPr fontId="2"/>
  </si>
  <si>
    <t>UNJC1030_IF_SHINKI_COPY_MOTO</t>
    <phoneticPr fontId="2"/>
  </si>
  <si>
    <t>UNJC1030_IF_SANSHO_COPY_MOTO</t>
    <phoneticPr fontId="2"/>
  </si>
  <si>
    <t>UNJC1030_IF_SHUSEI_COPY_MOTO</t>
    <phoneticPr fontId="2"/>
  </si>
  <si>
    <t>保存</t>
  </si>
  <si>
    <t>【保存IF】</t>
    <rPh sb="1" eb="3">
      <t>ホゾン</t>
    </rPh>
    <phoneticPr fontId="2"/>
  </si>
  <si>
    <t>保存モード</t>
    <rPh sb="0" eb="2">
      <t>ホゾン</t>
    </rPh>
    <phoneticPr fontId="2"/>
  </si>
  <si>
    <t>保存エラー判定</t>
    <rPh sb="0" eb="2">
      <t>ホゾン</t>
    </rPh>
    <rPh sb="5" eb="7">
      <t>ハンテイ</t>
    </rPh>
    <phoneticPr fontId="2"/>
  </si>
  <si>
    <t>入力確認</t>
    <rPh sb="0" eb="2">
      <t>ニュウリョク</t>
    </rPh>
    <rPh sb="2" eb="4">
      <t>カクニン</t>
    </rPh>
    <phoneticPr fontId="2"/>
  </si>
  <si>
    <t>UNJC1030_IF_SAVE_ERROR_CHECK</t>
    <phoneticPr fontId="2"/>
  </si>
  <si>
    <t>エラーメッセージ</t>
  </si>
  <si>
    <t>保存に失敗しました。入力内容を確認してください。</t>
  </si>
  <si>
    <t>1:エラー / 2:正常終了</t>
    <rPh sb="10" eb="12">
      <t>セイジョウ</t>
    </rPh>
    <rPh sb="12" eb="14">
      <t>シュウリョウ</t>
    </rPh>
    <phoneticPr fontId="2"/>
  </si>
  <si>
    <t>UNJC1030_IF_SAVE_ERROR_MESSAGE</t>
    <phoneticPr fontId="2"/>
  </si>
  <si>
    <t>UNJC1030_IF_BUTTON_10_NAME</t>
    <phoneticPr fontId="2"/>
  </si>
  <si>
    <t>受理No</t>
    <rPh sb="0" eb="2">
      <t>ジュリ</t>
    </rPh>
    <phoneticPr fontId="2"/>
  </si>
  <si>
    <t>UNJC1030_SQL_JURI_NO</t>
    <phoneticPr fontId="2"/>
  </si>
  <si>
    <t>保存処理結果</t>
    <rPh sb="0" eb="2">
      <t>ホゾン</t>
    </rPh>
    <rPh sb="2" eb="4">
      <t>ショリ</t>
    </rPh>
    <rPh sb="4" eb="6">
      <t>ケッカ</t>
    </rPh>
    <phoneticPr fontId="2"/>
  </si>
  <si>
    <t>UNJC1030_IF_SAVE_RESULT_CD</t>
    <phoneticPr fontId="2"/>
  </si>
  <si>
    <t>選択受理No</t>
    <rPh sb="0" eb="2">
      <t>センタク</t>
    </rPh>
    <rPh sb="2" eb="4">
      <t>ジュリ</t>
    </rPh>
    <phoneticPr fontId="2"/>
  </si>
  <si>
    <t>選択行番号</t>
    <rPh sb="0" eb="2">
      <t>センタク</t>
    </rPh>
    <rPh sb="2" eb="5">
      <t>ギョウバンゴウ</t>
    </rPh>
    <phoneticPr fontId="2"/>
  </si>
  <si>
    <t>UNJC1020_B_SELECT_GYO_NO</t>
    <phoneticPr fontId="2"/>
  </si>
  <si>
    <t>UNJC1020_B_SELECT_JURI_No</t>
    <phoneticPr fontId="2"/>
  </si>
  <si>
    <t>不要</t>
    <rPh sb="0" eb="2">
      <t>フヨウ</t>
    </rPh>
    <phoneticPr fontId="2"/>
  </si>
  <si>
    <t>未発行</t>
    <rPh sb="0" eb="3">
      <t>ミハッコウ</t>
    </rPh>
    <phoneticPr fontId="2"/>
  </si>
  <si>
    <t>発行済</t>
    <rPh sb="0" eb="2">
      <t>ハッコウ</t>
    </rPh>
    <rPh sb="2" eb="3">
      <t>ス</t>
    </rPh>
    <phoneticPr fontId="2"/>
  </si>
  <si>
    <t>営業担当者CD</t>
  </si>
  <si>
    <t>販売ステータスCD</t>
    <rPh sb="0" eb="2">
      <t>ハンバイ</t>
    </rPh>
    <phoneticPr fontId="2"/>
  </si>
  <si>
    <t>販売区分CD</t>
    <rPh sb="0" eb="2">
      <t>ハンバイ</t>
    </rPh>
    <rPh sb="2" eb="4">
      <t>クブン</t>
    </rPh>
    <phoneticPr fontId="2"/>
  </si>
  <si>
    <t>フリーワード</t>
    <phoneticPr fontId="2"/>
  </si>
  <si>
    <t xml:space="preserve">SELECT *
  FROM V_HAN_JUCHU_LIST
  WHERE 1=1
</t>
  </si>
  <si>
    <t>AND V_HAN_JUCHU_LIST.EIGYO_TANTO_CD = '-----------'</t>
  </si>
  <si>
    <t xml:space="preserve">SELECT COUNT(*) AS CNT
  FROM V_HAN_JUCHU_LIST 
 WHERE 1=1
</t>
    <phoneticPr fontId="2"/>
  </si>
  <si>
    <t>UNJC1030_IF_LIST_DEMPYO_HAKKO_KBN</t>
    <phoneticPr fontId="2"/>
  </si>
  <si>
    <t>「=OFFSET(UNJC1030_IF_LIST_DEMPYO_HAKKO_KBN_START,,,IF(UNJC1030_IF_LIST_DEMPYO_HAKKO_KBN_KENSU=0,1,UNJC1030_IF_LIST_DEMPYO_HAKKO_KBN_KENSU),1)」</t>
    <phoneticPr fontId="2"/>
  </si>
  <si>
    <t>シリアル</t>
  </si>
  <si>
    <t>行番号</t>
  </si>
  <si>
    <t>処理モード</t>
  </si>
  <si>
    <t>先方担当者名</t>
  </si>
  <si>
    <t>税率</t>
  </si>
  <si>
    <t>税抜合計</t>
  </si>
  <si>
    <t>消費税</t>
  </si>
  <si>
    <t>税込合計</t>
  </si>
  <si>
    <t>原価合計</t>
  </si>
  <si>
    <t>行No.</t>
  </si>
  <si>
    <t>行区分</t>
  </si>
  <si>
    <t>商品名</t>
  </si>
  <si>
    <t>摘要</t>
  </si>
  <si>
    <t>原単価</t>
  </si>
  <si>
    <t>粗利率</t>
  </si>
  <si>
    <t>定価</t>
  </si>
  <si>
    <t>仕入先CD</t>
  </si>
  <si>
    <t>レコード状態</t>
  </si>
  <si>
    <t>作成ユーザＩＤ</t>
  </si>
  <si>
    <t>作成日時</t>
  </si>
  <si>
    <t>更新ユーザＩＤ</t>
  </si>
  <si>
    <t>更新日時</t>
  </si>
  <si>
    <t>【処理用領域】</t>
    <rPh sb="1" eb="3">
      <t>ショリ</t>
    </rPh>
    <rPh sb="3" eb="4">
      <t>ヨウ</t>
    </rPh>
    <rPh sb="4" eb="6">
      <t>リョウイキ</t>
    </rPh>
    <phoneticPr fontId="2"/>
  </si>
  <si>
    <t>UNJC1030_IF_INPUT_CHECK</t>
    <phoneticPr fontId="2"/>
  </si>
  <si>
    <t>参照元受理No.</t>
  </si>
  <si>
    <t>ユーザID</t>
  </si>
  <si>
    <t>販売ステータス</t>
  </si>
  <si>
    <t>発送先郵便番号</t>
  </si>
  <si>
    <t>発送先住所１</t>
  </si>
  <si>
    <t>発送先住所２</t>
  </si>
  <si>
    <t>発送先TEL</t>
  </si>
  <si>
    <t>発送先FAX</t>
  </si>
  <si>
    <t>発送先担当者名</t>
  </si>
  <si>
    <t>メーカー直送フラグ</t>
  </si>
  <si>
    <t>粗利益(合計)</t>
  </si>
  <si>
    <t>粗利率(合計)</t>
  </si>
  <si>
    <t>受注数量</t>
  </si>
  <si>
    <t>受注数量単位</t>
  </si>
  <si>
    <t>販売単価</t>
  </si>
  <si>
    <t>販売金額</t>
  </si>
  <si>
    <t>原価数量</t>
  </si>
  <si>
    <t>入数単位</t>
  </si>
  <si>
    <t>総数</t>
  </si>
  <si>
    <t>バラ単位</t>
  </si>
  <si>
    <t>原価金額</t>
  </si>
  <si>
    <t>粗利益</t>
  </si>
  <si>
    <t>削除フラグ</t>
  </si>
  <si>
    <t>伝票発行区分</t>
    <phoneticPr fontId="2"/>
  </si>
  <si>
    <t>消費税率</t>
    <rPh sb="0" eb="2">
      <t>ショウヒ</t>
    </rPh>
    <rPh sb="2" eb="3">
      <t>ゼイ</t>
    </rPh>
    <rPh sb="3" eb="4">
      <t>リツ</t>
    </rPh>
    <phoneticPr fontId="2"/>
  </si>
  <si>
    <t>UNJC1030_H_TAX_RATE</t>
    <phoneticPr fontId="2"/>
  </si>
  <si>
    <t>入力行数</t>
    <rPh sb="0" eb="2">
      <t>ニュウリョク</t>
    </rPh>
    <rPh sb="2" eb="4">
      <t>ギョウスウ</t>
    </rPh>
    <phoneticPr fontId="2"/>
  </si>
  <si>
    <t>入力行数_加算分</t>
    <rPh sb="0" eb="2">
      <t>ニュウリョク</t>
    </rPh>
    <rPh sb="2" eb="4">
      <t>ギョウスウ</t>
    </rPh>
    <rPh sb="5" eb="7">
      <t>カサン</t>
    </rPh>
    <rPh sb="7" eb="8">
      <t>ブン</t>
    </rPh>
    <phoneticPr fontId="2"/>
  </si>
  <si>
    <t>入力行数_減算分</t>
    <rPh sb="0" eb="2">
      <t>ニュウリョク</t>
    </rPh>
    <rPh sb="2" eb="4">
      <t>ギョウスウ</t>
    </rPh>
    <rPh sb="5" eb="7">
      <t>ゲンサン</t>
    </rPh>
    <rPh sb="7" eb="8">
      <t>ブン</t>
    </rPh>
    <phoneticPr fontId="2"/>
  </si>
  <si>
    <t>商品CD展開位置</t>
    <rPh sb="0" eb="2">
      <t>ショウヒン</t>
    </rPh>
    <rPh sb="4" eb="6">
      <t>テンカイ</t>
    </rPh>
    <rPh sb="6" eb="8">
      <t>イチ</t>
    </rPh>
    <phoneticPr fontId="2"/>
  </si>
  <si>
    <t>相手先商品名</t>
    <rPh sb="0" eb="3">
      <t>アイテサキ</t>
    </rPh>
    <rPh sb="3" eb="6">
      <t>ショウヒンメイ</t>
    </rPh>
    <phoneticPr fontId="2"/>
  </si>
  <si>
    <t>表示商品名</t>
    <rPh sb="0" eb="2">
      <t>ヒョウジ</t>
    </rPh>
    <rPh sb="2" eb="5">
      <t>ショウヒンメイ</t>
    </rPh>
    <phoneticPr fontId="2"/>
  </si>
  <si>
    <t>商品名展開位置</t>
    <rPh sb="0" eb="2">
      <t>ショウヒン</t>
    </rPh>
    <rPh sb="2" eb="3">
      <t>メイ</t>
    </rPh>
    <rPh sb="3" eb="5">
      <t>テンカイ</t>
    </rPh>
    <rPh sb="5" eb="7">
      <t>イチ</t>
    </rPh>
    <phoneticPr fontId="2"/>
  </si>
  <si>
    <t>仕入先CD展開位置</t>
    <rPh sb="0" eb="2">
      <t>シイレ</t>
    </rPh>
    <rPh sb="2" eb="3">
      <t>サキ</t>
    </rPh>
    <rPh sb="5" eb="7">
      <t>テンカイ</t>
    </rPh>
    <rPh sb="7" eb="9">
      <t>イチ</t>
    </rPh>
    <phoneticPr fontId="2"/>
  </si>
  <si>
    <t>仕入先名展開位置</t>
    <rPh sb="0" eb="2">
      <t>シイレ</t>
    </rPh>
    <rPh sb="2" eb="3">
      <t>サキ</t>
    </rPh>
    <rPh sb="3" eb="4">
      <t>メイ</t>
    </rPh>
    <rPh sb="4" eb="6">
      <t>テンカイ</t>
    </rPh>
    <rPh sb="6" eb="8">
      <t>イチ</t>
    </rPh>
    <phoneticPr fontId="2"/>
  </si>
  <si>
    <t>クリア範囲</t>
    <rPh sb="3" eb="5">
      <t>ハンイ</t>
    </rPh>
    <phoneticPr fontId="2"/>
  </si>
  <si>
    <t>行挿入範囲</t>
    <rPh sb="0" eb="1">
      <t>ギョウ</t>
    </rPh>
    <rPh sb="1" eb="3">
      <t>ソウニュウ</t>
    </rPh>
    <rPh sb="3" eb="5">
      <t>ハンイ</t>
    </rPh>
    <phoneticPr fontId="2"/>
  </si>
  <si>
    <t>行削除範囲</t>
    <rPh sb="0" eb="1">
      <t>ギョウ</t>
    </rPh>
    <rPh sb="1" eb="3">
      <t>サクジョ</t>
    </rPh>
    <rPh sb="3" eb="5">
      <t>ハンイ</t>
    </rPh>
    <phoneticPr fontId="2"/>
  </si>
  <si>
    <t>UNJC1030_B_GYO_COUNT</t>
  </si>
  <si>
    <t>UNJC1030_B_GYO_INCREMENT</t>
  </si>
  <si>
    <t>UNJC1030_B_GYO_DECREMENT</t>
  </si>
  <si>
    <t>UNJC1030_B_SHOHIN_CD_TENKAI</t>
  </si>
  <si>
    <t>UNJC1030_B_SHOHIN_MEI_BUF</t>
  </si>
  <si>
    <t>UNJC1030_B_AITE_SHOHIN_MEI_BUF</t>
  </si>
  <si>
    <t>UNJC1030_B_HYOJI_SHOHIN_MEI</t>
  </si>
  <si>
    <t>UNJC1030_B_SHOHIN_MEI_TENKAI</t>
  </si>
  <si>
    <t>UNJC1030_B_GENKA_TENKAI</t>
  </si>
  <si>
    <t>UNJC1030_B_BAIKA_TENKAI</t>
  </si>
  <si>
    <t>UNJC1030_B_TEIKA_TENKAI</t>
  </si>
  <si>
    <t>UNJC1030_B_SHIIRESAKI_CD_TENKAI</t>
  </si>
  <si>
    <t>UNJC1030_B_SHIIRESAKI_MEI_TENKAI</t>
  </si>
  <si>
    <t>UNJC1030_B_LIST_CLEAR_AREA</t>
  </si>
  <si>
    <t>UNJC1030_B_HIDE_ROW</t>
  </si>
  <si>
    <t>UNJC1030_B_HIDE_COLUMN</t>
  </si>
  <si>
    <t>UNJC1030_B_SCROLL_LOCK</t>
  </si>
  <si>
    <t>端数処理区分</t>
    <rPh sb="0" eb="2">
      <t>ハスウ</t>
    </rPh>
    <rPh sb="2" eb="4">
      <t>ショリ</t>
    </rPh>
    <rPh sb="4" eb="6">
      <t>クブン</t>
    </rPh>
    <phoneticPr fontId="2"/>
  </si>
  <si>
    <t>UNJC1030_H_SEIKYUSAKI_HASU</t>
    <phoneticPr fontId="2"/>
  </si>
  <si>
    <t>【フラグコピー元】</t>
    <rPh sb="7" eb="8">
      <t>モト</t>
    </rPh>
    <phoneticPr fontId="2"/>
  </si>
  <si>
    <t>伝票発行区分</t>
    <rPh sb="0" eb="2">
      <t>デンピョウ</t>
    </rPh>
    <rPh sb="2" eb="4">
      <t>ハッコウ</t>
    </rPh>
    <rPh sb="4" eb="6">
      <t>クブン</t>
    </rPh>
    <phoneticPr fontId="2"/>
  </si>
  <si>
    <t>ステータスCD</t>
    <phoneticPr fontId="2"/>
  </si>
  <si>
    <t>UNJC1030_H_STS_CD</t>
    <phoneticPr fontId="2"/>
  </si>
  <si>
    <t>←フラグコピー先（UNJC1030_H_FLG_COPY_SAKI）</t>
    <rPh sb="7" eb="8">
      <t>サキ</t>
    </rPh>
    <phoneticPr fontId="2"/>
  </si>
  <si>
    <t>UNJC1030_H_FLG_COPY_MOTO</t>
    <phoneticPr fontId="2"/>
  </si>
  <si>
    <t>行区分</t>
    <rPh sb="0" eb="1">
      <t>ギョウ</t>
    </rPh>
    <rPh sb="1" eb="3">
      <t>クブン</t>
    </rPh>
    <phoneticPr fontId="2"/>
  </si>
  <si>
    <t>UNJC1030_B_LIST_START</t>
    <phoneticPr fontId="2"/>
  </si>
  <si>
    <t>原価展開位置</t>
    <rPh sb="0" eb="2">
      <t>ゲンカ</t>
    </rPh>
    <rPh sb="2" eb="4">
      <t>テンカイ</t>
    </rPh>
    <rPh sb="4" eb="6">
      <t>イチ</t>
    </rPh>
    <phoneticPr fontId="2"/>
  </si>
  <si>
    <t>売価展開位置</t>
    <rPh sb="0" eb="2">
      <t>バイカ</t>
    </rPh>
    <rPh sb="2" eb="4">
      <t>テンカイ</t>
    </rPh>
    <rPh sb="4" eb="6">
      <t>イチ</t>
    </rPh>
    <phoneticPr fontId="2"/>
  </si>
  <si>
    <t>定価展開位置</t>
    <rPh sb="0" eb="2">
      <t>テイカ</t>
    </rPh>
    <rPh sb="2" eb="4">
      <t>テンカイ</t>
    </rPh>
    <rPh sb="4" eb="6">
      <t>イチ</t>
    </rPh>
    <phoneticPr fontId="2"/>
  </si>
  <si>
    <t>入数単位展開位置</t>
    <rPh sb="0" eb="1">
      <t>イ</t>
    </rPh>
    <rPh sb="1" eb="4">
      <t>スウタンイ</t>
    </rPh>
    <rPh sb="4" eb="6">
      <t>テンカイ</t>
    </rPh>
    <rPh sb="6" eb="8">
      <t>イチ</t>
    </rPh>
    <phoneticPr fontId="2"/>
  </si>
  <si>
    <t>仕入入数展開位置</t>
    <rPh sb="4" eb="6">
      <t>テンカイ</t>
    </rPh>
    <rPh sb="6" eb="8">
      <t>イチ</t>
    </rPh>
    <phoneticPr fontId="2"/>
  </si>
  <si>
    <t>仕入入数単位展開位置</t>
    <rPh sb="6" eb="8">
      <t>テンカイ</t>
    </rPh>
    <rPh sb="8" eb="10">
      <t>イチ</t>
    </rPh>
    <phoneticPr fontId="2"/>
  </si>
  <si>
    <t>バラ単位展開位置</t>
    <rPh sb="4" eb="6">
      <t>テンカイ</t>
    </rPh>
    <rPh sb="6" eb="8">
      <t>イチ</t>
    </rPh>
    <phoneticPr fontId="2"/>
  </si>
  <si>
    <t>メーカーCD展開位置</t>
    <rPh sb="6" eb="8">
      <t>テンカイ</t>
    </rPh>
    <rPh sb="8" eb="10">
      <t>イチ</t>
    </rPh>
    <phoneticPr fontId="2"/>
  </si>
  <si>
    <t>メーカー名展開位置</t>
    <rPh sb="5" eb="7">
      <t>テンカイ</t>
    </rPh>
    <rPh sb="7" eb="9">
      <t>イチ</t>
    </rPh>
    <phoneticPr fontId="2"/>
  </si>
  <si>
    <t>UNJC1030_B_MAKER_CD_TENKAI</t>
    <phoneticPr fontId="2"/>
  </si>
  <si>
    <t>UNJC1030_B_MAKER_MEI_TENKAI</t>
    <phoneticPr fontId="2"/>
  </si>
  <si>
    <t>UNJC1030_B_IRISU_TANI_TENKAI</t>
    <phoneticPr fontId="2"/>
  </si>
  <si>
    <t>UNJC1030_B_SHIIRE_IRISU_TENKAI</t>
    <phoneticPr fontId="2"/>
  </si>
  <si>
    <t>UNJC1030_B_SHIIRE_TANI_TENKAI</t>
    <phoneticPr fontId="2"/>
  </si>
  <si>
    <t>UNJC1030_B_BARA_TANI_TENKAI</t>
    <phoneticPr fontId="2"/>
  </si>
  <si>
    <t>comment</t>
    <phoneticPr fontId="2"/>
  </si>
  <si>
    <t>【明細行】</t>
    <rPh sb="1" eb="3">
      <t>メイサイ</t>
    </rPh>
    <rPh sb="3" eb="4">
      <t>ギョウ</t>
    </rPh>
    <phoneticPr fontId="2"/>
  </si>
  <si>
    <t>UNJC1030_IF_COPY_B_MEISAI_SHINKI</t>
    <phoneticPr fontId="2"/>
  </si>
  <si>
    <t>行番号</t>
    <rPh sb="0" eb="1">
      <t>ギョウ</t>
    </rPh>
    <rPh sb="1" eb="3">
      <t>バンゴウ</t>
    </rPh>
    <phoneticPr fontId="2"/>
  </si>
  <si>
    <t>【新規】</t>
    <rPh sb="1" eb="3">
      <t>シンキ</t>
    </rPh>
    <phoneticPr fontId="2"/>
  </si>
  <si>
    <t>【ボディコピー元書式】</t>
    <rPh sb="7" eb="8">
      <t>モト</t>
    </rPh>
    <rPh sb="8" eb="10">
      <t>ショシキ</t>
    </rPh>
    <phoneticPr fontId="2"/>
  </si>
  <si>
    <t>【コメント行】</t>
    <rPh sb="5" eb="6">
      <t>ギョウ</t>
    </rPh>
    <phoneticPr fontId="2"/>
  </si>
  <si>
    <t>UNJC1030_IF_COPY_B_COMMENT_SHINKI</t>
    <phoneticPr fontId="2"/>
  </si>
  <si>
    <t>UNJC1030_IF_COPY_B_GYO_SUSHIKI</t>
    <phoneticPr fontId="2"/>
  </si>
  <si>
    <t>【修正】</t>
    <rPh sb="1" eb="3">
      <t>シュウセイ</t>
    </rPh>
    <phoneticPr fontId="2"/>
  </si>
  <si>
    <t>【参照】</t>
    <rPh sb="1" eb="3">
      <t>サンショウ</t>
    </rPh>
    <phoneticPr fontId="2"/>
  </si>
  <si>
    <t>【削除】</t>
    <rPh sb="1" eb="3">
      <t>サクジョ</t>
    </rPh>
    <phoneticPr fontId="2"/>
  </si>
  <si>
    <t>【共通】</t>
    <rPh sb="1" eb="3">
      <t>キョウツウ</t>
    </rPh>
    <phoneticPr fontId="2"/>
  </si>
  <si>
    <t>UNJC1030_IF_COPY_B_LIST_CLEAR</t>
    <phoneticPr fontId="2"/>
  </si>
  <si>
    <t>UNJC1030_IF_COPY_B_MEISAI_KINGAKU_SUSHIKI</t>
    <phoneticPr fontId="2"/>
  </si>
  <si>
    <t>UNJC1030_IF_COPY_B_MEISAI_TOTAL_SUSHIKI</t>
    <phoneticPr fontId="2"/>
  </si>
  <si>
    <t>UNJC1030_IF_COPY_B_MEISAI_ARARI_SUSHIKI</t>
    <phoneticPr fontId="2"/>
  </si>
  <si>
    <t>UNJC1030_H_HIDE_ROW</t>
    <phoneticPr fontId="2"/>
  </si>
  <si>
    <t>UNJC1030_H_HIDE_COLUMN</t>
    <phoneticPr fontId="2"/>
  </si>
  <si>
    <t>UNJC1030_SQL_HAN_JUCHU_H</t>
    <phoneticPr fontId="2"/>
  </si>
  <si>
    <t>新規</t>
    <rPh sb="0" eb="2">
      <t>シンキ</t>
    </rPh>
    <phoneticPr fontId="2"/>
  </si>
  <si>
    <t>修正</t>
    <rPh sb="0" eb="2">
      <t>シュウセイ</t>
    </rPh>
    <phoneticPr fontId="2"/>
  </si>
  <si>
    <t>参照</t>
    <rPh sb="0" eb="2">
      <t>サンショウ</t>
    </rPh>
    <phoneticPr fontId="2"/>
  </si>
  <si>
    <t>-</t>
    <phoneticPr fontId="2"/>
  </si>
  <si>
    <t>参照作成</t>
    <rPh sb="0" eb="2">
      <t>サンショウ</t>
    </rPh>
    <rPh sb="2" eb="4">
      <t>サクセイ</t>
    </rPh>
    <phoneticPr fontId="2"/>
  </si>
  <si>
    <t>保存</t>
    <rPh sb="0" eb="2">
      <t>ホゾン</t>
    </rPh>
    <phoneticPr fontId="2"/>
  </si>
  <si>
    <t>修正/参照</t>
    <rPh sb="0" eb="2">
      <t>シュウセイ</t>
    </rPh>
    <rPh sb="3" eb="5">
      <t>サンショウ</t>
    </rPh>
    <phoneticPr fontId="2"/>
  </si>
  <si>
    <t>キャンセル</t>
    <phoneticPr fontId="2"/>
  </si>
  <si>
    <t>保存</t>
    <rPh sb="0" eb="2">
      <t>ホゾン</t>
    </rPh>
    <phoneticPr fontId="2"/>
  </si>
  <si>
    <t>行追加</t>
    <rPh sb="0" eb="1">
      <t>ギョウ</t>
    </rPh>
    <rPh sb="1" eb="3">
      <t>ツイカ</t>
    </rPh>
    <phoneticPr fontId="2"/>
  </si>
  <si>
    <t>コメント追加</t>
    <rPh sb="4" eb="6">
      <t>ツイカ</t>
    </rPh>
    <phoneticPr fontId="2"/>
  </si>
  <si>
    <t>行削除</t>
    <rPh sb="0" eb="3">
      <t>ギョウサクジョ</t>
    </rPh>
    <phoneticPr fontId="2"/>
  </si>
  <si>
    <t>購買転送</t>
    <rPh sb="0" eb="2">
      <t>コウバイ</t>
    </rPh>
    <rPh sb="2" eb="4">
      <t>テンソウ</t>
    </rPh>
    <phoneticPr fontId="2"/>
  </si>
  <si>
    <t>調製試薬印刷</t>
    <rPh sb="0" eb="2">
      <t>チョウセイ</t>
    </rPh>
    <rPh sb="2" eb="4">
      <t>シヤク</t>
    </rPh>
    <rPh sb="4" eb="6">
      <t>インサツ</t>
    </rPh>
    <phoneticPr fontId="2"/>
  </si>
  <si>
    <t>毒劇物印刷</t>
    <rPh sb="0" eb="1">
      <t>ドク</t>
    </rPh>
    <rPh sb="1" eb="3">
      <t>ゲキブツ</t>
    </rPh>
    <rPh sb="3" eb="5">
      <t>インサツ</t>
    </rPh>
    <phoneticPr fontId="2"/>
  </si>
  <si>
    <t>Excel出力</t>
    <rPh sb="5" eb="7">
      <t>シュツリョク</t>
    </rPh>
    <phoneticPr fontId="2"/>
  </si>
  <si>
    <t>無効(2)</t>
  </si>
  <si>
    <t>有効(1)</t>
  </si>
  <si>
    <t>【ボタン名】</t>
    <rPh sb="4" eb="5">
      <t>メイ</t>
    </rPh>
    <phoneticPr fontId="2"/>
  </si>
  <si>
    <t>【ボタン表示】</t>
    <rPh sb="4" eb="6">
      <t>ヒョウジ</t>
    </rPh>
    <phoneticPr fontId="2"/>
  </si>
  <si>
    <t>UNJC1030_IF_BUTTON_04_HYOJI</t>
    <phoneticPr fontId="2"/>
  </si>
  <si>
    <t>UNJC1030_IF_BUTTON_06_HYOJI</t>
    <phoneticPr fontId="2"/>
  </si>
  <si>
    <t>UNJC1030_IF_BUTTON_07_HYOJI</t>
    <phoneticPr fontId="2"/>
  </si>
  <si>
    <t>UNJC1030_IF_BUTTON_09_HYOJI</t>
    <phoneticPr fontId="2"/>
  </si>
  <si>
    <t>UNJC1030_IF_BUTTON_10_HYOJI</t>
    <phoneticPr fontId="2"/>
  </si>
  <si>
    <t>UNJC1030_IF_BUTTON_11_HYOJI</t>
    <phoneticPr fontId="2"/>
  </si>
  <si>
    <t>UNJC1030_IF_BUTTON_12_HYOJI</t>
    <phoneticPr fontId="2"/>
  </si>
  <si>
    <t>UNJC1030_IF_BUTTON_15_HYOJI</t>
    <phoneticPr fontId="2"/>
  </si>
  <si>
    <t>UNJC1030_IF_BUTTON_17_HYOJI</t>
    <phoneticPr fontId="2"/>
  </si>
  <si>
    <t>UNJC1030_IF_BUTTON_18_HYOJI</t>
    <phoneticPr fontId="2"/>
  </si>
  <si>
    <t>UNJC1030_IF_BUTTON_19_HYOJI</t>
    <phoneticPr fontId="2"/>
  </si>
  <si>
    <t>UNJC1030_IF_BUTTON_20_HYOJI</t>
    <phoneticPr fontId="2"/>
  </si>
  <si>
    <t>UNJC1030_IF_COPY_B_MEISAI_SHUSEI</t>
    <phoneticPr fontId="2"/>
  </si>
  <si>
    <t>UNJC1030_IF_COPY_B_COMMENT_SHUSEI</t>
    <phoneticPr fontId="2"/>
  </si>
  <si>
    <t>UNJC1030_IF_COPY_B_MEISAI_SANSHO</t>
    <phoneticPr fontId="2"/>
  </si>
  <si>
    <t>UNJC1030_IF_COPY_B_COMMENT_SANSHO</t>
    <phoneticPr fontId="2"/>
  </si>
  <si>
    <t>保存判定用領域</t>
    <rPh sb="0" eb="2">
      <t>ホゾン</t>
    </rPh>
    <rPh sb="2" eb="4">
      <t>ハンテイ</t>
    </rPh>
    <rPh sb="4" eb="5">
      <t>ヨウ</t>
    </rPh>
    <rPh sb="5" eb="7">
      <t>リョウイキ</t>
    </rPh>
    <phoneticPr fontId="2"/>
  </si>
  <si>
    <t>保存判定列</t>
    <rPh sb="0" eb="2">
      <t>ホゾン</t>
    </rPh>
    <rPh sb="2" eb="4">
      <t>ハンテイ</t>
    </rPh>
    <rPh sb="4" eb="5">
      <t>レツ</t>
    </rPh>
    <phoneticPr fontId="2"/>
  </si>
  <si>
    <t>ボディ</t>
    <phoneticPr fontId="2"/>
  </si>
  <si>
    <t>保存数式コピー元</t>
    <rPh sb="0" eb="2">
      <t>ホゾン</t>
    </rPh>
    <rPh sb="2" eb="4">
      <t>スウシキ</t>
    </rPh>
    <rPh sb="7" eb="8">
      <t>モト</t>
    </rPh>
    <phoneticPr fontId="2"/>
  </si>
  <si>
    <t>【保存対象】</t>
    <rPh sb="1" eb="3">
      <t>ホゾン</t>
    </rPh>
    <rPh sb="3" eb="5">
      <t>タイショウ</t>
    </rPh>
    <phoneticPr fontId="2"/>
  </si>
  <si>
    <t>UNJC1030_IF_SAVE_COPY_MOTO</t>
  </si>
  <si>
    <t>UNJC1030_IF_SAVE_INPUT_CHECK_COLUMN</t>
  </si>
  <si>
    <t>UNJC1030_IF_SAVE_COPY_START</t>
  </si>
  <si>
    <t>【保存数式】</t>
    <rPh sb="1" eb="3">
      <t>ホゾン</t>
    </rPh>
    <rPh sb="3" eb="5">
      <t>スウシキ</t>
    </rPh>
    <phoneticPr fontId="2"/>
  </si>
  <si>
    <t>保存数式コピー先</t>
    <rPh sb="0" eb="2">
      <t>ホゾン</t>
    </rPh>
    <rPh sb="2" eb="4">
      <t>スウシキ</t>
    </rPh>
    <rPh sb="7" eb="8">
      <t>サキ</t>
    </rPh>
    <phoneticPr fontId="2"/>
  </si>
  <si>
    <t>保存処理結果メッセージ</t>
    <rPh sb="0" eb="2">
      <t>ホゾン</t>
    </rPh>
    <rPh sb="2" eb="4">
      <t>ショリ</t>
    </rPh>
    <rPh sb="4" eb="6">
      <t>ケッカ</t>
    </rPh>
    <phoneticPr fontId="2"/>
  </si>
  <si>
    <t>UNJC1030_IF_SAVE_RESULT_MESSAGE</t>
  </si>
  <si>
    <t>UNJC1030_IF_SAVE_COPY_SAKI</t>
  </si>
  <si>
    <t>保存受理No.</t>
    <rPh sb="0" eb="2">
      <t>ホゾン</t>
    </rPh>
    <rPh sb="2" eb="4">
      <t>ジュリ</t>
    </rPh>
    <phoneticPr fontId="2"/>
  </si>
  <si>
    <t>UNJC1030_IF_SAVE_RESULT_JURI_NO</t>
    <phoneticPr fontId="2"/>
  </si>
  <si>
    <t>【保存結果】</t>
    <rPh sb="1" eb="3">
      <t>ホゾン</t>
    </rPh>
    <rPh sb="3" eb="5">
      <t>ケッカ</t>
    </rPh>
    <phoneticPr fontId="2"/>
  </si>
  <si>
    <t>受注販売入力ヘッダ取得SQL</t>
    <rPh sb="0" eb="2">
      <t>ジュチュウ</t>
    </rPh>
    <rPh sb="2" eb="4">
      <t>ハンバイ</t>
    </rPh>
    <rPh sb="4" eb="6">
      <t>ニュウリョク</t>
    </rPh>
    <rPh sb="9" eb="11">
      <t>シュトク</t>
    </rPh>
    <phoneticPr fontId="2"/>
  </si>
  <si>
    <t>受注販売入力ヘッダ参照取得SQL</t>
    <rPh sb="0" eb="2">
      <t>ジュチュウ</t>
    </rPh>
    <rPh sb="2" eb="4">
      <t>ハンバイ</t>
    </rPh>
    <rPh sb="4" eb="6">
      <t>ニュウリョク</t>
    </rPh>
    <rPh sb="9" eb="11">
      <t>サンショウ</t>
    </rPh>
    <rPh sb="11" eb="13">
      <t>シュトク</t>
    </rPh>
    <phoneticPr fontId="2"/>
  </si>
  <si>
    <t>受注販売入力ボディ取得SQL</t>
    <rPh sb="0" eb="2">
      <t>ジュチュウ</t>
    </rPh>
    <rPh sb="2" eb="4">
      <t>ハンバイ</t>
    </rPh>
    <rPh sb="4" eb="6">
      <t>ニュウリョク</t>
    </rPh>
    <rPh sb="9" eb="11">
      <t>シュトク</t>
    </rPh>
    <phoneticPr fontId="2"/>
  </si>
  <si>
    <t>UNJC1030_SQL_HAN_JUCHU_B</t>
    <phoneticPr fontId="2"/>
  </si>
  <si>
    <t>【ボタンエラー判定】</t>
    <rPh sb="7" eb="9">
      <t>ハンテイ</t>
    </rPh>
    <phoneticPr fontId="2"/>
  </si>
  <si>
    <t>1:エラー</t>
  </si>
  <si>
    <t>0:OK</t>
  </si>
  <si>
    <t>UNJC1030_IF_BUTTON_15_ERROR</t>
    <phoneticPr fontId="2"/>
  </si>
  <si>
    <t>行数式コピー先</t>
    <rPh sb="0" eb="1">
      <t>ギョウ</t>
    </rPh>
    <rPh sb="1" eb="3">
      <t>スウシキ</t>
    </rPh>
    <rPh sb="6" eb="7">
      <t>サキ</t>
    </rPh>
    <phoneticPr fontId="2"/>
  </si>
  <si>
    <t>UNJC1030_B_COPY_GYO_SUSHIKI</t>
    <phoneticPr fontId="2"/>
  </si>
  <si>
    <t>挿入行区分</t>
    <rPh sb="0" eb="2">
      <t>ソウニュウ</t>
    </rPh>
    <rPh sb="2" eb="3">
      <t>ギョウ</t>
    </rPh>
    <rPh sb="3" eb="5">
      <t>クブン</t>
    </rPh>
    <phoneticPr fontId="2"/>
  </si>
  <si>
    <t>行挿入元範囲</t>
    <rPh sb="0" eb="1">
      <t>ギョウ</t>
    </rPh>
    <rPh sb="1" eb="3">
      <t>ソウニュウ</t>
    </rPh>
    <rPh sb="3" eb="4">
      <t>モト</t>
    </rPh>
    <rPh sb="4" eb="6">
      <t>ハンイ</t>
    </rPh>
    <phoneticPr fontId="2"/>
  </si>
  <si>
    <t>UNJC1030_B_LIST_INSERT_TYPE</t>
    <phoneticPr fontId="2"/>
  </si>
  <si>
    <t>UNJC1030_B_LIST_INSERT_COPY_AREA</t>
    <phoneticPr fontId="2"/>
  </si>
  <si>
    <t>UNJC1030_B_LIST_INSERT_AREA</t>
    <phoneticPr fontId="2"/>
  </si>
  <si>
    <t>UNJC1030_B_LIST_DELETE_AREA</t>
    <phoneticPr fontId="2"/>
  </si>
  <si>
    <t>顧客名/担当者名</t>
    <rPh sb="0" eb="2">
      <t>コキャク</t>
    </rPh>
    <rPh sb="2" eb="3">
      <t>メイ</t>
    </rPh>
    <rPh sb="4" eb="7">
      <t>タントウシャ</t>
    </rPh>
    <rPh sb="7" eb="8">
      <t>メイ</t>
    </rPh>
    <phoneticPr fontId="2"/>
  </si>
  <si>
    <t>数量</t>
    <rPh sb="0" eb="2">
      <t>スウリョウ</t>
    </rPh>
    <phoneticPr fontId="2"/>
  </si>
  <si>
    <t>入数</t>
    <rPh sb="0" eb="2">
      <t>イリスウ</t>
    </rPh>
    <phoneticPr fontId="2"/>
  </si>
  <si>
    <t>発行日：</t>
    <rPh sb="0" eb="3">
      <t>ハッコウビ</t>
    </rPh>
    <phoneticPr fontId="2"/>
  </si>
  <si>
    <t>発行者：</t>
    <rPh sb="0" eb="2">
      <t>ハッコウ</t>
    </rPh>
    <rPh sb="2" eb="3">
      <t>シャ</t>
    </rPh>
    <phoneticPr fontId="2"/>
  </si>
  <si>
    <t>作成完了日</t>
    <rPh sb="0" eb="2">
      <t>サクセイ</t>
    </rPh>
    <rPh sb="2" eb="5">
      <t>カンリョウビ</t>
    </rPh>
    <phoneticPr fontId="2"/>
  </si>
  <si>
    <t>調製試薬注文票</t>
    <rPh sb="0" eb="2">
      <t>チョウセイ</t>
    </rPh>
    <rPh sb="2" eb="4">
      <t>シヤク</t>
    </rPh>
    <rPh sb="4" eb="6">
      <t>チュウモン</t>
    </rPh>
    <rPh sb="6" eb="7">
      <t>ヒョウ</t>
    </rPh>
    <phoneticPr fontId="2"/>
  </si>
  <si>
    <t>調製試薬作成票</t>
    <rPh sb="0" eb="2">
      <t>チョウセイ</t>
    </rPh>
    <rPh sb="2" eb="4">
      <t>シヤク</t>
    </rPh>
    <rPh sb="4" eb="6">
      <t>サクセイ</t>
    </rPh>
    <rPh sb="6" eb="7">
      <t>ヒョウ</t>
    </rPh>
    <phoneticPr fontId="2"/>
  </si>
  <si>
    <t>調製試薬名（商品名）</t>
    <rPh sb="0" eb="2">
      <t>チョウセイ</t>
    </rPh>
    <rPh sb="2" eb="4">
      <t>シヤク</t>
    </rPh>
    <rPh sb="4" eb="5">
      <t>メイ</t>
    </rPh>
    <rPh sb="6" eb="9">
      <t>ショウヒンメイ</t>
    </rPh>
    <phoneticPr fontId="2"/>
  </si>
  <si>
    <t>調製試薬名（商品名）</t>
    <rPh sb="0" eb="2">
      <t>チョウセイ</t>
    </rPh>
    <phoneticPr fontId="2"/>
  </si>
  <si>
    <t>調製試薬内容</t>
    <rPh sb="0" eb="2">
      <t>チョウセイ</t>
    </rPh>
    <rPh sb="2" eb="4">
      <t>シヤク</t>
    </rPh>
    <rPh sb="4" eb="6">
      <t>ナイヨウ</t>
    </rPh>
    <phoneticPr fontId="2"/>
  </si>
  <si>
    <t>毒物及び劇物譲受書</t>
    <phoneticPr fontId="2"/>
  </si>
  <si>
    <t>毒物　又は　劇物</t>
    <rPh sb="0" eb="2">
      <t>ドクブツ</t>
    </rPh>
    <rPh sb="3" eb="4">
      <t>マタ</t>
    </rPh>
    <rPh sb="6" eb="8">
      <t>ゲキブツ</t>
    </rPh>
    <phoneticPr fontId="2"/>
  </si>
  <si>
    <t>販売年月日</t>
    <rPh sb="0" eb="2">
      <t>ハンバイ</t>
    </rPh>
    <rPh sb="2" eb="5">
      <t>ネンガッピ</t>
    </rPh>
    <phoneticPr fontId="2"/>
  </si>
  <si>
    <t>譲受人</t>
    <rPh sb="0" eb="2">
      <t>ジョウジュ</t>
    </rPh>
    <rPh sb="2" eb="3">
      <t>ニン</t>
    </rPh>
    <phoneticPr fontId="2"/>
  </si>
  <si>
    <t>氏名</t>
    <rPh sb="0" eb="2">
      <t>シメイ</t>
    </rPh>
    <phoneticPr fontId="2"/>
  </si>
  <si>
    <t>印</t>
    <rPh sb="0" eb="1">
      <t>イン</t>
    </rPh>
    <phoneticPr fontId="2"/>
  </si>
  <si>
    <t>（法人にあってはその名称及び主たる事務所の所在地）</t>
    <rPh sb="1" eb="3">
      <t>ホウジン</t>
    </rPh>
    <rPh sb="10" eb="12">
      <t>メイショウ</t>
    </rPh>
    <rPh sb="12" eb="13">
      <t>オヨ</t>
    </rPh>
    <rPh sb="14" eb="15">
      <t>シュ</t>
    </rPh>
    <rPh sb="17" eb="19">
      <t>ジム</t>
    </rPh>
    <rPh sb="19" eb="20">
      <t>ショ</t>
    </rPh>
    <rPh sb="21" eb="24">
      <t>ショザイチ</t>
    </rPh>
    <phoneticPr fontId="2"/>
  </si>
  <si>
    <t>会社名</t>
    <rPh sb="0" eb="3">
      <t>カイシャメイ</t>
    </rPh>
    <phoneticPr fontId="2"/>
  </si>
  <si>
    <t>記入捺印後返送お願いします。</t>
    <rPh sb="0" eb="2">
      <t>キニュウ</t>
    </rPh>
    <rPh sb="2" eb="4">
      <t>ナツイン</t>
    </rPh>
    <rPh sb="4" eb="5">
      <t>ゴ</t>
    </rPh>
    <rPh sb="5" eb="7">
      <t>ヘンソウ</t>
    </rPh>
    <rPh sb="8" eb="9">
      <t>ネガ</t>
    </rPh>
    <phoneticPr fontId="2"/>
  </si>
  <si>
    <t xml:space="preserve"> 控 え</t>
    <rPh sb="1" eb="2">
      <t>ヒカ</t>
    </rPh>
    <phoneticPr fontId="2"/>
  </si>
  <si>
    <t>UNJC1020_SQL_DEMPYO_HAKKO</t>
    <phoneticPr fontId="2"/>
  </si>
  <si>
    <t>請求先名</t>
    <rPh sb="0" eb="2">
      <t>セイキュウ</t>
    </rPh>
    <rPh sb="2" eb="3">
      <t>サキ</t>
    </rPh>
    <rPh sb="3" eb="4">
      <t>メイ</t>
    </rPh>
    <phoneticPr fontId="2"/>
  </si>
  <si>
    <t>商品名</t>
    <rPh sb="0" eb="3">
      <t>ショウヒンメイ</t>
    </rPh>
    <phoneticPr fontId="2"/>
  </si>
  <si>
    <t>仕入先名</t>
    <rPh sb="0" eb="2">
      <t>シイレ</t>
    </rPh>
    <rPh sb="2" eb="3">
      <t>サキ</t>
    </rPh>
    <rPh sb="3" eb="4">
      <t>メイ</t>
    </rPh>
    <phoneticPr fontId="2"/>
  </si>
  <si>
    <t>メーカー名</t>
    <rPh sb="4" eb="5">
      <t>メイ</t>
    </rPh>
    <phoneticPr fontId="2"/>
  </si>
  <si>
    <t>UNJC1020_H_SEIKYUSAKI_MEI</t>
    <phoneticPr fontId="2"/>
  </si>
  <si>
    <t>UNJC1020_H_SHOHIN_MEI</t>
    <phoneticPr fontId="2"/>
  </si>
  <si>
    <t>UNJC1020_H_SHIIRESAKI_MEI</t>
  </si>
  <si>
    <t>UNJC1020_H_MAKER_MEI</t>
  </si>
  <si>
    <t>消費税率取得</t>
    <rPh sb="0" eb="3">
      <t>ショウヒゼイ</t>
    </rPh>
    <rPh sb="3" eb="4">
      <t>リツ</t>
    </rPh>
    <rPh sb="4" eb="6">
      <t>シュトク</t>
    </rPh>
    <phoneticPr fontId="2"/>
  </si>
  <si>
    <t>UNJC1030_SQL_TAX_RATE</t>
    <phoneticPr fontId="2"/>
  </si>
  <si>
    <t xml:space="preserve"> </t>
  </si>
  <si>
    <t>UNJC1030_H_DEMPYO_HAKKO_CD</t>
    <phoneticPr fontId="2"/>
  </si>
  <si>
    <t>入力日時</t>
    <rPh sb="0" eb="2">
      <t>ニュウリョク</t>
    </rPh>
    <rPh sb="2" eb="4">
      <t>ニチジ</t>
    </rPh>
    <phoneticPr fontId="2"/>
  </si>
  <si>
    <t>SELECT HYOJI_GYO_SU
  FROM M_CONTROL
 WHERE CTRL_KEY = 1</t>
  </si>
  <si>
    <t>■ポップアップ表示用SQL</t>
    <rPh sb="7" eb="9">
      <t>ヒョウジ</t>
    </rPh>
    <rPh sb="9" eb="10">
      <t>ヨウ</t>
    </rPh>
    <phoneticPr fontId="2"/>
  </si>
  <si>
    <t>受理No検索</t>
    <rPh sb="0" eb="2">
      <t>ジュリ</t>
    </rPh>
    <rPh sb="4" eb="6">
      <t>ケンサク</t>
    </rPh>
    <phoneticPr fontId="2"/>
  </si>
  <si>
    <t>分析方法取得SQL</t>
    <rPh sb="0" eb="2">
      <t>ブンセキ</t>
    </rPh>
    <rPh sb="2" eb="4">
      <t>ホウホウ</t>
    </rPh>
    <rPh sb="4" eb="6">
      <t>シュトク</t>
    </rPh>
    <phoneticPr fontId="2"/>
  </si>
  <si>
    <t>FAX敬称検索用SQL</t>
    <rPh sb="3" eb="5">
      <t>ケイショウ</t>
    </rPh>
    <rPh sb="5" eb="8">
      <t>ケンサクヨウ</t>
    </rPh>
    <phoneticPr fontId="2"/>
  </si>
  <si>
    <t>UNJC_COMMON_SQL_SHIRESAKI_SEARCH</t>
    <phoneticPr fontId="2"/>
  </si>
  <si>
    <t>UNJC_COMMON_SQL_MAKER_SEARCH</t>
    <phoneticPr fontId="2"/>
  </si>
  <si>
    <t>UNJC_COMMON_SQL_HAN_STS_SEARCH</t>
    <phoneticPr fontId="2"/>
  </si>
  <si>
    <t>販売ステータス取得用SQL</t>
    <rPh sb="0" eb="2">
      <t>ハンバイ</t>
    </rPh>
    <rPh sb="7" eb="9">
      <t>シュトク</t>
    </rPh>
    <rPh sb="9" eb="10">
      <t>ヨウ</t>
    </rPh>
    <phoneticPr fontId="2"/>
  </si>
  <si>
    <t>UNJC_COMMON_SQL_HASSOSAKI_SEARCH</t>
    <phoneticPr fontId="2"/>
  </si>
  <si>
    <t>UNJC_COMMON_SQL_SHOHIN_SEARCH</t>
    <phoneticPr fontId="2"/>
  </si>
  <si>
    <t>UNJC_COMMON_SQL_SELECT_CTRL_HYOJI_GYO_SU</t>
    <phoneticPr fontId="2"/>
  </si>
  <si>
    <t>UNJC_COMMON_SQL_SHAIN_SEARCH</t>
    <phoneticPr fontId="2"/>
  </si>
  <si>
    <t>UNJC_COMMON_SQL_BUSHO_SEARCH</t>
    <phoneticPr fontId="2"/>
  </si>
  <si>
    <t>UNJC_COMMON_SQL_JURI_NO_SEARCH</t>
    <phoneticPr fontId="2"/>
  </si>
  <si>
    <t>UNJC_COMMON_SQL_AITESAKI_SEARCH</t>
    <phoneticPr fontId="2"/>
  </si>
  <si>
    <t>UNJC_COMMON_SQL_MITSU_NO_SEARCH</t>
    <phoneticPr fontId="2"/>
  </si>
  <si>
    <t>UNJC_COMMON_SQL_SEIKYUSAKI_SEARCH</t>
    <phoneticPr fontId="2"/>
  </si>
  <si>
    <t>UNJC_COMMON_SQL_HOKOKUSAKI</t>
    <phoneticPr fontId="2"/>
  </si>
  <si>
    <t>UNJC_COMMON_SQL_HOKOKULIST_SEARCH</t>
    <phoneticPr fontId="2"/>
  </si>
  <si>
    <t>UNJC_COMMON_SQL_SHIRYO_SHURUI_SEARCH</t>
    <phoneticPr fontId="2"/>
  </si>
  <si>
    <t>UNJC_COMMON_SQL_SHIRYO_MEI_SEARCH</t>
    <phoneticPr fontId="2"/>
  </si>
  <si>
    <t>UNJC_COMMON_SQL_KOMOKU_GUN_SEARCH</t>
    <phoneticPr fontId="2"/>
  </si>
  <si>
    <t>UNJC_COMMON_SQL_KOMOKU_SEARCH</t>
    <phoneticPr fontId="2"/>
  </si>
  <si>
    <t>UNJC_COMMON_SQL_KEISHO_SEARCH</t>
    <phoneticPr fontId="2"/>
  </si>
  <si>
    <t>分析関連</t>
    <rPh sb="0" eb="2">
      <t>ブンセキ</t>
    </rPh>
    <rPh sb="2" eb="4">
      <t>カンレン</t>
    </rPh>
    <phoneticPr fontId="2"/>
  </si>
  <si>
    <t>毒劇物マーク展開位置</t>
    <rPh sb="0" eb="1">
      <t>ドク</t>
    </rPh>
    <rPh sb="1" eb="2">
      <t>ゲキ</t>
    </rPh>
    <rPh sb="2" eb="3">
      <t>ブツ</t>
    </rPh>
    <rPh sb="6" eb="8">
      <t>テンカイ</t>
    </rPh>
    <rPh sb="8" eb="10">
      <t>イチ</t>
    </rPh>
    <phoneticPr fontId="2"/>
  </si>
  <si>
    <t>UNJC1030_B_DOKU_TENKAI</t>
    <phoneticPr fontId="2"/>
  </si>
  <si>
    <t>毒劇物名称</t>
    <rPh sb="0" eb="1">
      <t>ドク</t>
    </rPh>
    <rPh sb="1" eb="3">
      <t>ゲキブツ</t>
    </rPh>
    <rPh sb="3" eb="5">
      <t>メイショウ</t>
    </rPh>
    <phoneticPr fontId="2"/>
  </si>
  <si>
    <t>入数</t>
    <rPh sb="0" eb="1">
      <t>イ</t>
    </rPh>
    <rPh sb="1" eb="2">
      <t>スウ</t>
    </rPh>
    <phoneticPr fontId="2"/>
  </si>
  <si>
    <t>受注数量</t>
    <rPh sb="0" eb="2">
      <t>ジュチュウ</t>
    </rPh>
    <rPh sb="2" eb="4">
      <t>スウリョウ</t>
    </rPh>
    <phoneticPr fontId="2"/>
  </si>
  <si>
    <t>毒劇物基本数量</t>
    <rPh sb="0" eb="1">
      <t>ドク</t>
    </rPh>
    <rPh sb="1" eb="3">
      <t>ゲキブツ</t>
    </rPh>
    <rPh sb="3" eb="5">
      <t>キホン</t>
    </rPh>
    <rPh sb="5" eb="7">
      <t>スウリョウ</t>
    </rPh>
    <phoneticPr fontId="2"/>
  </si>
  <si>
    <t>入数単位</t>
    <rPh sb="0" eb="1">
      <t>イ</t>
    </rPh>
    <rPh sb="1" eb="2">
      <t>スウ</t>
    </rPh>
    <rPh sb="2" eb="4">
      <t>タンイ</t>
    </rPh>
    <phoneticPr fontId="2"/>
  </si>
  <si>
    <t>納品日</t>
    <rPh sb="0" eb="3">
      <t>ノウヒンビ</t>
    </rPh>
    <phoneticPr fontId="2"/>
  </si>
  <si>
    <t>相手先担当者名</t>
    <rPh sb="0" eb="3">
      <t>アイテサキ</t>
    </rPh>
    <rPh sb="3" eb="5">
      <t>タントウ</t>
    </rPh>
    <rPh sb="5" eb="6">
      <t>シャ</t>
    </rPh>
    <rPh sb="6" eb="7">
      <t>メイ</t>
    </rPh>
    <phoneticPr fontId="2"/>
  </si>
  <si>
    <t>請求先名</t>
    <rPh sb="0" eb="2">
      <t>セイキュウ</t>
    </rPh>
    <rPh sb="2" eb="3">
      <t>サキ</t>
    </rPh>
    <rPh sb="3" eb="4">
      <t>メイ</t>
    </rPh>
    <phoneticPr fontId="2"/>
  </si>
  <si>
    <t>請求先住所</t>
    <rPh sb="0" eb="2">
      <t>セイキュウ</t>
    </rPh>
    <rPh sb="2" eb="3">
      <t>サキ</t>
    </rPh>
    <rPh sb="3" eb="5">
      <t>ジュウショ</t>
    </rPh>
    <phoneticPr fontId="2"/>
  </si>
  <si>
    <t>備考</t>
    <rPh sb="0" eb="2">
      <t>ビコウ</t>
    </rPh>
    <phoneticPr fontId="2"/>
  </si>
  <si>
    <t>担当者名</t>
    <rPh sb="0" eb="2">
      <t>タントウ</t>
    </rPh>
    <rPh sb="2" eb="3">
      <t>シャ</t>
    </rPh>
    <rPh sb="3" eb="4">
      <t>メイ</t>
    </rPh>
    <phoneticPr fontId="2"/>
  </si>
  <si>
    <t>調製試薬名</t>
    <rPh sb="0" eb="2">
      <t>チョウセイ</t>
    </rPh>
    <rPh sb="2" eb="4">
      <t>シヤク</t>
    </rPh>
    <rPh sb="4" eb="5">
      <t>メイ</t>
    </rPh>
    <phoneticPr fontId="2"/>
  </si>
  <si>
    <t>毒劇フラグ</t>
    <rPh sb="0" eb="1">
      <t>ドク</t>
    </rPh>
    <rPh sb="1" eb="2">
      <t>ゲキ</t>
    </rPh>
    <phoneticPr fontId="2"/>
  </si>
  <si>
    <t>営業担当者</t>
    <rPh sb="0" eb="2">
      <t>エイギョウ</t>
    </rPh>
    <rPh sb="2" eb="5">
      <t>タントウシャ</t>
    </rPh>
    <phoneticPr fontId="2"/>
  </si>
  <si>
    <t>調製試薬内容</t>
    <rPh sb="0" eb="2">
      <t>チョウセイ</t>
    </rPh>
    <rPh sb="2" eb="4">
      <t>シヤク</t>
    </rPh>
    <rPh sb="4" eb="6">
      <t>ナイヨウ</t>
    </rPh>
    <phoneticPr fontId="2"/>
  </si>
  <si>
    <t>調製試薬注文票データ取得SQL</t>
    <rPh sb="0" eb="2">
      <t>チョウセイ</t>
    </rPh>
    <rPh sb="2" eb="4">
      <t>シヤク</t>
    </rPh>
    <rPh sb="4" eb="6">
      <t>チュウモン</t>
    </rPh>
    <rPh sb="6" eb="7">
      <t>ヒョウ</t>
    </rPh>
    <rPh sb="10" eb="12">
      <t>シュトク</t>
    </rPh>
    <phoneticPr fontId="2"/>
  </si>
  <si>
    <t>UNJC1030_SQL_REPORT_SHIYAKU</t>
    <phoneticPr fontId="2"/>
  </si>
  <si>
    <t>毒劇物譲受書データ取得SQL</t>
    <rPh sb="0" eb="1">
      <t>ドク</t>
    </rPh>
    <rPh sb="1" eb="3">
      <t>ゲキブツ</t>
    </rPh>
    <rPh sb="3" eb="5">
      <t>ユズリウケ</t>
    </rPh>
    <rPh sb="5" eb="6">
      <t>ショ</t>
    </rPh>
    <rPh sb="9" eb="11">
      <t>シュトク</t>
    </rPh>
    <phoneticPr fontId="2"/>
  </si>
  <si>
    <t>UNJC1030_SQL_REPORT_DOKU</t>
    <phoneticPr fontId="2"/>
  </si>
  <si>
    <t>【コピー元】</t>
    <rPh sb="4" eb="5">
      <t>モト</t>
    </rPh>
    <phoneticPr fontId="2"/>
  </si>
  <si>
    <t>発行者</t>
    <rPh sb="0" eb="3">
      <t>ハッコウシャ</t>
    </rPh>
    <phoneticPr fontId="2"/>
  </si>
  <si>
    <t>UNJC1030_REPORT_SHIYAKU_IF_USER_ID</t>
    <phoneticPr fontId="2"/>
  </si>
  <si>
    <t>ログインユーザーID</t>
    <phoneticPr fontId="2"/>
  </si>
  <si>
    <t>UNJC1030_REPORT_SHIYAKU_IF_SQL_HAKKOSHA</t>
    <phoneticPr fontId="2"/>
  </si>
  <si>
    <t>UNJC1030_REPORT_SHIYAKU_IF_HAKKOSHA</t>
    <phoneticPr fontId="2"/>
  </si>
  <si>
    <t>発行者名取得SQL</t>
    <rPh sb="0" eb="2">
      <t>ハッコウ</t>
    </rPh>
    <rPh sb="2" eb="3">
      <t>シャ</t>
    </rPh>
    <rPh sb="3" eb="4">
      <t>メイ</t>
    </rPh>
    <rPh sb="4" eb="6">
      <t>シュトク</t>
    </rPh>
    <phoneticPr fontId="2"/>
  </si>
  <si>
    <t>UNJC1030_REPORT_SHIYAKU_IF_COPY_MOTO</t>
    <phoneticPr fontId="2"/>
  </si>
  <si>
    <t>帳票書式コピー元</t>
    <rPh sb="0" eb="2">
      <t>チョウヒョウ</t>
    </rPh>
    <rPh sb="2" eb="4">
      <t>ショシキ</t>
    </rPh>
    <rPh sb="7" eb="8">
      <t>モト</t>
    </rPh>
    <phoneticPr fontId="2"/>
  </si>
  <si>
    <t>UNJC1030_REPORT_SHIYAKU_IF_TENKAI_START</t>
    <phoneticPr fontId="2"/>
  </si>
  <si>
    <t>ページ表示行数</t>
    <rPh sb="3" eb="5">
      <t>ヒョウジ</t>
    </rPh>
    <rPh sb="5" eb="7">
      <t>ギョウスウ</t>
    </rPh>
    <phoneticPr fontId="2"/>
  </si>
  <si>
    <t>UNJC1030_REPORT_SHIYAKU_IF_HYOJI_GYO_SU</t>
    <phoneticPr fontId="2"/>
  </si>
  <si>
    <t>対象行</t>
    <rPh sb="0" eb="2">
      <t>タイショウ</t>
    </rPh>
    <rPh sb="2" eb="3">
      <t>ギョウ</t>
    </rPh>
    <phoneticPr fontId="2"/>
  </si>
  <si>
    <t>データ件数</t>
    <rPh sb="3" eb="5">
      <t>ケンスウ</t>
    </rPh>
    <phoneticPr fontId="2"/>
  </si>
  <si>
    <t>UNJC1030_REPORT_SHIYAKU_IF_KENSU</t>
    <phoneticPr fontId="2"/>
  </si>
  <si>
    <t>ページ数</t>
    <rPh sb="3" eb="4">
      <t>スウ</t>
    </rPh>
    <phoneticPr fontId="2"/>
  </si>
  <si>
    <t>UNJC1030_REPORT_SHIYAKU_IF_PAGE_SU</t>
    <phoneticPr fontId="2"/>
  </si>
  <si>
    <t>UNJC1030_REPORT_SHIYAKU_IF_COPY_MOTO_GYO</t>
    <phoneticPr fontId="2"/>
  </si>
  <si>
    <t>コピー元行範囲</t>
    <rPh sb="3" eb="4">
      <t>モト</t>
    </rPh>
    <rPh sb="4" eb="5">
      <t>ギョウ</t>
    </rPh>
    <rPh sb="5" eb="7">
      <t>ハンイ</t>
    </rPh>
    <phoneticPr fontId="2"/>
  </si>
  <si>
    <t>UNJC1030_REPORT_SHIYAKU_IF_PRINT_AREA</t>
    <phoneticPr fontId="2"/>
  </si>
  <si>
    <t>印刷範囲</t>
    <rPh sb="0" eb="2">
      <t>インサツ</t>
    </rPh>
    <rPh sb="2" eb="4">
      <t>ハンイ</t>
    </rPh>
    <phoneticPr fontId="2"/>
  </si>
  <si>
    <t>印刷エラー判定</t>
    <rPh sb="0" eb="2">
      <t>インサツ</t>
    </rPh>
    <rPh sb="5" eb="7">
      <t>ハンテイ</t>
    </rPh>
    <phoneticPr fontId="2"/>
  </si>
  <si>
    <t>UNJC1030_REPORT_SHIYAKU_IF_ERROR_CHECK</t>
    <phoneticPr fontId="2"/>
  </si>
  <si>
    <t>UNJC1030_REPORT_DOKU_IF_TENKAI_START</t>
    <phoneticPr fontId="2"/>
  </si>
  <si>
    <t>UNJC1030_REPORT_DOKU_IF_COPY_MOTO</t>
    <phoneticPr fontId="2"/>
  </si>
  <si>
    <t>UNJC1030_REPORT_DOKU_IF_KENSU</t>
  </si>
  <si>
    <t>UNJC1030_REPORT_DOKU_IF_COPY_MOTO_GYO</t>
    <phoneticPr fontId="2"/>
  </si>
  <si>
    <t>UNJC1030_REPORT_DOKU_IF_PRINT_AREA</t>
    <phoneticPr fontId="2"/>
  </si>
  <si>
    <t>UNJC1030_REPORT_DOKU_IF_ERROR_CHECK</t>
    <phoneticPr fontId="2"/>
  </si>
  <si>
    <t>リスト書式コピーフラグ</t>
    <phoneticPr fontId="2"/>
  </si>
  <si>
    <t>UNJC1020_B_LIST_COPY_FLAG</t>
    <phoneticPr fontId="2"/>
  </si>
  <si>
    <t>入力者CD</t>
    <phoneticPr fontId="2"/>
  </si>
  <si>
    <t>受注販売入力 入力者初期値</t>
    <rPh sb="0" eb="2">
      <t>ジュチュウ</t>
    </rPh>
    <rPh sb="2" eb="4">
      <t>ハンバイ</t>
    </rPh>
    <rPh sb="4" eb="6">
      <t>ニュウリョク</t>
    </rPh>
    <phoneticPr fontId="2"/>
  </si>
  <si>
    <t>受注販売入力 ステータス初期値</t>
    <rPh sb="0" eb="2">
      <t>ジュチュウ</t>
    </rPh>
    <rPh sb="2" eb="4">
      <t>ハンバイ</t>
    </rPh>
    <rPh sb="4" eb="6">
      <t>ニュウリョク</t>
    </rPh>
    <phoneticPr fontId="2"/>
  </si>
  <si>
    <t>UNJC1030_SQL_HAN_STS_SHIKI</t>
  </si>
  <si>
    <t>UNJC1030_SQL_NYURYOKUSHA</t>
    <phoneticPr fontId="2"/>
  </si>
  <si>
    <t>行高さ変更禁止</t>
    <rPh sb="0" eb="1">
      <t>ギョウ</t>
    </rPh>
    <rPh sb="1" eb="2">
      <t>タカ</t>
    </rPh>
    <rPh sb="3" eb="5">
      <t>ヘンコウ</t>
    </rPh>
    <rPh sb="5" eb="7">
      <t>キンシ</t>
    </rPh>
    <phoneticPr fontId="2"/>
  </si>
  <si>
    <t>複数商品選択フラグ</t>
    <rPh sb="0" eb="2">
      <t>フクスウ</t>
    </rPh>
    <rPh sb="2" eb="4">
      <t>ショウヒン</t>
    </rPh>
    <rPh sb="4" eb="6">
      <t>センタク</t>
    </rPh>
    <phoneticPr fontId="2"/>
  </si>
  <si>
    <t>UNJC1030_IF_MULTI_SELECT_FLG</t>
    <phoneticPr fontId="2"/>
  </si>
  <si>
    <t>OFF:2</t>
    <phoneticPr fontId="2"/>
  </si>
  <si>
    <t>【複数商品追加】</t>
    <rPh sb="1" eb="3">
      <t>フクスウ</t>
    </rPh>
    <rPh sb="3" eb="5">
      <t>ショウヒン</t>
    </rPh>
    <rPh sb="5" eb="7">
      <t>ツイカ</t>
    </rPh>
    <phoneticPr fontId="2"/>
  </si>
  <si>
    <t>相手先商品名</t>
  </si>
  <si>
    <t>試薬</t>
  </si>
  <si>
    <t>備考</t>
  </si>
  <si>
    <t>複数商品選択展開開始位置</t>
    <rPh sb="0" eb="2">
      <t>フクスウ</t>
    </rPh>
    <rPh sb="2" eb="4">
      <t>ショウヒン</t>
    </rPh>
    <rPh sb="4" eb="6">
      <t>センタク</t>
    </rPh>
    <rPh sb="6" eb="8">
      <t>テンカイ</t>
    </rPh>
    <rPh sb="8" eb="10">
      <t>カイシ</t>
    </rPh>
    <rPh sb="10" eb="12">
      <t>イチ</t>
    </rPh>
    <phoneticPr fontId="2"/>
  </si>
  <si>
    <t>UNJC1030_IF_MULTI_SELECT_TENKAI_START</t>
    <phoneticPr fontId="2"/>
  </si>
  <si>
    <t>商品複数選択用SQL</t>
    <rPh sb="0" eb="2">
      <t>ショウヒン</t>
    </rPh>
    <rPh sb="2" eb="4">
      <t>フクスウ</t>
    </rPh>
    <rPh sb="4" eb="6">
      <t>センタク</t>
    </rPh>
    <rPh sb="6" eb="7">
      <t>ヨウ</t>
    </rPh>
    <phoneticPr fontId="2"/>
  </si>
  <si>
    <t>UNJC1030_SQL_MULTI_SELECT</t>
    <phoneticPr fontId="2"/>
  </si>
  <si>
    <t>複数商品選択件数</t>
    <rPh sb="0" eb="2">
      <t>フクスウ</t>
    </rPh>
    <rPh sb="2" eb="4">
      <t>ショウヒン</t>
    </rPh>
    <rPh sb="4" eb="6">
      <t>センタク</t>
    </rPh>
    <rPh sb="6" eb="8">
      <t>ケンスウ</t>
    </rPh>
    <phoneticPr fontId="2"/>
  </si>
  <si>
    <t>UNJC1030_IF_MULTI_SELECT_KENSU</t>
    <phoneticPr fontId="2"/>
  </si>
  <si>
    <t>展開件数</t>
    <rPh sb="0" eb="2">
      <t>テンカイ</t>
    </rPh>
    <rPh sb="2" eb="4">
      <t>ケンスウ</t>
    </rPh>
    <phoneticPr fontId="2"/>
  </si>
  <si>
    <t>UNJC1030_IF_MULTI_SELECT_TENKAI_KENSU</t>
    <phoneticPr fontId="2"/>
  </si>
  <si>
    <t>書式コピー先</t>
    <rPh sb="0" eb="2">
      <t>ショシキ</t>
    </rPh>
    <rPh sb="5" eb="6">
      <t>サキ</t>
    </rPh>
    <phoneticPr fontId="2"/>
  </si>
  <si>
    <t>行数式コピー先</t>
    <rPh sb="0" eb="2">
      <t>ギョウスウ</t>
    </rPh>
    <rPh sb="2" eb="3">
      <t>シキ</t>
    </rPh>
    <rPh sb="6" eb="7">
      <t>サキ</t>
    </rPh>
    <phoneticPr fontId="2"/>
  </si>
  <si>
    <t>金額数式コピー先</t>
    <rPh sb="0" eb="2">
      <t>キンガク</t>
    </rPh>
    <rPh sb="2" eb="4">
      <t>スウシキ</t>
    </rPh>
    <rPh sb="7" eb="8">
      <t>サキ</t>
    </rPh>
    <phoneticPr fontId="2"/>
  </si>
  <si>
    <t>総数数式コピー先</t>
    <rPh sb="0" eb="2">
      <t>ソウスウ</t>
    </rPh>
    <rPh sb="2" eb="4">
      <t>スウシキ</t>
    </rPh>
    <rPh sb="7" eb="8">
      <t>サキ</t>
    </rPh>
    <phoneticPr fontId="2"/>
  </si>
  <si>
    <t>UNJC1030_IF_MULTI_SELECT_SHOSHIKI_COPY_SAKI</t>
    <phoneticPr fontId="2"/>
  </si>
  <si>
    <t>コピー元</t>
    <rPh sb="3" eb="4">
      <t>モト</t>
    </rPh>
    <phoneticPr fontId="2"/>
  </si>
  <si>
    <t>UNJC1030_IF_MULTI_SELECT_GYO_SUSHIKI_COPY_SAKI</t>
    <phoneticPr fontId="2"/>
  </si>
  <si>
    <t>UNJC1030_IF_MULTI_SELECT_KINGAKU_SUSHIKI_COPY_SAKI</t>
    <phoneticPr fontId="2"/>
  </si>
  <si>
    <t>UNJC1030_IF_MULTI_SELECT_SOSU_SUSHIKI_COPY_SAKI</t>
    <phoneticPr fontId="2"/>
  </si>
  <si>
    <t>UNJC1030_IF_MULTI_SELECT_GENKA_SUSHIKI_COPY_SAKI</t>
    <phoneticPr fontId="2"/>
  </si>
  <si>
    <t>UNJC1030_IF_MULTI_SELECT_COPY_MOTO</t>
    <phoneticPr fontId="2"/>
  </si>
  <si>
    <t>複数選択コピー先</t>
    <rPh sb="0" eb="2">
      <t>フクスウ</t>
    </rPh>
    <rPh sb="2" eb="4">
      <t>センタク</t>
    </rPh>
    <rPh sb="7" eb="8">
      <t>サキ</t>
    </rPh>
    <phoneticPr fontId="2"/>
  </si>
  <si>
    <t>UNJC1030_B_MULTI_SELECT_COPY_SAKI</t>
    <phoneticPr fontId="2"/>
  </si>
  <si>
    <t>原価・粗利数式コピー先</t>
    <rPh sb="0" eb="2">
      <t>ゲンカ</t>
    </rPh>
    <rPh sb="3" eb="5">
      <t>アラリ</t>
    </rPh>
    <rPh sb="5" eb="7">
      <t>スウシキ</t>
    </rPh>
    <rPh sb="10" eb="11">
      <t>サキ</t>
    </rPh>
    <phoneticPr fontId="2"/>
  </si>
  <si>
    <t>UNJC1030_IF_MULTI_SELECT_LIST_ARARI_AREA</t>
    <phoneticPr fontId="2"/>
  </si>
  <si>
    <t>UNJC1030_IF_MULTI_SELECT_LIST_SOSU</t>
    <phoneticPr fontId="2"/>
  </si>
  <si>
    <t>UNJC1030_IF_MULTI_SELECT_LIST_KINGAKU</t>
    <phoneticPr fontId="2"/>
  </si>
  <si>
    <t>UNJC1030_IF_MULTI_SELECT_LIST_GYO</t>
  </si>
  <si>
    <t>展開処理実行判定</t>
    <rPh sb="0" eb="2">
      <t>テンカイ</t>
    </rPh>
    <rPh sb="2" eb="4">
      <t>ショリ</t>
    </rPh>
    <rPh sb="4" eb="6">
      <t>ジッコウ</t>
    </rPh>
    <rPh sb="6" eb="8">
      <t>ハンテイ</t>
    </rPh>
    <phoneticPr fontId="2"/>
  </si>
  <si>
    <t>UNJC1030_IF_MULTI_SELECT_CHECK</t>
    <phoneticPr fontId="2"/>
  </si>
  <si>
    <t>1:有効 / 2:無効</t>
    <rPh sb="2" eb="4">
      <t>ユウコウ</t>
    </rPh>
    <rPh sb="9" eb="11">
      <t>ムコウ</t>
    </rPh>
    <phoneticPr fontId="2"/>
  </si>
  <si>
    <t>展開後件数</t>
    <rPh sb="0" eb="2">
      <t>テンカイ</t>
    </rPh>
    <rPh sb="2" eb="3">
      <t>ゴ</t>
    </rPh>
    <rPh sb="3" eb="5">
      <t>ケンスウ</t>
    </rPh>
    <phoneticPr fontId="2"/>
  </si>
  <si>
    <t>UNJC1030_IF_MULTI_SELECT_GYO_INCREMENT</t>
    <phoneticPr fontId="2"/>
  </si>
  <si>
    <t>入数</t>
    <rPh sb="0" eb="1">
      <t>イ</t>
    </rPh>
    <rPh sb="1" eb="2">
      <t>スウ</t>
    </rPh>
    <phoneticPr fontId="2"/>
  </si>
  <si>
    <t>受注販売入力ヘッダ見積接続取得SQL</t>
    <rPh sb="0" eb="2">
      <t>ジュチュウ</t>
    </rPh>
    <rPh sb="2" eb="4">
      <t>ハンバイ</t>
    </rPh>
    <rPh sb="4" eb="6">
      <t>ニュウリョク</t>
    </rPh>
    <rPh sb="9" eb="11">
      <t>ミツモ</t>
    </rPh>
    <rPh sb="11" eb="13">
      <t>セツゾク</t>
    </rPh>
    <rPh sb="13" eb="15">
      <t>シュトク</t>
    </rPh>
    <phoneticPr fontId="2"/>
  </si>
  <si>
    <t>UNJC1030_SQL_HAN_JUCHU_H_MITSU</t>
    <phoneticPr fontId="2"/>
  </si>
  <si>
    <t>受注販売入力ボディ見積接続取得SQL</t>
    <rPh sb="0" eb="2">
      <t>ジュチュウ</t>
    </rPh>
    <rPh sb="2" eb="4">
      <t>ハンバイ</t>
    </rPh>
    <rPh sb="4" eb="6">
      <t>ニュウリョク</t>
    </rPh>
    <rPh sb="9" eb="11">
      <t>ミツモ</t>
    </rPh>
    <rPh sb="11" eb="13">
      <t>セツゾク</t>
    </rPh>
    <rPh sb="13" eb="15">
      <t>シュトク</t>
    </rPh>
    <phoneticPr fontId="2"/>
  </si>
  <si>
    <t>対象見積No.</t>
    <rPh sb="0" eb="2">
      <t>タイショウ</t>
    </rPh>
    <rPh sb="2" eb="4">
      <t>ミツモ</t>
    </rPh>
    <phoneticPr fontId="2"/>
  </si>
  <si>
    <t>UNJC1030_IF_MITSU_NO</t>
    <phoneticPr fontId="2"/>
  </si>
  <si>
    <t>UNJC1030_SQL_MITSU_NO</t>
    <phoneticPr fontId="2"/>
  </si>
  <si>
    <t>見積接続フラグ</t>
    <rPh sb="0" eb="2">
      <t>ミツモ</t>
    </rPh>
    <rPh sb="2" eb="4">
      <t>セツゾク</t>
    </rPh>
    <phoneticPr fontId="2"/>
  </si>
  <si>
    <t>参照作成フラグ</t>
    <rPh sb="0" eb="2">
      <t>サンショウ</t>
    </rPh>
    <rPh sb="2" eb="4">
      <t>サクセイ</t>
    </rPh>
    <phoneticPr fontId="2"/>
  </si>
  <si>
    <t>UNJC1030_IF_SANSHO_FLG</t>
    <phoneticPr fontId="2"/>
  </si>
  <si>
    <t>UNJC1030_IF_MITSU_FLG</t>
    <phoneticPr fontId="2"/>
  </si>
  <si>
    <t>1:ON / 1以外:OFF</t>
    <rPh sb="8" eb="10">
      <t>イガイ</t>
    </rPh>
    <phoneticPr fontId="2"/>
  </si>
  <si>
    <t>ボディデータ取得SQL</t>
    <rPh sb="6" eb="8">
      <t>シュトク</t>
    </rPh>
    <phoneticPr fontId="2"/>
  </si>
  <si>
    <t>ヘッダデータ取得SQL</t>
    <rPh sb="6" eb="8">
      <t>シュトク</t>
    </rPh>
    <phoneticPr fontId="2"/>
  </si>
  <si>
    <t>UNJC1030_SQL_SELECT_H</t>
    <phoneticPr fontId="2"/>
  </si>
  <si>
    <t>UNJC1030_SQL_SELECT_B</t>
    <phoneticPr fontId="2"/>
  </si>
  <si>
    <t>【値引行】</t>
    <rPh sb="1" eb="3">
      <t>ネビ</t>
    </rPh>
    <rPh sb="3" eb="4">
      <t>ギョウ</t>
    </rPh>
    <phoneticPr fontId="2"/>
  </si>
  <si>
    <t>nebiki_per</t>
  </si>
  <si>
    <t>値引</t>
    <rPh sb="0" eb="2">
      <t>ネビキ</t>
    </rPh>
    <phoneticPr fontId="2"/>
  </si>
  <si>
    <t>%ﾚｽ</t>
  </si>
  <si>
    <t>nebiki_dir</t>
  </si>
  <si>
    <t>UNJC1030_IF_COPY_B_NEBIKI_PER_SHINKI</t>
  </si>
  <si>
    <t>UNJC1030_IF_COPY_B_NEBIKI_PER_SUSHIKI</t>
  </si>
  <si>
    <t>UNJC1030_IF_COPY_B_NEBIKI_DIR_SHINKI</t>
  </si>
  <si>
    <t>UNJC1030_IF_COPY_B_NEBIKI_PER_SHUSEI</t>
  </si>
  <si>
    <t>UNJC1030_IF_COPY_B_NEBIKI_DIR_SHUSEI</t>
  </si>
  <si>
    <t>UNJC1030_IF_COPY_B_NEBIKI_PER_SANSHO</t>
    <phoneticPr fontId="2"/>
  </si>
  <si>
    <t>UNJC1030_IF_COPY_B_NEBIKI_DIR_SANSHO</t>
    <phoneticPr fontId="2"/>
  </si>
  <si>
    <t>値引行追加</t>
    <rPh sb="0" eb="2">
      <t>ネビキ</t>
    </rPh>
    <rPh sb="2" eb="3">
      <t>ギョウ</t>
    </rPh>
    <rPh sb="3" eb="5">
      <t>ツイカ</t>
    </rPh>
    <phoneticPr fontId="2"/>
  </si>
  <si>
    <t>UNJC1030_IF_BUTTON_13_HYOJI</t>
    <phoneticPr fontId="2"/>
  </si>
  <si>
    <t>1:明細 / 2:コメント / 3：値引</t>
    <rPh sb="2" eb="4">
      <t>メイサイ</t>
    </rPh>
    <rPh sb="18" eb="20">
      <t>ネビキ</t>
    </rPh>
    <phoneticPr fontId="2"/>
  </si>
  <si>
    <t>報告書形式検索用SQL</t>
    <rPh sb="0" eb="3">
      <t>ホウコクショ</t>
    </rPh>
    <rPh sb="3" eb="5">
      <t>ケイシキ</t>
    </rPh>
    <rPh sb="5" eb="7">
      <t>ケンサク</t>
    </rPh>
    <rPh sb="7" eb="8">
      <t>ヨウ</t>
    </rPh>
    <phoneticPr fontId="2"/>
  </si>
  <si>
    <t>UNJC_COMMON_SQL_HOKOKUSHO_KEISHIKI_SEARCH</t>
  </si>
  <si>
    <t>【Excel保存】</t>
    <rPh sb="6" eb="8">
      <t>ホゾン</t>
    </rPh>
    <phoneticPr fontId="2"/>
  </si>
  <si>
    <t>Excel保存ファイル名</t>
    <rPh sb="5" eb="7">
      <t>ホゾン</t>
    </rPh>
    <rPh sb="11" eb="12">
      <t>メイ</t>
    </rPh>
    <phoneticPr fontId="2"/>
  </si>
  <si>
    <t>UNJC1030_IF_EXCEL_FILE_NAME</t>
    <phoneticPr fontId="2"/>
  </si>
  <si>
    <t>納品方法実績検索用</t>
    <rPh sb="0" eb="2">
      <t>ノウヒン</t>
    </rPh>
    <rPh sb="2" eb="4">
      <t>ホウホウ</t>
    </rPh>
    <rPh sb="4" eb="6">
      <t>ジッセキ</t>
    </rPh>
    <rPh sb="6" eb="9">
      <t>ケンサクヨウ</t>
    </rPh>
    <phoneticPr fontId="2"/>
  </si>
  <si>
    <t>UNJC_COMMON_SQL_NOHIN_HOHO_SEARCH</t>
    <phoneticPr fontId="2"/>
  </si>
  <si>
    <t>分析依頼検索</t>
    <rPh sb="0" eb="2">
      <t>ブンセキ</t>
    </rPh>
    <rPh sb="2" eb="4">
      <t>イライ</t>
    </rPh>
    <rPh sb="4" eb="6">
      <t>ケンサク</t>
    </rPh>
    <phoneticPr fontId="2"/>
  </si>
  <si>
    <t>■フォーム制御用</t>
    <rPh sb="5" eb="7">
      <t>セイギョ</t>
    </rPh>
    <rPh sb="7" eb="8">
      <t>ヨウ</t>
    </rPh>
    <phoneticPr fontId="2"/>
  </si>
  <si>
    <t>UNJC0020_H_INIT_HEADER_FLG_COPY_SAKI</t>
    <phoneticPr fontId="2"/>
  </si>
  <si>
    <t>確定未ステータス</t>
    <rPh sb="0" eb="2">
      <t>カクテイ</t>
    </rPh>
    <rPh sb="2" eb="3">
      <t>ミ</t>
    </rPh>
    <phoneticPr fontId="2"/>
  </si>
  <si>
    <t>UNJC0020_H_KAKUTEIMI_STS</t>
    <phoneticPr fontId="2"/>
  </si>
  <si>
    <t>報告書形式▼</t>
    <rPh sb="0" eb="3">
      <t>ホウコクショ</t>
    </rPh>
    <rPh sb="3" eb="5">
      <t>ケイシキ</t>
    </rPh>
    <phoneticPr fontId="2"/>
  </si>
  <si>
    <t>受付確認ステータス</t>
    <rPh sb="0" eb="2">
      <t>ウケツケ</t>
    </rPh>
    <rPh sb="2" eb="4">
      <t>カクニン</t>
    </rPh>
    <phoneticPr fontId="2"/>
  </si>
  <si>
    <t>UNJC0020_H_UKETSUKE_STS</t>
    <phoneticPr fontId="2"/>
  </si>
  <si>
    <t>ステータス：</t>
    <phoneticPr fontId="2"/>
  </si>
  <si>
    <t>受付確認</t>
    <rPh sb="0" eb="2">
      <t>ウケツケ</t>
    </rPh>
    <rPh sb="2" eb="4">
      <t>カクニン</t>
    </rPh>
    <phoneticPr fontId="2"/>
  </si>
  <si>
    <t>中間報告済</t>
    <phoneticPr fontId="2"/>
  </si>
  <si>
    <t>確認2</t>
    <rPh sb="0" eb="2">
      <t>カクニン</t>
    </rPh>
    <phoneticPr fontId="2"/>
  </si>
  <si>
    <t>速報送付済</t>
    <phoneticPr fontId="2"/>
  </si>
  <si>
    <t>中間報告済ステータス</t>
    <rPh sb="0" eb="2">
      <t>チュウカン</t>
    </rPh>
    <rPh sb="2" eb="4">
      <t>ホウコク</t>
    </rPh>
    <rPh sb="4" eb="5">
      <t>ズ</t>
    </rPh>
    <phoneticPr fontId="2"/>
  </si>
  <si>
    <t>UNJC0020_H_CHUKAN_STS</t>
    <phoneticPr fontId="2"/>
  </si>
  <si>
    <t>営業確認済</t>
    <rPh sb="0" eb="2">
      <t>エイギョウ</t>
    </rPh>
    <rPh sb="2" eb="4">
      <t>カクニン</t>
    </rPh>
    <rPh sb="4" eb="5">
      <t>ス</t>
    </rPh>
    <phoneticPr fontId="2"/>
  </si>
  <si>
    <t>納品済</t>
    <rPh sb="0" eb="2">
      <t>ノウヒン</t>
    </rPh>
    <rPh sb="2" eb="3">
      <t>スミ</t>
    </rPh>
    <phoneticPr fontId="2"/>
  </si>
  <si>
    <t>分析依頼保管</t>
    <rPh sb="0" eb="2">
      <t>ブンセキ</t>
    </rPh>
    <rPh sb="2" eb="4">
      <t>イライ</t>
    </rPh>
    <rPh sb="4" eb="6">
      <t>ホカン</t>
    </rPh>
    <phoneticPr fontId="2"/>
  </si>
  <si>
    <t>訂正依頼受付</t>
    <rPh sb="0" eb="2">
      <t>テイセイ</t>
    </rPh>
    <rPh sb="2" eb="4">
      <t>イライ</t>
    </rPh>
    <rPh sb="4" eb="6">
      <t>ウケツケ</t>
    </rPh>
    <phoneticPr fontId="2"/>
  </si>
  <si>
    <t>中断</t>
    <rPh sb="0" eb="2">
      <t>チュウダン</t>
    </rPh>
    <phoneticPr fontId="2"/>
  </si>
  <si>
    <t>中止</t>
    <rPh sb="0" eb="2">
      <t>チュウシ</t>
    </rPh>
    <phoneticPr fontId="2"/>
  </si>
  <si>
    <t>技術責任者確認ステータス</t>
    <rPh sb="0" eb="2">
      <t>ギジュツ</t>
    </rPh>
    <rPh sb="2" eb="5">
      <t>セキニンシャ</t>
    </rPh>
    <rPh sb="5" eb="7">
      <t>カクニン</t>
    </rPh>
    <phoneticPr fontId="2"/>
  </si>
  <si>
    <t>UNJC0020_H_GIJUTSU_STS</t>
    <phoneticPr fontId="2"/>
  </si>
  <si>
    <t>確認2ステータス</t>
    <rPh sb="0" eb="2">
      <t>カクニン</t>
    </rPh>
    <phoneticPr fontId="2"/>
  </si>
  <si>
    <t>UNJC0020_H_KAKUNIN2_STS</t>
    <phoneticPr fontId="2"/>
  </si>
  <si>
    <t>速報送付済ステータス</t>
    <rPh sb="0" eb="2">
      <t>ソクホウ</t>
    </rPh>
    <rPh sb="2" eb="4">
      <t>ソウフ</t>
    </rPh>
    <rPh sb="4" eb="5">
      <t>ズ</t>
    </rPh>
    <phoneticPr fontId="2"/>
  </si>
  <si>
    <t>UNJC0020_H_SOKUHO_STS</t>
    <phoneticPr fontId="2"/>
  </si>
  <si>
    <t>営業確認済ステータス</t>
    <rPh sb="0" eb="2">
      <t>エイギョウ</t>
    </rPh>
    <rPh sb="2" eb="4">
      <t>カクニン</t>
    </rPh>
    <rPh sb="4" eb="5">
      <t>ズ</t>
    </rPh>
    <phoneticPr fontId="2"/>
  </si>
  <si>
    <t>UNJC0020_H_EIGYO_STS</t>
    <phoneticPr fontId="2"/>
  </si>
  <si>
    <t>入力者名▼</t>
    <phoneticPr fontId="2"/>
  </si>
  <si>
    <t>～</t>
    <phoneticPr fontId="2"/>
  </si>
  <si>
    <t>納品済ステータス</t>
    <rPh sb="0" eb="2">
      <t>ノウヒン</t>
    </rPh>
    <rPh sb="2" eb="3">
      <t>ズ</t>
    </rPh>
    <phoneticPr fontId="2"/>
  </si>
  <si>
    <t>UNJC0020_H_NOHIN_STS</t>
    <phoneticPr fontId="2"/>
  </si>
  <si>
    <t>分析依頼保管ステータス</t>
    <rPh sb="0" eb="2">
      <t>ブンセキ</t>
    </rPh>
    <rPh sb="2" eb="4">
      <t>イライ</t>
    </rPh>
    <rPh sb="4" eb="6">
      <t>ホカン</t>
    </rPh>
    <phoneticPr fontId="2"/>
  </si>
  <si>
    <t>UNJC0020_H_BUNSEKI_HOKAN_STS</t>
    <phoneticPr fontId="2"/>
  </si>
  <si>
    <t>分析区分▼</t>
    <phoneticPr fontId="2"/>
  </si>
  <si>
    <t>訂正依頼受付ステータス</t>
    <rPh sb="0" eb="2">
      <t>テイセイ</t>
    </rPh>
    <rPh sb="2" eb="4">
      <t>イライ</t>
    </rPh>
    <rPh sb="4" eb="6">
      <t>ウケツケ</t>
    </rPh>
    <phoneticPr fontId="2"/>
  </si>
  <si>
    <t>UNJC0020_H_TEISEI_STS</t>
    <phoneticPr fontId="2"/>
  </si>
  <si>
    <t>中断ステータス</t>
    <rPh sb="0" eb="2">
      <t>チュウダン</t>
    </rPh>
    <phoneticPr fontId="2"/>
  </si>
  <si>
    <t>UNJC0020_H_CHUDAN_STS</t>
    <phoneticPr fontId="2"/>
  </si>
  <si>
    <t>中止ステータス</t>
    <rPh sb="0" eb="2">
      <t>チュウシ</t>
    </rPh>
    <phoneticPr fontId="2"/>
  </si>
  <si>
    <t>UNJC0020_H_CHUSHI_STS</t>
    <phoneticPr fontId="2"/>
  </si>
  <si>
    <t>報告書宛名▽</t>
    <rPh sb="0" eb="2">
      <t>ホウコク</t>
    </rPh>
    <rPh sb="2" eb="3">
      <t>ショ</t>
    </rPh>
    <rPh sb="3" eb="5">
      <t>アテナ</t>
    </rPh>
    <phoneticPr fontId="2"/>
  </si>
  <si>
    <t>フリーワード検索条件</t>
    <rPh sb="6" eb="8">
      <t>ケンサク</t>
    </rPh>
    <rPh sb="8" eb="10">
      <t>ジョウケン</t>
    </rPh>
    <phoneticPr fontId="2"/>
  </si>
  <si>
    <t>UNJC0020_H_FREEWD_KBN</t>
    <phoneticPr fontId="2"/>
  </si>
  <si>
    <t>削除済表示フラグ</t>
    <rPh sb="0" eb="2">
      <t>サクジョ</t>
    </rPh>
    <rPh sb="2" eb="3">
      <t>ズ</t>
    </rPh>
    <rPh sb="3" eb="5">
      <t>ヒョウジ</t>
    </rPh>
    <phoneticPr fontId="2"/>
  </si>
  <si>
    <t>UNJC0020_H_DEL_HYOJI_FLG</t>
    <phoneticPr fontId="2"/>
  </si>
  <si>
    <t>試料種類：</t>
    <rPh sb="0" eb="2">
      <t>シリョウ</t>
    </rPh>
    <rPh sb="2" eb="4">
      <t>シュルイ</t>
    </rPh>
    <phoneticPr fontId="2"/>
  </si>
  <si>
    <t>試料名▽</t>
    <rPh sb="0" eb="2">
      <t>シリョウ</t>
    </rPh>
    <rPh sb="2" eb="3">
      <t>メイ</t>
    </rPh>
    <phoneticPr fontId="2"/>
  </si>
  <si>
    <t>報告書形式</t>
    <rPh sb="0" eb="3">
      <t>ホウコクショ</t>
    </rPh>
    <rPh sb="3" eb="5">
      <t>ケイシキ</t>
    </rPh>
    <phoneticPr fontId="2"/>
  </si>
  <si>
    <t>UNJC0020_H_KEISHIKI_KBN</t>
    <phoneticPr fontId="2"/>
  </si>
  <si>
    <t>分析項目群名▼</t>
    <rPh sb="0" eb="2">
      <t>ブンセキ</t>
    </rPh>
    <rPh sb="2" eb="4">
      <t>コウモク</t>
    </rPh>
    <rPh sb="4" eb="5">
      <t>グン</t>
    </rPh>
    <rPh sb="5" eb="6">
      <t>メイ</t>
    </rPh>
    <phoneticPr fontId="2"/>
  </si>
  <si>
    <t>UNJC0020_H_SEIKYUSAKI_MEI</t>
    <phoneticPr fontId="2"/>
  </si>
  <si>
    <t>UNJC0020_H_NYURYOKUSHA_CD</t>
    <phoneticPr fontId="2"/>
  </si>
  <si>
    <t>フリーワード：</t>
    <phoneticPr fontId="2"/>
  </si>
  <si>
    <t>UNJC0020_H_EIGYO_TANTO_CD</t>
    <phoneticPr fontId="2"/>
  </si>
  <si>
    <t>分析区分KBN</t>
    <rPh sb="0" eb="2">
      <t>ブンセキ</t>
    </rPh>
    <rPh sb="2" eb="4">
      <t>クブン</t>
    </rPh>
    <phoneticPr fontId="2"/>
  </si>
  <si>
    <t>UNJC0020_H_BUNSEKIKUBUN_KBN</t>
    <phoneticPr fontId="2"/>
  </si>
  <si>
    <t>伝票発行状態_KBN</t>
    <rPh sb="0" eb="2">
      <t>デンピョウ</t>
    </rPh>
    <rPh sb="2" eb="4">
      <t>ハッコウ</t>
    </rPh>
    <rPh sb="4" eb="6">
      <t>ジョウタイ</t>
    </rPh>
    <phoneticPr fontId="2"/>
  </si>
  <si>
    <t>UNJC0020_H_DEMPYO_HAKKO_JOTAI_KBN</t>
    <phoneticPr fontId="2"/>
  </si>
  <si>
    <t>分析項目群CD</t>
    <rPh sb="0" eb="2">
      <t>ブンセキ</t>
    </rPh>
    <rPh sb="2" eb="4">
      <t>コウモク</t>
    </rPh>
    <rPh sb="4" eb="5">
      <t>グン</t>
    </rPh>
    <phoneticPr fontId="2"/>
  </si>
  <si>
    <t>UNJC0020_H_BUNSEKIKOMOKUGUN_KBN</t>
    <phoneticPr fontId="2"/>
  </si>
  <si>
    <t/>
  </si>
  <si>
    <t>UNJC0020_H_HIDE_COLUMN</t>
    <phoneticPr fontId="2"/>
  </si>
  <si>
    <t>■画面初期化マクロ用</t>
    <rPh sb="1" eb="3">
      <t>ガメン</t>
    </rPh>
    <rPh sb="3" eb="6">
      <t>ショキカ</t>
    </rPh>
    <rPh sb="9" eb="10">
      <t>ヨウ</t>
    </rPh>
    <phoneticPr fontId="2"/>
  </si>
  <si>
    <t>見積Noスタート</t>
    <rPh sb="0" eb="2">
      <t>ミツモリ</t>
    </rPh>
    <phoneticPr fontId="2"/>
  </si>
  <si>
    <t>UNMT0010_H_MITSUMORI_NO_START_NUM</t>
  </si>
  <si>
    <t>■検索範囲制御</t>
    <rPh sb="1" eb="3">
      <t>ケンサク</t>
    </rPh>
    <rPh sb="3" eb="5">
      <t>ハンイ</t>
    </rPh>
    <rPh sb="5" eb="7">
      <t>セイギョ</t>
    </rPh>
    <phoneticPr fontId="2"/>
  </si>
  <si>
    <t>見積Noエンド</t>
    <rPh sb="0" eb="2">
      <t>ミツモリ</t>
    </rPh>
    <phoneticPr fontId="2"/>
  </si>
  <si>
    <t>UNMT0010_H_MITSUMORI_NO_END_NUM</t>
  </si>
  <si>
    <t>見積No最小範囲</t>
    <rPh sb="0" eb="2">
      <t>ミツモリ</t>
    </rPh>
    <rPh sb="4" eb="6">
      <t>サイショウ</t>
    </rPh>
    <rPh sb="6" eb="8">
      <t>ハンイ</t>
    </rPh>
    <phoneticPr fontId="2"/>
  </si>
  <si>
    <t>UNMT0010_H_MITSUMORI_NO_MIN</t>
  </si>
  <si>
    <t>見積No最大範囲</t>
    <rPh sb="0" eb="2">
      <t>ミツモリ</t>
    </rPh>
    <rPh sb="4" eb="6">
      <t>サイダイ</t>
    </rPh>
    <rPh sb="6" eb="8">
      <t>ハンイ</t>
    </rPh>
    <phoneticPr fontId="2"/>
  </si>
  <si>
    <t>UNMT0010_H_MITSUMORI_NO_MAX</t>
  </si>
  <si>
    <t>ステータス</t>
    <phoneticPr fontId="2"/>
  </si>
  <si>
    <t>分析区分</t>
    <rPh sb="0" eb="2">
      <t>ブンセキ</t>
    </rPh>
    <rPh sb="2" eb="4">
      <t>クブン</t>
    </rPh>
    <phoneticPr fontId="2"/>
  </si>
  <si>
    <t>入力者名</t>
    <phoneticPr fontId="2"/>
  </si>
  <si>
    <t>入力日</t>
    <rPh sb="0" eb="2">
      <t>ニュウリョク</t>
    </rPh>
    <rPh sb="2" eb="3">
      <t>ヒ</t>
    </rPh>
    <phoneticPr fontId="2"/>
  </si>
  <si>
    <t>依頼日/受付日</t>
    <rPh sb="0" eb="2">
      <t>イライ</t>
    </rPh>
    <rPh sb="2" eb="3">
      <t>ビ</t>
    </rPh>
    <rPh sb="4" eb="7">
      <t>ウケツケビ</t>
    </rPh>
    <phoneticPr fontId="2"/>
  </si>
  <si>
    <t>中間報告日①</t>
    <rPh sb="0" eb="2">
      <t>チュウカン</t>
    </rPh>
    <rPh sb="2" eb="4">
      <t>ホウコク</t>
    </rPh>
    <rPh sb="4" eb="5">
      <t>ビ</t>
    </rPh>
    <phoneticPr fontId="2"/>
  </si>
  <si>
    <t>中間報告日②</t>
    <rPh sb="0" eb="2">
      <t>チュウカン</t>
    </rPh>
    <rPh sb="2" eb="4">
      <t>ホウコク</t>
    </rPh>
    <rPh sb="4" eb="5">
      <t>ビ</t>
    </rPh>
    <phoneticPr fontId="2"/>
  </si>
  <si>
    <t>中間報告日③</t>
    <rPh sb="0" eb="2">
      <t>チュウカン</t>
    </rPh>
    <rPh sb="2" eb="4">
      <t>ホウコク</t>
    </rPh>
    <rPh sb="4" eb="5">
      <t>ビ</t>
    </rPh>
    <phoneticPr fontId="2"/>
  </si>
  <si>
    <t>報告書完成日</t>
    <rPh sb="0" eb="3">
      <t>ホウコクショ</t>
    </rPh>
    <rPh sb="3" eb="5">
      <t>カンセイ</t>
    </rPh>
    <rPh sb="5" eb="6">
      <t>ビ</t>
    </rPh>
    <phoneticPr fontId="2"/>
  </si>
  <si>
    <t>報告書宛名CD</t>
    <rPh sb="0" eb="3">
      <t>ホウコクショ</t>
    </rPh>
    <rPh sb="3" eb="5">
      <t>アテナ</t>
    </rPh>
    <phoneticPr fontId="2"/>
  </si>
  <si>
    <t>報告書宛名</t>
    <rPh sb="0" eb="3">
      <t>ホウコクショ</t>
    </rPh>
    <rPh sb="3" eb="5">
      <t>アテナ</t>
    </rPh>
    <phoneticPr fontId="2"/>
  </si>
  <si>
    <t>報告書形式区分コード</t>
    <rPh sb="0" eb="3">
      <t>ホウコクショ</t>
    </rPh>
    <rPh sb="3" eb="5">
      <t>ケイシキ</t>
    </rPh>
    <rPh sb="5" eb="7">
      <t>クブン</t>
    </rPh>
    <phoneticPr fontId="2"/>
  </si>
  <si>
    <t>分析ステータス区分コード</t>
    <rPh sb="0" eb="2">
      <t>ブンセキ</t>
    </rPh>
    <rPh sb="7" eb="9">
      <t>クブン</t>
    </rPh>
    <phoneticPr fontId="2"/>
  </si>
  <si>
    <t>分析区分コード</t>
    <rPh sb="0" eb="2">
      <t>ブンセキ</t>
    </rPh>
    <rPh sb="2" eb="4">
      <t>クブン</t>
    </rPh>
    <phoneticPr fontId="2"/>
  </si>
  <si>
    <t>フリーワード検索</t>
    <rPh sb="6" eb="8">
      <t>ケンサク</t>
    </rPh>
    <phoneticPr fontId="2"/>
  </si>
  <si>
    <t>■ 定義</t>
    <rPh sb="2" eb="4">
      <t>テイギ</t>
    </rPh>
    <phoneticPr fontId="2"/>
  </si>
  <si>
    <t>最大行数</t>
    <rPh sb="0" eb="2">
      <t>サイダイ</t>
    </rPh>
    <rPh sb="2" eb="4">
      <t>ギョウスウ</t>
    </rPh>
    <phoneticPr fontId="2"/>
  </si>
  <si>
    <t>UNJC0020_B_CTRL_HYOJI_GYO_SU</t>
    <phoneticPr fontId="2"/>
  </si>
  <si>
    <t>■表示用変数</t>
    <rPh sb="1" eb="4">
      <t>ヒョウジヨウ</t>
    </rPh>
    <rPh sb="4" eb="6">
      <t>ヘンスウ</t>
    </rPh>
    <phoneticPr fontId="2"/>
  </si>
  <si>
    <t>UNJC0020_B_KENSAKU_KENSU</t>
    <phoneticPr fontId="2"/>
  </si>
  <si>
    <t>UNJC0020_B_PAGE_NO</t>
    <phoneticPr fontId="2"/>
  </si>
  <si>
    <t>UNJC0020_B_ALL_PAGE_SU</t>
    <phoneticPr fontId="2"/>
  </si>
  <si>
    <t>UNJC0020_B_HYOJI_KENSU</t>
    <phoneticPr fontId="2"/>
  </si>
  <si>
    <t>UNJC0020_B_LIST_START</t>
    <phoneticPr fontId="2"/>
  </si>
  <si>
    <t>UNJC0020_B_COPY_SAKI</t>
    <phoneticPr fontId="2"/>
  </si>
  <si>
    <t>UNJC0020_B_LIST_CLEAR</t>
    <phoneticPr fontId="2"/>
  </si>
  <si>
    <t>1:件数1以上 / 2:件数0</t>
    <rPh sb="2" eb="4">
      <t>ケンスウ</t>
    </rPh>
    <rPh sb="5" eb="7">
      <t>イジョウ</t>
    </rPh>
    <rPh sb="12" eb="14">
      <t>ケンスウ</t>
    </rPh>
    <phoneticPr fontId="2"/>
  </si>
  <si>
    <t>検索件数0時のエラー回避用</t>
    <rPh sb="0" eb="2">
      <t>ケンサク</t>
    </rPh>
    <rPh sb="2" eb="4">
      <t>ケンスウ</t>
    </rPh>
    <rPh sb="5" eb="6">
      <t>ジ</t>
    </rPh>
    <rPh sb="10" eb="12">
      <t>カイヒ</t>
    </rPh>
    <rPh sb="12" eb="13">
      <t>ヨウ</t>
    </rPh>
    <phoneticPr fontId="2"/>
  </si>
  <si>
    <t>UNJC0020_B_FORMAT_COPY_FLG</t>
    <phoneticPr fontId="2"/>
  </si>
  <si>
    <t>■ページ移動用変数</t>
    <rPh sb="4" eb="6">
      <t>イドウ</t>
    </rPh>
    <rPh sb="6" eb="7">
      <t>ヨウ</t>
    </rPh>
    <rPh sb="7" eb="9">
      <t>ヘンスウ</t>
    </rPh>
    <phoneticPr fontId="2"/>
  </si>
  <si>
    <t>1:あり / 2:なし</t>
  </si>
  <si>
    <t>次ページ移動判断</t>
    <rPh sb="0" eb="1">
      <t>ツギ</t>
    </rPh>
    <rPh sb="4" eb="6">
      <t>イドウ</t>
    </rPh>
    <rPh sb="6" eb="8">
      <t>ハンダン</t>
    </rPh>
    <phoneticPr fontId="2"/>
  </si>
  <si>
    <t>UNJC0020_B_EXIST_NEXT_PAGE</t>
    <phoneticPr fontId="2"/>
  </si>
  <si>
    <t>前ページ移動判断</t>
    <rPh sb="0" eb="1">
      <t>マエ</t>
    </rPh>
    <rPh sb="4" eb="6">
      <t>イドウ</t>
    </rPh>
    <rPh sb="6" eb="8">
      <t>ハンダン</t>
    </rPh>
    <phoneticPr fontId="2"/>
  </si>
  <si>
    <t>UNJC0020_B_EXIST_PREV_PAGE</t>
    <phoneticPr fontId="2"/>
  </si>
  <si>
    <t>UNJC0020_B_NEXT_PAGE_NO</t>
    <phoneticPr fontId="2"/>
  </si>
  <si>
    <t>UNJC0020_B_PREV_PAGE_NO</t>
    <phoneticPr fontId="2"/>
  </si>
  <si>
    <t>■受注依頼入力遷移用変数</t>
    <rPh sb="1" eb="3">
      <t>ジュチュウ</t>
    </rPh>
    <rPh sb="3" eb="5">
      <t>イライ</t>
    </rPh>
    <rPh sb="5" eb="7">
      <t>ニュウリョク</t>
    </rPh>
    <rPh sb="7" eb="9">
      <t>センイ</t>
    </rPh>
    <rPh sb="9" eb="10">
      <t>ヨウ</t>
    </rPh>
    <rPh sb="10" eb="12">
      <t>ヘンスウ</t>
    </rPh>
    <phoneticPr fontId="2"/>
  </si>
  <si>
    <t>UNJC0020_B_SELECT_GYO_NO</t>
    <phoneticPr fontId="2"/>
  </si>
  <si>
    <t>選択受理No.</t>
    <rPh sb="0" eb="2">
      <t>センタク</t>
    </rPh>
    <rPh sb="2" eb="4">
      <t>ジュリ</t>
    </rPh>
    <phoneticPr fontId="2"/>
  </si>
  <si>
    <t>UNJC0020_B_SELECT_JURI_NO</t>
    <phoneticPr fontId="2"/>
  </si>
  <si>
    <t>０の場合、エラー表示</t>
    <rPh sb="2" eb="4">
      <t>バアイ</t>
    </rPh>
    <rPh sb="8" eb="10">
      <t>ヒョウジ</t>
    </rPh>
    <phoneticPr fontId="2"/>
  </si>
  <si>
    <t>UNJC0020_B_HIDE_ROW</t>
    <phoneticPr fontId="2"/>
  </si>
  <si>
    <t>UNJC0020_B_HIDE_COLUMN</t>
    <phoneticPr fontId="2"/>
  </si>
  <si>
    <t>UNJC0020_B_SCROLL_LOCK</t>
    <phoneticPr fontId="2"/>
  </si>
  <si>
    <t xml:space="preserve">【コピー元】   </t>
    <rPh sb="4" eb="5">
      <t>モト</t>
    </rPh>
    <phoneticPr fontId="2"/>
  </si>
  <si>
    <t>【ヘッダ初期化用】</t>
    <rPh sb="4" eb="7">
      <t>ショキカ</t>
    </rPh>
    <rPh sb="7" eb="8">
      <t>ヨウ</t>
    </rPh>
    <phoneticPr fontId="2"/>
  </si>
  <si>
    <t>【Excel出力用】</t>
    <rPh sb="6" eb="8">
      <t>シュツリョク</t>
    </rPh>
    <rPh sb="8" eb="9">
      <t>ヨウ</t>
    </rPh>
    <phoneticPr fontId="2"/>
  </si>
  <si>
    <t>入力日</t>
    <rPh sb="0" eb="2">
      <t>ニュウリョク</t>
    </rPh>
    <rPh sb="2" eb="3">
      <t>ビ</t>
    </rPh>
    <phoneticPr fontId="2"/>
  </si>
  <si>
    <t>フラグデータ初期化用</t>
    <rPh sb="6" eb="9">
      <t>ショキカ</t>
    </rPh>
    <rPh sb="9" eb="10">
      <t>ヨウ</t>
    </rPh>
    <phoneticPr fontId="2"/>
  </si>
  <si>
    <t>データ初期化用</t>
    <rPh sb="3" eb="6">
      <t>ショキカ</t>
    </rPh>
    <rPh sb="6" eb="7">
      <t>ヨウ</t>
    </rPh>
    <phoneticPr fontId="2"/>
  </si>
  <si>
    <t>リスト初期書式コピー範囲</t>
    <rPh sb="3" eb="5">
      <t>ショキ</t>
    </rPh>
    <rPh sb="5" eb="7">
      <t>ショシキ</t>
    </rPh>
    <rPh sb="10" eb="12">
      <t>ハンイ</t>
    </rPh>
    <phoneticPr fontId="2"/>
  </si>
  <si>
    <t>UNJC0020_IF_B_LIST_DEFAULT</t>
    <phoneticPr fontId="2"/>
  </si>
  <si>
    <t>UNJC0020_IF_INIT_HEADER_FLG_COPY_MOTO</t>
    <phoneticPr fontId="2"/>
  </si>
  <si>
    <t>UNJC0020_IF_PRINT_KENSAKU_KENSU</t>
    <phoneticPr fontId="2"/>
  </si>
  <si>
    <t>UNJC0020_IF_B_LIST_COPY_MOTO</t>
    <phoneticPr fontId="2"/>
  </si>
  <si>
    <t>＞</t>
    <phoneticPr fontId="2"/>
  </si>
  <si>
    <t>UNJC0020_IF_PRINT_LIST_START</t>
    <phoneticPr fontId="2"/>
  </si>
  <si>
    <t>受付確認</t>
  </si>
  <si>
    <t>確認2</t>
  </si>
  <si>
    <t>UNJC0020_IF_PRINT_COPY_SAKI</t>
    <phoneticPr fontId="2"/>
  </si>
  <si>
    <t>【処理用判定】</t>
    <rPh sb="1" eb="4">
      <t>ショリヨウ</t>
    </rPh>
    <rPh sb="4" eb="6">
      <t>ハンテイ</t>
    </rPh>
    <phoneticPr fontId="2"/>
  </si>
  <si>
    <t>営業確認済</t>
  </si>
  <si>
    <t>納品済</t>
  </si>
  <si>
    <t>分析依頼保管</t>
  </si>
  <si>
    <t>訂正依頼受付</t>
  </si>
  <si>
    <t>中断</t>
  </si>
  <si>
    <t>UNJC0020_IF_EXCEL_FILE_NAME</t>
    <phoneticPr fontId="2"/>
  </si>
  <si>
    <t>UNJC0020_IF_DATA_SEARCH_FLG</t>
    <phoneticPr fontId="2"/>
  </si>
  <si>
    <t>ON:1/OFF:1以外</t>
  </si>
  <si>
    <t>～</t>
    <phoneticPr fontId="2"/>
  </si>
  <si>
    <t>～</t>
    <phoneticPr fontId="2"/>
  </si>
  <si>
    <t>UNJC0020_IF_ACTIVE_SHEET</t>
    <phoneticPr fontId="2"/>
  </si>
  <si>
    <t>UNJC0020_IF_ACTIVE_ROW</t>
    <phoneticPr fontId="2"/>
  </si>
  <si>
    <t>UNJC0020_IF_ACTIVE_COLUMN</t>
    <phoneticPr fontId="2"/>
  </si>
  <si>
    <t>UNJC0020_IF_ACTIVE_CELL_NAME</t>
    <phoneticPr fontId="2"/>
  </si>
  <si>
    <t>【コンボボックス】</t>
    <phoneticPr fontId="2"/>
  </si>
  <si>
    <t>LIST_BUNSEKI_KBN_TENKAIICHI</t>
    <phoneticPr fontId="2"/>
  </si>
  <si>
    <t>LIST_DEMPYO_STS_TENKAIICHI</t>
    <phoneticPr fontId="2"/>
  </si>
  <si>
    <t>LIST_BUNSEKI_KBN_HOHO_KENSU</t>
    <phoneticPr fontId="2"/>
  </si>
  <si>
    <t>LIST_DEMPYO_STS_HOHO_KENSU</t>
    <phoneticPr fontId="2"/>
  </si>
  <si>
    <t>LIST_BUNSEKI_KBN_HOHO</t>
    <phoneticPr fontId="2"/>
  </si>
  <si>
    <t>「=OFFSET(LIST_BUNSEKI_KBN_TENKAIICHI,,,IF(LIST_BUNSEKI_KBN_HOHO_KENSU=0,1,LIST_BUNSEKI_KBN_HOHO_KENSU),1)」</t>
    <phoneticPr fontId="2"/>
  </si>
  <si>
    <t>　</t>
    <phoneticPr fontId="2"/>
  </si>
  <si>
    <t>LIST_DEMPYO_STS_HOHO</t>
    <phoneticPr fontId="2"/>
  </si>
  <si>
    <t>「=OFFSET(LIST_DEMPYO_STS_TENKAIICHI,,,IF(LIST_DEMPYO_STS_HOHO_KENSU=0,1,LIST_DEMPYO_STS_HOHO_KENSU),1)」</t>
    <phoneticPr fontId="2"/>
  </si>
  <si>
    <t xml:space="preserve"> </t>
    <phoneticPr fontId="2"/>
  </si>
  <si>
    <t>コード値</t>
    <rPh sb="3" eb="4">
      <t>チ</t>
    </rPh>
    <phoneticPr fontId="2"/>
  </si>
  <si>
    <t>値：名</t>
    <rPh sb="0" eb="1">
      <t>アタイ</t>
    </rPh>
    <rPh sb="2" eb="3">
      <t>メイ</t>
    </rPh>
    <phoneticPr fontId="2"/>
  </si>
  <si>
    <t>■検索条件</t>
    <rPh sb="1" eb="3">
      <t>ケンサク</t>
    </rPh>
    <rPh sb="3" eb="5">
      <t>ジョウケン</t>
    </rPh>
    <phoneticPr fontId="2"/>
  </si>
  <si>
    <t>UNJC0020_SQL_JOKEN_COPY_SAKI</t>
    <phoneticPr fontId="2"/>
  </si>
  <si>
    <t>UNJC0020_SQL_JOKEN_COPY_MOTO</t>
    <phoneticPr fontId="2"/>
  </si>
  <si>
    <t>テストデータ</t>
    <phoneticPr fontId="2"/>
  </si>
  <si>
    <t>初期化用</t>
    <rPh sb="0" eb="3">
      <t>ショキカ</t>
    </rPh>
    <rPh sb="3" eb="4">
      <t>ヨウ</t>
    </rPh>
    <phoneticPr fontId="2"/>
  </si>
  <si>
    <t>UNJC0020_SQL_KEISHIKI_KBN</t>
    <phoneticPr fontId="2"/>
  </si>
  <si>
    <t>UNJC0020_SQL_KAKUTEIMI_STS</t>
    <phoneticPr fontId="2"/>
  </si>
  <si>
    <t>------------</t>
    <phoneticPr fontId="2"/>
  </si>
  <si>
    <t>J15-020001</t>
    <phoneticPr fontId="2"/>
  </si>
  <si>
    <t>------------</t>
    <phoneticPr fontId="2"/>
  </si>
  <si>
    <t>M15-020001</t>
    <phoneticPr fontId="2"/>
  </si>
  <si>
    <t>依頼日/受付日</t>
    <rPh sb="0" eb="3">
      <t>イライビ</t>
    </rPh>
    <rPh sb="4" eb="7">
      <t>ウケツケビ</t>
    </rPh>
    <phoneticPr fontId="2"/>
  </si>
  <si>
    <t>中間報告日</t>
    <rPh sb="0" eb="2">
      <t>チュウカン</t>
    </rPh>
    <rPh sb="2" eb="4">
      <t>ホウコク</t>
    </rPh>
    <rPh sb="4" eb="5">
      <t>ビ</t>
    </rPh>
    <phoneticPr fontId="2"/>
  </si>
  <si>
    <t>UNJC0020_SQL_SHIRYO_SHURUI</t>
    <phoneticPr fontId="2"/>
  </si>
  <si>
    <t>UNJC0020_SQL_BUNSEKIKOMOKUGUN_KBN</t>
    <phoneticPr fontId="2"/>
  </si>
  <si>
    <t>UNJC0020_SQL_SHIRYO_MEI</t>
    <phoneticPr fontId="2"/>
  </si>
  <si>
    <t>AAA</t>
    <phoneticPr fontId="2"/>
  </si>
  <si>
    <t>UNJC0020_SQL_FREEWD_1</t>
    <phoneticPr fontId="2"/>
  </si>
  <si>
    <t>AAAA</t>
    <phoneticPr fontId="2"/>
  </si>
  <si>
    <t>UNJC0020_SQL_FREEWD_2</t>
    <phoneticPr fontId="2"/>
  </si>
  <si>
    <t>BB</t>
    <phoneticPr fontId="2"/>
  </si>
  <si>
    <t>UNJC0020_SQL_FREEWD_3</t>
    <phoneticPr fontId="2"/>
  </si>
  <si>
    <t>CCCCCC</t>
    <phoneticPr fontId="2"/>
  </si>
  <si>
    <t>UNJC0020_SQL_FREEWD_KBN</t>
    <phoneticPr fontId="2"/>
  </si>
  <si>
    <t>UNJC0020_SQL_DEL_HYOJI_FLG</t>
    <phoneticPr fontId="2"/>
  </si>
  <si>
    <t>分析依頼リスト
読込みSQL</t>
    <rPh sb="0" eb="2">
      <t>ブンセキ</t>
    </rPh>
    <rPh sb="2" eb="4">
      <t>イライ</t>
    </rPh>
    <rPh sb="8" eb="10">
      <t>ヨミコ</t>
    </rPh>
    <phoneticPr fontId="2"/>
  </si>
  <si>
    <t>UNJC0020_SQL_SELECT_BUN_JUCHU_LIST</t>
    <phoneticPr fontId="2"/>
  </si>
  <si>
    <t>分析依頼リスト
行数カウントSQL</t>
    <rPh sb="0" eb="4">
      <t>ブンセキイライ</t>
    </rPh>
    <rPh sb="8" eb="10">
      <t>ギョウスウ</t>
    </rPh>
    <phoneticPr fontId="2"/>
  </si>
  <si>
    <t>UNJC0020_SQL_SELECT_BUN_JUCHU_LIST_CNT</t>
    <phoneticPr fontId="2"/>
  </si>
  <si>
    <t>UNJC0020_SQL_PRINT_BUN_JUCHU_LIST</t>
    <phoneticPr fontId="2"/>
  </si>
  <si>
    <t>E27&amp;E29&amp;E30&amp;E31&amp;E32&amp;E33&amp;E34&amp;E35&amp;E36&amp;E37&amp;E43&amp;E47&amp;E48</t>
    <phoneticPr fontId="2"/>
  </si>
  <si>
    <t>分析依頼リスト読込みSQL
ベースコード</t>
    <rPh sb="0" eb="4">
      <t>ブンセキイライ</t>
    </rPh>
    <rPh sb="7" eb="9">
      <t>ヨミコ</t>
    </rPh>
    <phoneticPr fontId="2"/>
  </si>
  <si>
    <t xml:space="preserve">SELECT *
  FROM V_BUN_JUCHU_LIST
  WHERE 1=1
</t>
    <phoneticPr fontId="2"/>
  </si>
  <si>
    <t>分析依頼リスト
行数カウントSQL
ベースコード</t>
    <rPh sb="0" eb="4">
      <t>ブンセキイライ</t>
    </rPh>
    <rPh sb="8" eb="10">
      <t>ギョウスウ</t>
    </rPh>
    <phoneticPr fontId="2"/>
  </si>
  <si>
    <t xml:space="preserve">SELECT COUNT(*) AS CNT
  FROM V_BUN_JUCHU_LIST
  WHERE 1=1
</t>
    <phoneticPr fontId="2"/>
  </si>
  <si>
    <t>条件(報告書形式)</t>
    <rPh sb="0" eb="2">
      <t>ジョウケン</t>
    </rPh>
    <rPh sb="3" eb="6">
      <t>ホウコクショ</t>
    </rPh>
    <rPh sb="6" eb="8">
      <t>ケイシキ</t>
    </rPh>
    <phoneticPr fontId="2"/>
  </si>
  <si>
    <t>条件（ステータス）</t>
    <rPh sb="0" eb="2">
      <t>ジョウケン</t>
    </rPh>
    <phoneticPr fontId="2"/>
  </si>
  <si>
    <t>　├　確認未</t>
    <rPh sb="3" eb="5">
      <t>カクニン</t>
    </rPh>
    <rPh sb="5" eb="6">
      <t>ミ</t>
    </rPh>
    <phoneticPr fontId="2"/>
  </si>
  <si>
    <t>　├　受付確認</t>
    <rPh sb="3" eb="5">
      <t>ウケツケ</t>
    </rPh>
    <rPh sb="5" eb="7">
      <t>カクニン</t>
    </rPh>
    <phoneticPr fontId="2"/>
  </si>
  <si>
    <t>　├　中間報告済</t>
    <rPh sb="3" eb="5">
      <t>チュウカン</t>
    </rPh>
    <rPh sb="5" eb="7">
      <t>ホウコク</t>
    </rPh>
    <rPh sb="7" eb="8">
      <t>ズ</t>
    </rPh>
    <phoneticPr fontId="2"/>
  </si>
  <si>
    <t>　├　技術責任者確認</t>
    <rPh sb="3" eb="5">
      <t>ギジュツ</t>
    </rPh>
    <rPh sb="5" eb="8">
      <t>セキニンシャ</t>
    </rPh>
    <rPh sb="8" eb="10">
      <t>カクニン</t>
    </rPh>
    <phoneticPr fontId="2"/>
  </si>
  <si>
    <t>　├　確認2</t>
    <rPh sb="3" eb="5">
      <t>カクニン</t>
    </rPh>
    <phoneticPr fontId="2"/>
  </si>
  <si>
    <t>　├　速報送付済</t>
    <rPh sb="3" eb="5">
      <t>ソクホウ</t>
    </rPh>
    <rPh sb="5" eb="7">
      <t>ソウフ</t>
    </rPh>
    <rPh sb="7" eb="8">
      <t>ズ</t>
    </rPh>
    <phoneticPr fontId="2"/>
  </si>
  <si>
    <t>　├　営業確認済</t>
    <rPh sb="3" eb="5">
      <t>エイギョウ</t>
    </rPh>
    <rPh sb="5" eb="7">
      <t>カクニン</t>
    </rPh>
    <rPh sb="7" eb="8">
      <t>ズ</t>
    </rPh>
    <phoneticPr fontId="2"/>
  </si>
  <si>
    <t>　├　納品済</t>
    <rPh sb="3" eb="5">
      <t>ノウヒン</t>
    </rPh>
    <rPh sb="5" eb="6">
      <t>ズ</t>
    </rPh>
    <phoneticPr fontId="2"/>
  </si>
  <si>
    <t>　├　分析依頼保管</t>
    <rPh sb="3" eb="5">
      <t>ブンセキ</t>
    </rPh>
    <rPh sb="5" eb="7">
      <t>イライ</t>
    </rPh>
    <rPh sb="7" eb="9">
      <t>ホカン</t>
    </rPh>
    <phoneticPr fontId="2"/>
  </si>
  <si>
    <t>　</t>
    <phoneticPr fontId="2"/>
  </si>
  <si>
    <t>　├　訂正依頼受付</t>
    <rPh sb="3" eb="5">
      <t>テイセイ</t>
    </rPh>
    <rPh sb="5" eb="7">
      <t>イライ</t>
    </rPh>
    <rPh sb="7" eb="9">
      <t>ウケツケ</t>
    </rPh>
    <phoneticPr fontId="2"/>
  </si>
  <si>
    <t>　├　中断</t>
    <rPh sb="3" eb="5">
      <t>チュウダン</t>
    </rPh>
    <phoneticPr fontId="2"/>
  </si>
  <si>
    <t>　└　中止</t>
    <rPh sb="3" eb="5">
      <t>チュウシ</t>
    </rPh>
    <phoneticPr fontId="2"/>
  </si>
  <si>
    <t>条件(受理No.)</t>
    <rPh sb="0" eb="2">
      <t>ジョウケン</t>
    </rPh>
    <rPh sb="3" eb="5">
      <t>ジュリ</t>
    </rPh>
    <phoneticPr fontId="2"/>
  </si>
  <si>
    <t>条件(入力者)</t>
    <rPh sb="0" eb="2">
      <t>ジョウケン</t>
    </rPh>
    <rPh sb="3" eb="5">
      <t>ニュウリョク</t>
    </rPh>
    <rPh sb="5" eb="6">
      <t>シャ</t>
    </rPh>
    <phoneticPr fontId="2"/>
  </si>
  <si>
    <t>条件(営業担当者)</t>
    <rPh sb="0" eb="2">
      <t>ジョウケン</t>
    </rPh>
    <rPh sb="3" eb="5">
      <t>エイギョウ</t>
    </rPh>
    <rPh sb="5" eb="8">
      <t>タントウシャ</t>
    </rPh>
    <phoneticPr fontId="2"/>
  </si>
  <si>
    <t>条件(見積No)</t>
    <rPh sb="0" eb="2">
      <t>ジョウケン</t>
    </rPh>
    <rPh sb="3" eb="5">
      <t>ミツモリ</t>
    </rPh>
    <phoneticPr fontId="2"/>
  </si>
  <si>
    <t>条件(分析区分)</t>
    <rPh sb="0" eb="2">
      <t>ジョウケン</t>
    </rPh>
    <rPh sb="3" eb="5">
      <t>ブンセキ</t>
    </rPh>
    <rPh sb="5" eb="7">
      <t>クブン</t>
    </rPh>
    <phoneticPr fontId="2"/>
  </si>
  <si>
    <t>条件(入力日)</t>
    <rPh sb="0" eb="2">
      <t>ジョウケン</t>
    </rPh>
    <rPh sb="3" eb="5">
      <t>ニュウリョク</t>
    </rPh>
    <rPh sb="5" eb="6">
      <t>ビ</t>
    </rPh>
    <phoneticPr fontId="2"/>
  </si>
  <si>
    <t>条件(依頼日/受付日)</t>
    <rPh sb="0" eb="2">
      <t>ジョウケン</t>
    </rPh>
    <rPh sb="3" eb="6">
      <t>イライビ</t>
    </rPh>
    <rPh sb="7" eb="9">
      <t>ウケツケ</t>
    </rPh>
    <rPh sb="9" eb="10">
      <t>ビ</t>
    </rPh>
    <phoneticPr fontId="2"/>
  </si>
  <si>
    <t>☆条件(中間報告日)</t>
    <rPh sb="1" eb="3">
      <t>ジョウケン</t>
    </rPh>
    <rPh sb="4" eb="6">
      <t>チュウカン</t>
    </rPh>
    <rPh sb="6" eb="8">
      <t>ホウコク</t>
    </rPh>
    <rPh sb="8" eb="9">
      <t>ビ</t>
    </rPh>
    <phoneticPr fontId="2"/>
  </si>
  <si>
    <t xml:space="preserve">  ├ 中間報告日①</t>
    <rPh sb="4" eb="6">
      <t>チュウカン</t>
    </rPh>
    <rPh sb="6" eb="8">
      <t>ホウコク</t>
    </rPh>
    <rPh sb="8" eb="9">
      <t>ビ</t>
    </rPh>
    <phoneticPr fontId="2"/>
  </si>
  <si>
    <t>　├　中間報告日②</t>
    <phoneticPr fontId="2"/>
  </si>
  <si>
    <t>　└　中間報告日③</t>
    <phoneticPr fontId="2"/>
  </si>
  <si>
    <t>条件(報告書完成日)</t>
    <rPh sb="0" eb="2">
      <t>ジョウケン</t>
    </rPh>
    <rPh sb="3" eb="6">
      <t>ホウコクショ</t>
    </rPh>
    <rPh sb="6" eb="8">
      <t>カンセイ</t>
    </rPh>
    <rPh sb="8" eb="9">
      <t>ビ</t>
    </rPh>
    <phoneticPr fontId="2"/>
  </si>
  <si>
    <t>条件(納品日)</t>
    <rPh sb="0" eb="2">
      <t>ジョウケン</t>
    </rPh>
    <rPh sb="3" eb="6">
      <t>ノウヒンビ</t>
    </rPh>
    <phoneticPr fontId="2"/>
  </si>
  <si>
    <t>条件(報告書宛名)</t>
    <rPh sb="0" eb="2">
      <t>ジョウケン</t>
    </rPh>
    <rPh sb="3" eb="6">
      <t>ホウコクショ</t>
    </rPh>
    <rPh sb="6" eb="8">
      <t>アテナ</t>
    </rPh>
    <phoneticPr fontId="2"/>
  </si>
  <si>
    <t>条件(請求先）</t>
    <rPh sb="0" eb="2">
      <t>ジョウケン</t>
    </rPh>
    <rPh sb="3" eb="5">
      <t>セイキュウ</t>
    </rPh>
    <rPh sb="5" eb="6">
      <t>サキ</t>
    </rPh>
    <phoneticPr fontId="2"/>
  </si>
  <si>
    <t>条件(試料種類)</t>
    <rPh sb="0" eb="2">
      <t>ジョウケン</t>
    </rPh>
    <rPh sb="3" eb="5">
      <t>シリョウ</t>
    </rPh>
    <rPh sb="5" eb="7">
      <t>シュルイ</t>
    </rPh>
    <phoneticPr fontId="2"/>
  </si>
  <si>
    <t>条件(分析項目群)</t>
    <rPh sb="0" eb="2">
      <t>ジョウケン</t>
    </rPh>
    <rPh sb="3" eb="5">
      <t>ブンセキ</t>
    </rPh>
    <rPh sb="5" eb="7">
      <t>コウモク</t>
    </rPh>
    <rPh sb="7" eb="8">
      <t>グン</t>
    </rPh>
    <phoneticPr fontId="2"/>
  </si>
  <si>
    <t>☆条件(試料名)</t>
    <rPh sb="1" eb="3">
      <t>ジョウケン</t>
    </rPh>
    <rPh sb="4" eb="6">
      <t>シリョウ</t>
    </rPh>
    <rPh sb="6" eb="7">
      <t>メイ</t>
    </rPh>
    <phoneticPr fontId="2"/>
  </si>
  <si>
    <t>条件(フリーワード）</t>
    <rPh sb="0" eb="2">
      <t>ジョウケン</t>
    </rPh>
    <phoneticPr fontId="2"/>
  </si>
  <si>
    <t>条件：</t>
    <rPh sb="0" eb="2">
      <t>ジョウケン</t>
    </rPh>
    <phoneticPr fontId="2"/>
  </si>
  <si>
    <t xml:space="preserve"> ├ フリーワード1</t>
    <phoneticPr fontId="2"/>
  </si>
  <si>
    <t>UNJC0020_SQL_FREEWORD1</t>
    <phoneticPr fontId="2"/>
  </si>
  <si>
    <t xml:space="preserve"> ├ フリーワード2</t>
  </si>
  <si>
    <t>UNJC0020_SQL_FREEWORD2</t>
    <phoneticPr fontId="2"/>
  </si>
  <si>
    <t xml:space="preserve"> └ フリーワード3</t>
    <phoneticPr fontId="2"/>
  </si>
  <si>
    <t>UNJC0020_SQL_FREEWORD3</t>
    <phoneticPr fontId="2"/>
  </si>
  <si>
    <t>削除済み</t>
    <rPh sb="0" eb="2">
      <t>サクジョ</t>
    </rPh>
    <rPh sb="2" eb="3">
      <t>ズ</t>
    </rPh>
    <phoneticPr fontId="2"/>
  </si>
  <si>
    <t>並べ替え</t>
    <rPh sb="0" eb="1">
      <t>ナラ</t>
    </rPh>
    <rPh sb="2" eb="3">
      <t>カ</t>
    </rPh>
    <phoneticPr fontId="2"/>
  </si>
  <si>
    <t xml:space="preserve">
  ORDER BY V_BUN_JUCHU_LIST.JURI_NO ASC</t>
    <phoneticPr fontId="2"/>
  </si>
  <si>
    <t>ページング</t>
  </si>
  <si>
    <t>初期ORDER句
取得用SQL</t>
    <rPh sb="0" eb="2">
      <t>ショキ</t>
    </rPh>
    <rPh sb="7" eb="8">
      <t>ク</t>
    </rPh>
    <rPh sb="9" eb="11">
      <t>シュトク</t>
    </rPh>
    <rPh sb="11" eb="12">
      <t>ヨウ</t>
    </rPh>
    <phoneticPr fontId="2"/>
  </si>
  <si>
    <t>UNJC0020_SQL_INIT_SORT</t>
    <phoneticPr fontId="2"/>
  </si>
  <si>
    <t>見積検索結果並べ替え
ORDER句取得用SQL</t>
    <rPh sb="0" eb="2">
      <t>ミツモリ</t>
    </rPh>
    <rPh sb="2" eb="4">
      <t>ケンサク</t>
    </rPh>
    <rPh sb="4" eb="6">
      <t>ケッカ</t>
    </rPh>
    <rPh sb="6" eb="7">
      <t>ナラ</t>
    </rPh>
    <rPh sb="8" eb="9">
      <t>カ</t>
    </rPh>
    <rPh sb="16" eb="17">
      <t>ク</t>
    </rPh>
    <rPh sb="17" eb="19">
      <t>シュトク</t>
    </rPh>
    <rPh sb="19" eb="20">
      <t>ヨウ</t>
    </rPh>
    <phoneticPr fontId="2"/>
  </si>
  <si>
    <t>UNJC0020_SQL_RESULT_SORT</t>
    <phoneticPr fontId="2"/>
  </si>
  <si>
    <t xml:space="preserve">SELECT M_MEISHO_B.DATA_1        AS 並べ替え
           ,M_MEISHO_B.DATA_2        AS ORDER句
   FROM M_MEISHO_B
 WHERE M_MEISHO_B.MEISHO_KBN = 'O301'
 ORDER BY M_MEISHO_B.SORT_NO ASC
      ,CAST(M_MEISHO_B.MEISHO_CD AS INT) ASC
   </t>
    <phoneticPr fontId="2"/>
  </si>
  <si>
    <t>■コンボボックス</t>
    <phoneticPr fontId="2"/>
  </si>
  <si>
    <t>分析区分
コンボボックス</t>
    <rPh sb="0" eb="2">
      <t>ブンセキ</t>
    </rPh>
    <rPh sb="2" eb="4">
      <t>クブン</t>
    </rPh>
    <phoneticPr fontId="2"/>
  </si>
  <si>
    <t>UNJC0020_SQL_BUNSEKI_KBN_LIST</t>
    <phoneticPr fontId="2"/>
  </si>
  <si>
    <t>SELECT * 
  FROM V_JUCHU_MEISHO_BUNSEKI_KBN</t>
    <phoneticPr fontId="2"/>
  </si>
  <si>
    <t>伝票発行
コンボボックス</t>
    <rPh sb="0" eb="2">
      <t>デンピョウ</t>
    </rPh>
    <rPh sb="2" eb="4">
      <t>ハッコウ</t>
    </rPh>
    <phoneticPr fontId="2"/>
  </si>
  <si>
    <t>UNJC0020_SQL_DEMPYO_HAKKO_LIST</t>
    <phoneticPr fontId="2"/>
  </si>
  <si>
    <t>SELECT * 
  FROM V_JUCHU_MEISHO_DEMPYO_HAKKO</t>
    <phoneticPr fontId="2"/>
  </si>
  <si>
    <t>分析依頼入力</t>
    <rPh sb="0" eb="2">
      <t>ブンセキ</t>
    </rPh>
    <rPh sb="2" eb="4">
      <t>イライ</t>
    </rPh>
    <rPh sb="4" eb="6">
      <t>ニュウリョク</t>
    </rPh>
    <rPh sb="5" eb="6">
      <t>ウケイレ</t>
    </rPh>
    <phoneticPr fontId="2"/>
  </si>
  <si>
    <t>フラグコピー先</t>
    <rPh sb="6" eb="7">
      <t>サキ</t>
    </rPh>
    <phoneticPr fontId="2"/>
  </si>
  <si>
    <t>UNJC0030_H_FLG_COPY_SAKI</t>
    <phoneticPr fontId="2"/>
  </si>
  <si>
    <t>↓ここから</t>
    <phoneticPr fontId="2"/>
  </si>
  <si>
    <t>ステータスCD</t>
    <phoneticPr fontId="2"/>
  </si>
  <si>
    <t>UNJC0030_H_STATUS_CD</t>
  </si>
  <si>
    <t>分析区分▼</t>
  </si>
  <si>
    <t>受理No.：</t>
  </si>
  <si>
    <t>分析担当部署CD</t>
    <rPh sb="0" eb="2">
      <t>ブンセキ</t>
    </rPh>
    <rPh sb="2" eb="4">
      <t>タントウ</t>
    </rPh>
    <rPh sb="4" eb="6">
      <t>ブショ</t>
    </rPh>
    <phoneticPr fontId="2"/>
  </si>
  <si>
    <t>UNJC0030_H_BUNSEKI_TANTO_BUSHO_CD</t>
    <phoneticPr fontId="2"/>
  </si>
  <si>
    <t>分析担当部署名▼</t>
  </si>
  <si>
    <t>入力日時：</t>
  </si>
  <si>
    <t>UNJC0030_H_NYURYOKUSHA_CD</t>
    <phoneticPr fontId="2"/>
  </si>
  <si>
    <t>見積No.▼</t>
  </si>
  <si>
    <t>分析区分CD</t>
    <rPh sb="0" eb="2">
      <t>ブンセキ</t>
    </rPh>
    <rPh sb="2" eb="4">
      <t>クブン</t>
    </rPh>
    <phoneticPr fontId="2"/>
  </si>
  <si>
    <t>UNJC0030_H_BUNSEKI_KBN_CD</t>
    <phoneticPr fontId="2"/>
  </si>
  <si>
    <t>UNJC0030_H_DEMPYO_HAKKO_KBN_CD</t>
    <phoneticPr fontId="2"/>
  </si>
  <si>
    <t>報告書宛名▽</t>
  </si>
  <si>
    <t>前回ステータス変更日時：</t>
    <rPh sb="0" eb="2">
      <t>ゼンカイ</t>
    </rPh>
    <rPh sb="7" eb="9">
      <t>ヘンコウ</t>
    </rPh>
    <rPh sb="9" eb="11">
      <t>ニチジ</t>
    </rPh>
    <phoneticPr fontId="2"/>
  </si>
  <si>
    <t>UNJC0030_H_EIGYO_TANTO_CD</t>
    <phoneticPr fontId="2"/>
  </si>
  <si>
    <t>前回ステータス変更者：</t>
    <rPh sb="0" eb="2">
      <t>ゼンカイ</t>
    </rPh>
    <rPh sb="7" eb="9">
      <t>ヘンコウ</t>
    </rPh>
    <rPh sb="9" eb="10">
      <t>シャ</t>
    </rPh>
    <phoneticPr fontId="2"/>
  </si>
  <si>
    <t>報告書形式区分</t>
    <rPh sb="0" eb="3">
      <t>ホウコクショ</t>
    </rPh>
    <rPh sb="3" eb="5">
      <t>ケイシキ</t>
    </rPh>
    <rPh sb="5" eb="7">
      <t>クブン</t>
    </rPh>
    <phoneticPr fontId="2"/>
  </si>
  <si>
    <t>UNJC0030_H_HOKOKUSHO_KEISHIKI_KBN_CD</t>
    <phoneticPr fontId="2"/>
  </si>
  <si>
    <t>報告書完成日/速報日▼</t>
  </si>
  <si>
    <t>速報区分CD</t>
    <rPh sb="0" eb="2">
      <t>ソクホウ</t>
    </rPh>
    <rPh sb="2" eb="4">
      <t>クブン</t>
    </rPh>
    <phoneticPr fontId="2"/>
  </si>
  <si>
    <t>UNJC0030_H_SOKUHO_KBN_CD</t>
    <phoneticPr fontId="2"/>
  </si>
  <si>
    <t>報告書形式▼</t>
    <phoneticPr fontId="2"/>
  </si>
  <si>
    <t>速報▼</t>
  </si>
  <si>
    <t>報告書外装区分CD</t>
    <rPh sb="0" eb="3">
      <t>ホウコクショ</t>
    </rPh>
    <rPh sb="3" eb="5">
      <t>ガイソウ</t>
    </rPh>
    <rPh sb="5" eb="7">
      <t>クブン</t>
    </rPh>
    <phoneticPr fontId="2"/>
  </si>
  <si>
    <t>UNJC0030_H_HOKOKU_GAISO_KBN_CD</t>
    <phoneticPr fontId="2"/>
  </si>
  <si>
    <t>納品方法実績▽</t>
    <phoneticPr fontId="2"/>
  </si>
  <si>
    <t>報告方法区分CD</t>
    <rPh sb="0" eb="2">
      <t>ホウコク</t>
    </rPh>
    <rPh sb="2" eb="4">
      <t>ホウホウ</t>
    </rPh>
    <rPh sb="4" eb="6">
      <t>クブン</t>
    </rPh>
    <phoneticPr fontId="2"/>
  </si>
  <si>
    <t>UNJC0030_H_HOKOKU_HOHO_KBN_CD</t>
    <phoneticPr fontId="2"/>
  </si>
  <si>
    <t>営業確認不要フラグ</t>
    <rPh sb="0" eb="2">
      <t>エイギョウ</t>
    </rPh>
    <rPh sb="2" eb="4">
      <t>カクニン</t>
    </rPh>
    <rPh sb="4" eb="6">
      <t>フヨウ</t>
    </rPh>
    <phoneticPr fontId="2"/>
  </si>
  <si>
    <t>UNJC0030_H_EIGYO_FUYO_FLG</t>
    <phoneticPr fontId="2"/>
  </si>
  <si>
    <t>フラグ範囲</t>
    <rPh sb="3" eb="5">
      <t>ハンイ</t>
    </rPh>
    <phoneticPr fontId="2"/>
  </si>
  <si>
    <t>件名：</t>
  </si>
  <si>
    <t>新規フラグ</t>
    <rPh sb="0" eb="2">
      <t>シンキ</t>
    </rPh>
    <phoneticPr fontId="2"/>
  </si>
  <si>
    <t>UNJC0030_H_SHINKI_FLG</t>
    <phoneticPr fontId="2"/>
  </si>
  <si>
    <t>UNJC0030_H_FLG_AREA</t>
    <phoneticPr fontId="2"/>
  </si>
  <si>
    <t>目的：</t>
  </si>
  <si>
    <t>記載内容変更予定フラグ</t>
    <rPh sb="0" eb="2">
      <t>キサイ</t>
    </rPh>
    <rPh sb="2" eb="4">
      <t>ナイヨウ</t>
    </rPh>
    <rPh sb="4" eb="6">
      <t>ヘンコウ</t>
    </rPh>
    <rPh sb="6" eb="8">
      <t>ヨテイ</t>
    </rPh>
    <phoneticPr fontId="2"/>
  </si>
  <si>
    <t>UNJC0030_H_HENKOYOTEI_FLG</t>
    <phoneticPr fontId="2"/>
  </si>
  <si>
    <t>報告書記載事項：</t>
  </si>
  <si>
    <t>枝番試料フラグ</t>
    <rPh sb="0" eb="1">
      <t>エダ</t>
    </rPh>
    <rPh sb="1" eb="2">
      <t>バン</t>
    </rPh>
    <rPh sb="2" eb="4">
      <t>シリョウ</t>
    </rPh>
    <phoneticPr fontId="2"/>
  </si>
  <si>
    <t>UNJC0030_H_EDA_FLG</t>
    <phoneticPr fontId="2"/>
  </si>
  <si>
    <t>報告書所見フラグ</t>
    <rPh sb="0" eb="3">
      <t>ホウコクショ</t>
    </rPh>
    <rPh sb="3" eb="5">
      <t>ショケン</t>
    </rPh>
    <phoneticPr fontId="2"/>
  </si>
  <si>
    <t>UNJC0030_H_HOKOKU_SHOKEN_FLG</t>
    <phoneticPr fontId="2"/>
  </si>
  <si>
    <t xml:space="preserve">     枝番ごとに試料情報登録：</t>
    <phoneticPr fontId="2"/>
  </si>
  <si>
    <t>←試料領域</t>
    <rPh sb="1" eb="3">
      <t>シリョウ</t>
    </rPh>
    <rPh sb="3" eb="5">
      <t>リョウイキ</t>
    </rPh>
    <phoneticPr fontId="2"/>
  </si>
  <si>
    <t>↑ここまで</t>
    <phoneticPr fontId="2"/>
  </si>
  <si>
    <t>採取会社名：</t>
  </si>
  <si>
    <t>天候：</t>
  </si>
  <si>
    <t>UNJC0030_H_SHIRYO_AREA</t>
    <phoneticPr fontId="2"/>
  </si>
  <si>
    <t>採取者名：</t>
  </si>
  <si>
    <t>気温：</t>
  </si>
  <si>
    <t>UNJC0030_H_HIDE_ROW</t>
    <phoneticPr fontId="2"/>
  </si>
  <si>
    <t>採取方法▽</t>
  </si>
  <si>
    <t>水温：</t>
  </si>
  <si>
    <t>UNJC0030_H_HIDE_COLUMN</t>
    <phoneticPr fontId="2"/>
  </si>
  <si>
    <t>採取場所：</t>
  </si>
  <si>
    <t>採取時間：</t>
  </si>
  <si>
    <t>報告書所見：</t>
  </si>
  <si>
    <t>容器種類：</t>
  </si>
  <si>
    <t>報告書外装▼</t>
  </si>
  <si>
    <t>試料・容器返却▽</t>
  </si>
  <si>
    <t>発行部数：</t>
  </si>
  <si>
    <t>中間報告日</t>
  </si>
  <si>
    <t>中間報告内容</t>
  </si>
  <si>
    <t>報告方法▼</t>
  </si>
  <si>
    <t>１回目▼</t>
  </si>
  <si>
    <t>備考：</t>
  </si>
  <si>
    <t>報告先リスト：</t>
    <rPh sb="0" eb="2">
      <t>ホウコク</t>
    </rPh>
    <rPh sb="2" eb="3">
      <t>サキ</t>
    </rPh>
    <phoneticPr fontId="2"/>
  </si>
  <si>
    <t>報告先CD</t>
    <rPh sb="0" eb="2">
      <t>ホウコク</t>
    </rPh>
    <rPh sb="2" eb="3">
      <t>サキ</t>
    </rPh>
    <phoneticPr fontId="2"/>
  </si>
  <si>
    <t>部署</t>
    <rPh sb="0" eb="2">
      <t>ブショ</t>
    </rPh>
    <phoneticPr fontId="2"/>
  </si>
  <si>
    <t>FAX</t>
    <phoneticPr fontId="2"/>
  </si>
  <si>
    <t>E-MAIL</t>
    <phoneticPr fontId="2"/>
  </si>
  <si>
    <t>郵便番号</t>
    <rPh sb="0" eb="2">
      <t>ユウビン</t>
    </rPh>
    <rPh sb="2" eb="4">
      <t>バンゴウ</t>
    </rPh>
    <phoneticPr fontId="2"/>
  </si>
  <si>
    <t>中間報告送付フラグ</t>
    <rPh sb="0" eb="2">
      <t>チュウカン</t>
    </rPh>
    <rPh sb="2" eb="4">
      <t>ホウコク</t>
    </rPh>
    <rPh sb="4" eb="6">
      <t>ソウフ</t>
    </rPh>
    <phoneticPr fontId="2"/>
  </si>
  <si>
    <t>速報送付フラグ</t>
    <rPh sb="0" eb="2">
      <t>ソクホウ</t>
    </rPh>
    <rPh sb="2" eb="4">
      <t>ソウフ</t>
    </rPh>
    <phoneticPr fontId="2"/>
  </si>
  <si>
    <t>報告書送付フラグ</t>
    <rPh sb="0" eb="3">
      <t>ホウコクショ</t>
    </rPh>
    <rPh sb="3" eb="5">
      <t>ソウフ</t>
    </rPh>
    <phoneticPr fontId="2"/>
  </si>
  <si>
    <t>中間報告送付</t>
    <rPh sb="0" eb="2">
      <t>チュウカン</t>
    </rPh>
    <rPh sb="2" eb="4">
      <t>ホウコク</t>
    </rPh>
    <rPh sb="4" eb="6">
      <t>ソウフ</t>
    </rPh>
    <phoneticPr fontId="2"/>
  </si>
  <si>
    <t>速報送付</t>
    <rPh sb="0" eb="2">
      <t>ソクホウ</t>
    </rPh>
    <rPh sb="2" eb="4">
      <t>ソウフ</t>
    </rPh>
    <phoneticPr fontId="2"/>
  </si>
  <si>
    <t>報告書送付</t>
    <rPh sb="0" eb="3">
      <t>ホウコクショ</t>
    </rPh>
    <rPh sb="3" eb="5">
      <t>ソウフ</t>
    </rPh>
    <phoneticPr fontId="2"/>
  </si>
  <si>
    <t>問合せ先→</t>
    <rPh sb="0" eb="2">
      <t>トイアワ</t>
    </rPh>
    <rPh sb="3" eb="4">
      <t>サキ</t>
    </rPh>
    <phoneticPr fontId="2"/>
  </si>
  <si>
    <t>UNJC0030_B_HIDE_ROW</t>
    <phoneticPr fontId="2"/>
  </si>
  <si>
    <t>UNJC0030_B_HIDE_COLUMN</t>
    <phoneticPr fontId="2"/>
  </si>
  <si>
    <t>枝番：</t>
    <phoneticPr fontId="2"/>
  </si>
  <si>
    <t>←枝番試料領域</t>
    <rPh sb="1" eb="2">
      <t>エダ</t>
    </rPh>
    <rPh sb="2" eb="3">
      <t>バン</t>
    </rPh>
    <rPh sb="3" eb="5">
      <t>シリョウ</t>
    </rPh>
    <rPh sb="5" eb="7">
      <t>リョウイキ</t>
    </rPh>
    <phoneticPr fontId="2"/>
  </si>
  <si>
    <t>UNJC0030_B_EDA_SHIRYO_AREA</t>
    <phoneticPr fontId="2"/>
  </si>
  <si>
    <t>採取会社名：</t>
    <rPh sb="0" eb="2">
      <t>サイシュ</t>
    </rPh>
    <rPh sb="2" eb="5">
      <t>カイシャメイ</t>
    </rPh>
    <phoneticPr fontId="2"/>
  </si>
  <si>
    <t>天候：</t>
    <rPh sb="0" eb="2">
      <t>テンコウ</t>
    </rPh>
    <phoneticPr fontId="2"/>
  </si>
  <si>
    <t>採取者名：</t>
    <rPh sb="0" eb="2">
      <t>サイシュ</t>
    </rPh>
    <rPh sb="2" eb="3">
      <t>シャ</t>
    </rPh>
    <rPh sb="3" eb="4">
      <t>メイ</t>
    </rPh>
    <phoneticPr fontId="2"/>
  </si>
  <si>
    <t>気温：</t>
    <rPh sb="0" eb="2">
      <t>キオン</t>
    </rPh>
    <phoneticPr fontId="2"/>
  </si>
  <si>
    <t>次枝番号</t>
    <rPh sb="0" eb="1">
      <t>ツギ</t>
    </rPh>
    <rPh sb="1" eb="2">
      <t>エダ</t>
    </rPh>
    <rPh sb="2" eb="4">
      <t>バンゴウ</t>
    </rPh>
    <phoneticPr fontId="2"/>
  </si>
  <si>
    <t>UNJC0030_B_SET_EDA_NEXT_NO</t>
    <phoneticPr fontId="2"/>
  </si>
  <si>
    <t>採取方法▽</t>
    <rPh sb="0" eb="2">
      <t>サイシュ</t>
    </rPh>
    <rPh sb="2" eb="4">
      <t>ホウホウ</t>
    </rPh>
    <phoneticPr fontId="2"/>
  </si>
  <si>
    <t>水温：</t>
    <rPh sb="0" eb="2">
      <t>スイオン</t>
    </rPh>
    <phoneticPr fontId="2"/>
  </si>
  <si>
    <t>前枝番号</t>
    <rPh sb="0" eb="1">
      <t>マエ</t>
    </rPh>
    <rPh sb="1" eb="2">
      <t>エダ</t>
    </rPh>
    <rPh sb="2" eb="4">
      <t>バンゴウ</t>
    </rPh>
    <phoneticPr fontId="2"/>
  </si>
  <si>
    <t>UNJC0030_B_SET_EDA_BACK_NO</t>
    <phoneticPr fontId="2"/>
  </si>
  <si>
    <t>採取場所：</t>
    <rPh sb="0" eb="2">
      <t>サイシュ</t>
    </rPh>
    <rPh sb="2" eb="4">
      <t>バショ</t>
    </rPh>
    <phoneticPr fontId="2"/>
  </si>
  <si>
    <t>採取時間：</t>
    <rPh sb="0" eb="2">
      <t>サイシュ</t>
    </rPh>
    <rPh sb="2" eb="4">
      <t>ジカン</t>
    </rPh>
    <phoneticPr fontId="2"/>
  </si>
  <si>
    <t>一括記載フラグ</t>
    <rPh sb="0" eb="2">
      <t>イッカツ</t>
    </rPh>
    <rPh sb="2" eb="4">
      <t>キサイ</t>
    </rPh>
    <phoneticPr fontId="2"/>
  </si>
  <si>
    <t>UNJC0030_B_IKKATSU_FLG</t>
    <phoneticPr fontId="2"/>
  </si>
  <si>
    <t>試料種類▽</t>
    <rPh sb="0" eb="2">
      <t>シリョウ</t>
    </rPh>
    <rPh sb="2" eb="4">
      <t>シュルイ</t>
    </rPh>
    <phoneticPr fontId="2"/>
  </si>
  <si>
    <t>行番号</t>
    <rPh sb="0" eb="3">
      <t>ギョウバンゴウ</t>
    </rPh>
    <phoneticPr fontId="2"/>
  </si>
  <si>
    <t>UNJC0030_B_GYO_NO</t>
    <phoneticPr fontId="2"/>
  </si>
  <si>
    <t>行追加番号</t>
    <rPh sb="0" eb="1">
      <t>ギョウ</t>
    </rPh>
    <rPh sb="1" eb="3">
      <t>ツイカ</t>
    </rPh>
    <rPh sb="3" eb="5">
      <t>バンゴウ</t>
    </rPh>
    <phoneticPr fontId="2"/>
  </si>
  <si>
    <t>UNJC0030_B_GYO_INSERT_NO</t>
    <phoneticPr fontId="2"/>
  </si>
  <si>
    <t>分析項目群▼</t>
    <rPh sb="0" eb="2">
      <t>ブンセキ</t>
    </rPh>
    <rPh sb="2" eb="4">
      <t>コウモク</t>
    </rPh>
    <rPh sb="4" eb="5">
      <t>グン</t>
    </rPh>
    <phoneticPr fontId="2"/>
  </si>
  <si>
    <t>行削除番号</t>
    <rPh sb="0" eb="3">
      <t>ギョウサクジョ</t>
    </rPh>
    <rPh sb="3" eb="5">
      <t>バンゴウ</t>
    </rPh>
    <phoneticPr fontId="2"/>
  </si>
  <si>
    <t>UNJC0030_B_GYO_DELETE_NO</t>
    <phoneticPr fontId="2"/>
  </si>
  <si>
    <t>削除行範囲</t>
    <rPh sb="0" eb="2">
      <t>サクジョ</t>
    </rPh>
    <rPh sb="2" eb="3">
      <t>ギョウ</t>
    </rPh>
    <rPh sb="3" eb="5">
      <t>ハンイ</t>
    </rPh>
    <phoneticPr fontId="2"/>
  </si>
  <si>
    <t>UNJC0030_B_GYO_DELETE_AREA</t>
    <phoneticPr fontId="2"/>
  </si>
  <si>
    <t>分析項目CD</t>
    <rPh sb="0" eb="2">
      <t>ブンセキ</t>
    </rPh>
    <rPh sb="2" eb="4">
      <t>コウモク</t>
    </rPh>
    <phoneticPr fontId="2"/>
  </si>
  <si>
    <t>分析項目名</t>
    <rPh sb="0" eb="2">
      <t>ブンセキ</t>
    </rPh>
    <rPh sb="2" eb="4">
      <t>コウモク</t>
    </rPh>
    <rPh sb="4" eb="5">
      <t>メイ</t>
    </rPh>
    <phoneticPr fontId="2"/>
  </si>
  <si>
    <t>データ</t>
    <phoneticPr fontId="2"/>
  </si>
  <si>
    <t>分析番号</t>
    <rPh sb="0" eb="2">
      <t>ブンセキ</t>
    </rPh>
    <rPh sb="2" eb="4">
      <t>バンゴウ</t>
    </rPh>
    <phoneticPr fontId="2"/>
  </si>
  <si>
    <t>SEQ</t>
    <phoneticPr fontId="2"/>
  </si>
  <si>
    <t>参照元受理No.</t>
    <rPh sb="0" eb="2">
      <t>サンショウ</t>
    </rPh>
    <rPh sb="2" eb="3">
      <t>モト</t>
    </rPh>
    <rPh sb="3" eb="5">
      <t>ジュリ</t>
    </rPh>
    <phoneticPr fontId="2"/>
  </si>
  <si>
    <t>枝番</t>
    <rPh sb="0" eb="1">
      <t>エダ</t>
    </rPh>
    <rPh sb="1" eb="2">
      <t>バン</t>
    </rPh>
    <phoneticPr fontId="2"/>
  </si>
  <si>
    <t>裏書フラグ</t>
    <rPh sb="0" eb="2">
      <t>ウラガキ</t>
    </rPh>
    <phoneticPr fontId="2"/>
  </si>
  <si>
    <t>ユーザーID</t>
    <phoneticPr fontId="2"/>
  </si>
  <si>
    <t>シリアル</t>
    <phoneticPr fontId="2"/>
  </si>
  <si>
    <t>UNJC0030_B_LIST_START</t>
  </si>
  <si>
    <t>UNJC0030_B_LIST_SHOSHIKI_COPY_SAKI</t>
    <phoneticPr fontId="2"/>
  </si>
  <si>
    <t>UNJC0030_B_LIST_SUSHIKI_COPY_SAKI</t>
    <phoneticPr fontId="2"/>
  </si>
  <si>
    <t>UNJC0030_B_LIST_CLEAR_AREA</t>
    <phoneticPr fontId="2"/>
  </si>
  <si>
    <t>行挿入位置</t>
    <rPh sb="0" eb="1">
      <t>ギョウ</t>
    </rPh>
    <rPh sb="1" eb="3">
      <t>ソウニュウ</t>
    </rPh>
    <rPh sb="3" eb="5">
      <t>イチ</t>
    </rPh>
    <phoneticPr fontId="2"/>
  </si>
  <si>
    <t>UNJC0030_B_GYO_INSERT</t>
    <phoneticPr fontId="2"/>
  </si>
  <si>
    <t>行削除位置</t>
    <rPh sb="0" eb="3">
      <t>ギョウサクジョ</t>
    </rPh>
    <rPh sb="3" eb="5">
      <t>イチ</t>
    </rPh>
    <phoneticPr fontId="2"/>
  </si>
  <si>
    <t>UNJC0030_B_GYO_DELETE</t>
    <phoneticPr fontId="2"/>
  </si>
  <si>
    <t>分析項目CD表示位置</t>
    <rPh sb="0" eb="2">
      <t>ブンセキ</t>
    </rPh>
    <rPh sb="2" eb="4">
      <t>コウモク</t>
    </rPh>
    <rPh sb="6" eb="8">
      <t>ヒョウジ</t>
    </rPh>
    <rPh sb="8" eb="10">
      <t>イチ</t>
    </rPh>
    <phoneticPr fontId="2"/>
  </si>
  <si>
    <t>UNJC0030_B_SET_BUNSEKIKOMOKU_CD</t>
    <phoneticPr fontId="2"/>
  </si>
  <si>
    <t>分析項目名表示位置</t>
    <rPh sb="0" eb="2">
      <t>ブンセキ</t>
    </rPh>
    <rPh sb="2" eb="4">
      <t>コウモク</t>
    </rPh>
    <rPh sb="4" eb="5">
      <t>メイ</t>
    </rPh>
    <rPh sb="5" eb="7">
      <t>ヒョウジ</t>
    </rPh>
    <rPh sb="7" eb="9">
      <t>イチ</t>
    </rPh>
    <phoneticPr fontId="2"/>
  </si>
  <si>
    <t>UNJC0030_B_SET_BUNSEKIKOMOKU_MEI</t>
    <phoneticPr fontId="2"/>
  </si>
  <si>
    <t>分析項目単位表示位置</t>
    <rPh sb="0" eb="2">
      <t>ブンセキ</t>
    </rPh>
    <rPh sb="2" eb="4">
      <t>コウモク</t>
    </rPh>
    <rPh sb="4" eb="6">
      <t>タンイ</t>
    </rPh>
    <rPh sb="6" eb="8">
      <t>ヒョウジ</t>
    </rPh>
    <rPh sb="8" eb="10">
      <t>イチ</t>
    </rPh>
    <phoneticPr fontId="2"/>
  </si>
  <si>
    <t>UNJC0030_B_SET_BUNSEKIKOMOKU_TANI</t>
    <phoneticPr fontId="2"/>
  </si>
  <si>
    <t>分析項目番号表示位置</t>
    <rPh sb="0" eb="2">
      <t>ブンセキ</t>
    </rPh>
    <rPh sb="2" eb="4">
      <t>コウモク</t>
    </rPh>
    <rPh sb="4" eb="6">
      <t>バンゴウ</t>
    </rPh>
    <rPh sb="6" eb="8">
      <t>ヒョウジ</t>
    </rPh>
    <rPh sb="8" eb="10">
      <t>イチ</t>
    </rPh>
    <phoneticPr fontId="2"/>
  </si>
  <si>
    <t>UNJC0030_B_SET_BUNSEKIKOMOKU_NO</t>
    <phoneticPr fontId="2"/>
  </si>
  <si>
    <t>UNJC0030_B_MULTI_SELECT_COPY_SAKI</t>
    <phoneticPr fontId="2"/>
  </si>
  <si>
    <t>【保存】</t>
    <rPh sb="1" eb="3">
      <t>ホゾン</t>
    </rPh>
    <phoneticPr fontId="2"/>
  </si>
  <si>
    <t>【新規書式コピー元】</t>
    <rPh sb="1" eb="3">
      <t>シンキ</t>
    </rPh>
    <rPh sb="3" eb="5">
      <t>ショシキ</t>
    </rPh>
    <rPh sb="8" eb="9">
      <t>モト</t>
    </rPh>
    <phoneticPr fontId="2"/>
  </si>
  <si>
    <t>UNJC0030_IF_SHINKI_FLG_COPY_MOTO</t>
    <phoneticPr fontId="2"/>
  </si>
  <si>
    <t>UNJC0030_IF_SHINKI_B_COPY_MOTO</t>
    <phoneticPr fontId="2"/>
  </si>
  <si>
    <t>UNJC0030_IF_SHINKI_LIST_COPY_MOTO</t>
    <phoneticPr fontId="2"/>
  </si>
  <si>
    <t>※列幅変更禁止</t>
    <rPh sb="1" eb="3">
      <t>レツハバ</t>
    </rPh>
    <rPh sb="3" eb="5">
      <t>ヘンコウ</t>
    </rPh>
    <rPh sb="5" eb="7">
      <t>キンシ</t>
    </rPh>
    <phoneticPr fontId="2"/>
  </si>
  <si>
    <t>【分析項目複数選択】</t>
    <rPh sb="1" eb="3">
      <t>ブンセキ</t>
    </rPh>
    <rPh sb="3" eb="5">
      <t>コウモク</t>
    </rPh>
    <rPh sb="5" eb="7">
      <t>フクスウ</t>
    </rPh>
    <rPh sb="7" eb="9">
      <t>センタク</t>
    </rPh>
    <phoneticPr fontId="2"/>
  </si>
  <si>
    <t>【ドロップダウンリスト用】</t>
    <rPh sb="11" eb="12">
      <t>ヨウ</t>
    </rPh>
    <phoneticPr fontId="2"/>
  </si>
  <si>
    <t>【Excel】</t>
    <phoneticPr fontId="2"/>
  </si>
  <si>
    <t>UNJC0030_IF_SAVE_COPY_MOTO</t>
    <phoneticPr fontId="2"/>
  </si>
  <si>
    <t>UNJC0030_IF_SHINKI_H_COPY_MOTO</t>
    <phoneticPr fontId="2"/>
  </si>
  <si>
    <t>UNJC0030_IF_GYO_COPY_MOTO</t>
    <phoneticPr fontId="2"/>
  </si>
  <si>
    <t>UNJC0030_IF_MULTI_SELECT_LIST_GYO</t>
    <phoneticPr fontId="2"/>
  </si>
  <si>
    <t>出力範囲</t>
    <rPh sb="0" eb="2">
      <t>シュツリョク</t>
    </rPh>
    <rPh sb="2" eb="4">
      <t>ハンイ</t>
    </rPh>
    <phoneticPr fontId="2"/>
  </si>
  <si>
    <t>UNJC0030_IF_EXCEL_AREA</t>
  </si>
  <si>
    <t>ヘッダ</t>
    <phoneticPr fontId="2"/>
  </si>
  <si>
    <t>リスト</t>
    <phoneticPr fontId="2"/>
  </si>
  <si>
    <t>UNJC0030_IF_GYO_SUSHIKI_COPY_MOTO</t>
    <phoneticPr fontId="2"/>
  </si>
  <si>
    <t>複数選択件数</t>
    <rPh sb="0" eb="2">
      <t>フクスウ</t>
    </rPh>
    <rPh sb="2" eb="4">
      <t>センタク</t>
    </rPh>
    <rPh sb="4" eb="6">
      <t>ケンスウ</t>
    </rPh>
    <phoneticPr fontId="2"/>
  </si>
  <si>
    <t>UNJC0030_IF_MULTI_SELECT_KENSU</t>
  </si>
  <si>
    <t>報告書外装区分</t>
    <phoneticPr fontId="2"/>
  </si>
  <si>
    <t>報告方法区分</t>
    <phoneticPr fontId="2"/>
  </si>
  <si>
    <t>採取方法</t>
    <rPh sb="0" eb="2">
      <t>サイシュ</t>
    </rPh>
    <rPh sb="2" eb="4">
      <t>ホウホウ</t>
    </rPh>
    <phoneticPr fontId="2"/>
  </si>
  <si>
    <t>試料・容器返却</t>
    <rPh sb="0" eb="2">
      <t>シリョウ</t>
    </rPh>
    <rPh sb="3" eb="5">
      <t>ヨウキ</t>
    </rPh>
    <rPh sb="5" eb="7">
      <t>ヘンキャク</t>
    </rPh>
    <phoneticPr fontId="2"/>
  </si>
  <si>
    <t>分析区分</t>
  </si>
  <si>
    <t>報告書形式区分</t>
    <phoneticPr fontId="2"/>
  </si>
  <si>
    <t>速報区分</t>
  </si>
  <si>
    <t>取得件数</t>
    <rPh sb="0" eb="2">
      <t>シュトク</t>
    </rPh>
    <rPh sb="2" eb="4">
      <t>ケンスウ</t>
    </rPh>
    <phoneticPr fontId="2"/>
  </si>
  <si>
    <t>UNJC0030_IF_EXCEL_CNT</t>
    <phoneticPr fontId="2"/>
  </si>
  <si>
    <t>受理No.</t>
    <phoneticPr fontId="2"/>
  </si>
  <si>
    <t>枝番</t>
    <phoneticPr fontId="2"/>
  </si>
  <si>
    <t>採取会社名</t>
    <phoneticPr fontId="2"/>
  </si>
  <si>
    <t>採取者</t>
    <phoneticPr fontId="2"/>
  </si>
  <si>
    <t>採取方法</t>
    <phoneticPr fontId="2"/>
  </si>
  <si>
    <t>採取場所</t>
    <phoneticPr fontId="2"/>
  </si>
  <si>
    <t>天候</t>
    <phoneticPr fontId="2"/>
  </si>
  <si>
    <t>気温</t>
    <phoneticPr fontId="2"/>
  </si>
  <si>
    <t>水温</t>
    <phoneticPr fontId="2"/>
  </si>
  <si>
    <t>採取日</t>
    <phoneticPr fontId="2"/>
  </si>
  <si>
    <t>採取時間</t>
    <phoneticPr fontId="2"/>
  </si>
  <si>
    <t>試料種類</t>
    <phoneticPr fontId="2"/>
  </si>
  <si>
    <t>試料名</t>
    <phoneticPr fontId="2"/>
  </si>
  <si>
    <t>一括記載m(左辺)</t>
    <phoneticPr fontId="2"/>
  </si>
  <si>
    <t>一括記載n(右辺)</t>
    <phoneticPr fontId="2"/>
  </si>
  <si>
    <t>行No.</t>
    <phoneticPr fontId="2"/>
  </si>
  <si>
    <t>分析項目CD</t>
    <phoneticPr fontId="2"/>
  </si>
  <si>
    <t>分析項目名</t>
    <phoneticPr fontId="2"/>
  </si>
  <si>
    <t>単位</t>
    <phoneticPr fontId="2"/>
  </si>
  <si>
    <t>データ</t>
    <phoneticPr fontId="2"/>
  </si>
  <si>
    <t>分析番号</t>
    <phoneticPr fontId="2"/>
  </si>
  <si>
    <t>UNJC0030_IF_DATA_SEARCH_FLG</t>
    <phoneticPr fontId="2"/>
  </si>
  <si>
    <t>ユーザーID</t>
    <phoneticPr fontId="2"/>
  </si>
  <si>
    <t>UNJC0030_IF_W_USER_ID</t>
    <phoneticPr fontId="2"/>
  </si>
  <si>
    <t>ユーザーID</t>
  </si>
  <si>
    <t>枝番</t>
  </si>
  <si>
    <t>分析ステータス</t>
  </si>
  <si>
    <t>分析担当部署CD</t>
  </si>
  <si>
    <t>入力者CD</t>
  </si>
  <si>
    <t>報告書宛名CD</t>
  </si>
  <si>
    <t>報告書宛名</t>
  </si>
  <si>
    <t>分析方法</t>
  </si>
  <si>
    <t>報告書形式</t>
  </si>
  <si>
    <t>納品方法</t>
    <rPh sb="0" eb="2">
      <t>ノウヒン</t>
    </rPh>
    <rPh sb="2" eb="4">
      <t>ホウホウ</t>
    </rPh>
    <phoneticPr fontId="2"/>
  </si>
  <si>
    <t>依頼日／受付日</t>
  </si>
  <si>
    <t>分析担当者完了日</t>
  </si>
  <si>
    <t>報告書完成日／速報日</t>
  </si>
  <si>
    <t>報告書指定発行日</t>
  </si>
  <si>
    <t>目的</t>
  </si>
  <si>
    <t>報告書記載事項</t>
  </si>
  <si>
    <t>枝番試料登録フラグ</t>
  </si>
  <si>
    <t>採取会社名</t>
  </si>
  <si>
    <t>採取者</t>
  </si>
  <si>
    <t>採取方法</t>
  </si>
  <si>
    <t>採取場所</t>
  </si>
  <si>
    <t>天候</t>
  </si>
  <si>
    <t>気温</t>
  </si>
  <si>
    <t>水温</t>
  </si>
  <si>
    <t>採取日</t>
  </si>
  <si>
    <t>採取時間</t>
  </si>
  <si>
    <t>報告書所見フラグ</t>
  </si>
  <si>
    <t>報告書外装</t>
  </si>
  <si>
    <t>容器種類</t>
  </si>
  <si>
    <t>試料・容器返却</t>
  </si>
  <si>
    <t>報告方法</t>
  </si>
  <si>
    <t>発行部数</t>
  </si>
  <si>
    <t>中間報告日１</t>
  </si>
  <si>
    <t>中間報告内容１</t>
  </si>
  <si>
    <t>中間報告日２</t>
  </si>
  <si>
    <t>中間報告内容２</t>
  </si>
  <si>
    <t>中間報告日３</t>
  </si>
  <si>
    <t>中間報告内容３</t>
  </si>
  <si>
    <t>営業確認不要フラグ</t>
  </si>
  <si>
    <t>新規フラグ</t>
  </si>
  <si>
    <t>記載内容変更予定フラグ</t>
  </si>
  <si>
    <t>報告先CD１</t>
  </si>
  <si>
    <t>報告先名１</t>
  </si>
  <si>
    <t>部署１</t>
  </si>
  <si>
    <t>担当者１</t>
  </si>
  <si>
    <t>TEL１</t>
  </si>
  <si>
    <t>FAX１</t>
  </si>
  <si>
    <t>E-MAIL１</t>
  </si>
  <si>
    <t>郵便番号１</t>
  </si>
  <si>
    <t>住所１</t>
  </si>
  <si>
    <t>中間報告送付フラグ１</t>
  </si>
  <si>
    <t>速報送付フラグ１</t>
  </si>
  <si>
    <t>報告書送付フラグ１</t>
  </si>
  <si>
    <t>報告先CD２</t>
  </si>
  <si>
    <t>報告先名２</t>
  </si>
  <si>
    <t>部署２</t>
  </si>
  <si>
    <t>担当者２</t>
  </si>
  <si>
    <t>TEL２</t>
  </si>
  <si>
    <t>FAX２</t>
  </si>
  <si>
    <t>E-MAIL２</t>
  </si>
  <si>
    <t>郵便番号２</t>
  </si>
  <si>
    <t>住所２</t>
  </si>
  <si>
    <t>中間報告送付フラグ２</t>
  </si>
  <si>
    <t>速報送付フラグ２</t>
  </si>
  <si>
    <t>報告書送付フラグ２</t>
  </si>
  <si>
    <t>報告先CD３</t>
  </si>
  <si>
    <t>報告先名３</t>
  </si>
  <si>
    <t>部署３</t>
  </si>
  <si>
    <t>担当者３</t>
  </si>
  <si>
    <t>TEL３</t>
  </si>
  <si>
    <t>FAX３</t>
  </si>
  <si>
    <t>E-MAIL３</t>
  </si>
  <si>
    <t>郵便番号３</t>
  </si>
  <si>
    <t>住所３</t>
  </si>
  <si>
    <t>中間報告送付フラグ３</t>
  </si>
  <si>
    <t>速報送付フラグ３</t>
  </si>
  <si>
    <t>報告書送付フラグ３</t>
  </si>
  <si>
    <t>伝票発行区分</t>
  </si>
  <si>
    <t>採取会社名(ボディ)</t>
  </si>
  <si>
    <t>採取者(ボディ)</t>
  </si>
  <si>
    <t>採取方法(ボディ)</t>
  </si>
  <si>
    <t>採取場所(ボディ)</t>
  </si>
  <si>
    <t>天候(ボディ)</t>
  </si>
  <si>
    <t>気温(ボディ)</t>
  </si>
  <si>
    <t>水温(ボディ)</t>
  </si>
  <si>
    <t>採取日(ボディ)</t>
  </si>
  <si>
    <t>採取時間(ボディ)</t>
  </si>
  <si>
    <t>試料種類</t>
  </si>
  <si>
    <t>試料名</t>
  </si>
  <si>
    <t>一括記載m</t>
  </si>
  <si>
    <t>一括記載n</t>
  </si>
  <si>
    <t>SEQ</t>
  </si>
  <si>
    <t>分析項目CD</t>
  </si>
  <si>
    <t>単位</t>
  </si>
  <si>
    <t>データ</t>
  </si>
  <si>
    <t>分析番号</t>
  </si>
  <si>
    <t>裏書印刷済フラグ</t>
  </si>
  <si>
    <t>UNJC0030_IF_MULTI_SELECT_TENKAI_START</t>
    <phoneticPr fontId="2"/>
  </si>
  <si>
    <t>ファイル名</t>
    <rPh sb="4" eb="5">
      <t>メイ</t>
    </rPh>
    <phoneticPr fontId="2"/>
  </si>
  <si>
    <t>UNJC0030_IF_EXCEL_FILE_NAME</t>
    <phoneticPr fontId="2"/>
  </si>
  <si>
    <t>対象受理/見積No.</t>
    <rPh sb="0" eb="2">
      <t>タイショウ</t>
    </rPh>
    <rPh sb="2" eb="4">
      <t>ジュリ</t>
    </rPh>
    <rPh sb="5" eb="7">
      <t>ミツモリ</t>
    </rPh>
    <phoneticPr fontId="2"/>
  </si>
  <si>
    <t>UNJC0030_IF_JURI_NO</t>
    <phoneticPr fontId="2"/>
  </si>
  <si>
    <t>UNJC0030_IF_W_SERIAL</t>
    <phoneticPr fontId="2"/>
  </si>
  <si>
    <t>保存数式展開開始位置</t>
    <rPh sb="0" eb="2">
      <t>ホゾン</t>
    </rPh>
    <rPh sb="2" eb="4">
      <t>スウシキ</t>
    </rPh>
    <rPh sb="4" eb="6">
      <t>テンカイ</t>
    </rPh>
    <rPh sb="6" eb="8">
      <t>カイシ</t>
    </rPh>
    <rPh sb="8" eb="10">
      <t>イチ</t>
    </rPh>
    <phoneticPr fontId="2"/>
  </si>
  <si>
    <t>UNJC0030_IF_SAVE_COPY_START</t>
    <phoneticPr fontId="2"/>
  </si>
  <si>
    <t>UNJC0030_IF_MULTI_SELECT_TENKAI_KENSU</t>
  </si>
  <si>
    <t>UNJC0030_IF_LIST_HOKOKU_GAISO_KBN</t>
    <phoneticPr fontId="2"/>
  </si>
  <si>
    <t>「=OFFSET(UNJC0030_IF_LIST_HOKOKU_GAISO_KBN_START,,,IF(UNJC0030_IF_LIST_HOKOKU_GAISO_KBN_KENSU=0,1,UNJC0030_IF_LIST_HOKOKU_GAISO_KBN_KENSU),1)」</t>
  </si>
  <si>
    <t>UNJC0030_IF_LIST_HOKOKU_HOHO_KBN</t>
    <phoneticPr fontId="2"/>
  </si>
  <si>
    <t>「=OFFSET(UNJC0030_IF_LIST_HOKOKU_HOHO_KBN_START,,,IF(UNJC0030_IF_LIST_HOKOKU_HOHO_KBN_KENSU=0,1,UNJC0030_IF_LIST_HOKOKU_HOHO_KBN_KENSU),1)」</t>
  </si>
  <si>
    <t>UNJC0030_IF_LIST_SAISHU_HOHO</t>
    <phoneticPr fontId="2"/>
  </si>
  <si>
    <t>「=OFFSET(UNJC0030_IF_LIST_SAISHU_HOHO_START,,,IF(UNJC0030_IF_LIST_SAISHU_HOHO_KENSU=0,1,UNJC0030_IF_LIST_SAISHU_HOHO_KENSU),1)」</t>
    <phoneticPr fontId="2"/>
  </si>
  <si>
    <t>UNJC0030_IF_LIST_YOKI_HENKYAKU</t>
    <phoneticPr fontId="2"/>
  </si>
  <si>
    <t>「=OFFSET(UNJC0030_IF_LIST_YOKI_HENKYAKU_START,,,IF(UNJC0030_IF_LIST_YOKI_HENKYAKU_KENSU=0,1,UNJC0030_IF_LIST_YOKI_HENKYAKU_KENSU),1)」</t>
    <phoneticPr fontId="2"/>
  </si>
  <si>
    <t>UNJC0030_IF_LIST_BUNSEKI_KBN</t>
  </si>
  <si>
    <t>「=OFFSET(UNJC0030_IF_LIST_BUNSEKI_KBN_START,,,IF(UNJC0030_IF_LIST_BUNSEKI_KBN_KENSU=0,1,UNJC0030_IF_LIST_BUNSEKI_KBN_KENSU),1)」</t>
  </si>
  <si>
    <t>UNJC0030_IF_LIST_DEMPYO_HAKKO_KBN</t>
  </si>
  <si>
    <t>「=OFFSET(UNJC0030_IF_LIST_DEMPYO_HAKKO_KBN_START,,,IF(UNJC0030_IF_LIST_DEMPYO_HAKKO_KBN_KENSU=0,1,UNJC0030_IF_LIST_DEMPYO_HAKKO_KBN_KENSU),1)」</t>
  </si>
  <si>
    <t>UNJC0030_IF_LIST_HOKOKUSHO_KEISHIKI_KBN</t>
  </si>
  <si>
    <t>「=OFFSET(UNJC0030_IF_LIST_HOKOKUSHO_KEISHIKI_KBN_START,,,IF(UNJC0030_IF_LIST_HOKOKUSHO_KEISHIKI_KBN_KENSU=0,1,UNJC0030_IF_LIST_HOKOKUSHO_KEISHIKI_KBN_KENSU),1)」</t>
  </si>
  <si>
    <t>UNJC0030_IF_LIST_SOKUHO_KBN</t>
    <phoneticPr fontId="2"/>
  </si>
  <si>
    <t>「=OFFSET(UNJC0030_IF_LIST_SOKUHO_KBN_START,,,IF(UNJC0030_IF_LIST_SOKUHO_KBN_KENSU=0,1,UNJC0030_IF_LIST_SOKUHO_KBN_KENSU),1)」</t>
  </si>
  <si>
    <t>UNJC0030_IF_EXCEL_START</t>
    <phoneticPr fontId="2"/>
  </si>
  <si>
    <t>対象枝番</t>
    <rPh sb="0" eb="2">
      <t>タイショウ</t>
    </rPh>
    <rPh sb="2" eb="3">
      <t>エダ</t>
    </rPh>
    <rPh sb="3" eb="4">
      <t>バン</t>
    </rPh>
    <phoneticPr fontId="2"/>
  </si>
  <si>
    <t>UNJC0030_IF_EDA</t>
    <phoneticPr fontId="2"/>
  </si>
  <si>
    <t>UNJC0030_IF_W_SERIAL_CREATE</t>
    <phoneticPr fontId="2"/>
  </si>
  <si>
    <t>UNJC0030_IF_MULTI_SELECT_CHECK</t>
  </si>
  <si>
    <t>コード</t>
    <phoneticPr fontId="2"/>
  </si>
  <si>
    <t>UNJC0030_IF_MULTI_SELECT_FLG</t>
    <phoneticPr fontId="2"/>
  </si>
  <si>
    <t>OFF:2</t>
  </si>
  <si>
    <t>処理モード</t>
    <rPh sb="0" eb="2">
      <t>ショリ</t>
    </rPh>
    <phoneticPr fontId="2"/>
  </si>
  <si>
    <t>UNJC0030_IF_W_MODE</t>
    <phoneticPr fontId="2"/>
  </si>
  <si>
    <t>UNJC0030_IF_MULTI_SELECT_GYO_INCREMENT</t>
  </si>
  <si>
    <t>1</t>
    <phoneticPr fontId="2"/>
  </si>
  <si>
    <t>報告書形式▼</t>
    <phoneticPr fontId="2"/>
  </si>
  <si>
    <t>2</t>
    <phoneticPr fontId="2"/>
  </si>
  <si>
    <t>一時保存フラグ</t>
    <rPh sb="0" eb="2">
      <t>イチジ</t>
    </rPh>
    <rPh sb="2" eb="4">
      <t>ホゾン</t>
    </rPh>
    <phoneticPr fontId="2"/>
  </si>
  <si>
    <t>UNJC0030_SAVE_TEMP_FLG</t>
    <phoneticPr fontId="2"/>
  </si>
  <si>
    <t>ON:1 / OFF:1以外</t>
    <rPh sb="12" eb="14">
      <t>イガイ</t>
    </rPh>
    <phoneticPr fontId="2"/>
  </si>
  <si>
    <t>納品方法実績▽</t>
    <phoneticPr fontId="2"/>
  </si>
  <si>
    <t>UNJC0030_IF_MULTI_SELECT_SHOSHIKI_COPY_SAKI</t>
  </si>
  <si>
    <t>3</t>
    <phoneticPr fontId="2"/>
  </si>
  <si>
    <t>UNJC0030_IF_MULTI_SELECT_GYO_SUSHIKI_COPY_SAKI</t>
  </si>
  <si>
    <t>UNJC0030_IF_SAVE_COPY_SAKI</t>
    <phoneticPr fontId="2"/>
  </si>
  <si>
    <t>UNJC0030_IF_MULTI_SELECT_COPY_MOTO</t>
  </si>
  <si>
    <t>保存件数</t>
    <rPh sb="0" eb="2">
      <t>ホゾン</t>
    </rPh>
    <rPh sb="2" eb="4">
      <t>ケンスウ</t>
    </rPh>
    <phoneticPr fontId="2"/>
  </si>
  <si>
    <t>UNCM0030_IF_SAVE_KENSU</t>
    <phoneticPr fontId="2"/>
  </si>
  <si>
    <t>モード</t>
    <phoneticPr fontId="2"/>
  </si>
  <si>
    <t>UNJC0030_IF_MODE</t>
  </si>
  <si>
    <t xml:space="preserve">     枝番ごとに試料情報登録：</t>
    <phoneticPr fontId="2"/>
  </si>
  <si>
    <t>ここまで→</t>
    <phoneticPr fontId="2"/>
  </si>
  <si>
    <t>UNJC0030_IF_SAVE_RESULT_JURI_NO</t>
    <phoneticPr fontId="2"/>
  </si>
  <si>
    <t>UNJC0030_IF_ACTIVE_SHEET</t>
    <phoneticPr fontId="2"/>
  </si>
  <si>
    <t>UNJC0030_B</t>
  </si>
  <si>
    <t>UNJC0030_IF_SAVE_RESULT_CD</t>
  </si>
  <si>
    <t>UNJC0030_IF_ACTIVE_ROW</t>
    <phoneticPr fontId="2"/>
  </si>
  <si>
    <t>UNJC0030_IF_SAVE_RESULT_MESSAGE</t>
  </si>
  <si>
    <t>UNJC0030_IF_ACTIVE_COLUMN</t>
    <phoneticPr fontId="2"/>
  </si>
  <si>
    <t>UNJC0030_IF_SAVE_ERROR_CHECK</t>
  </si>
  <si>
    <t>UNJC0030_IF_SAVE_ERROR_MESSAGE</t>
  </si>
  <si>
    <t>処理に失敗しました。再度実行してください。</t>
    <phoneticPr fontId="2"/>
  </si>
  <si>
    <t>UNJC0030_IF_ACTIVE_CELL_NAME</t>
    <phoneticPr fontId="2"/>
  </si>
  <si>
    <t>【分析担当者完了日判定】</t>
    <rPh sb="1" eb="3">
      <t>ブンセキ</t>
    </rPh>
    <rPh sb="3" eb="6">
      <t>タントウシャ</t>
    </rPh>
    <rPh sb="6" eb="9">
      <t>カンリョウビ</t>
    </rPh>
    <rPh sb="9" eb="11">
      <t>ハンテイ</t>
    </rPh>
    <phoneticPr fontId="2"/>
  </si>
  <si>
    <t>報告書完成日1営業日前</t>
    <rPh sb="0" eb="3">
      <t>ホウコクショ</t>
    </rPh>
    <rPh sb="3" eb="5">
      <t>カンセイ</t>
    </rPh>
    <rPh sb="5" eb="6">
      <t>ビ</t>
    </rPh>
    <rPh sb="7" eb="10">
      <t>エイギョウビ</t>
    </rPh>
    <rPh sb="10" eb="11">
      <t>マエ</t>
    </rPh>
    <phoneticPr fontId="2"/>
  </si>
  <si>
    <t>UNJC0030_IF_HOKOKU_1WORKDAY_AGO</t>
    <phoneticPr fontId="2"/>
  </si>
  <si>
    <t>中間報告日１</t>
    <rPh sb="0" eb="2">
      <t>チュウカン</t>
    </rPh>
    <rPh sb="2" eb="4">
      <t>ホウコク</t>
    </rPh>
    <rPh sb="4" eb="5">
      <t>ビ</t>
    </rPh>
    <phoneticPr fontId="2"/>
  </si>
  <si>
    <t>UNJC0030_IF_CHUKAN_HOKOKU_DAY</t>
    <phoneticPr fontId="2"/>
  </si>
  <si>
    <t>担当者完了日</t>
    <rPh sb="0" eb="2">
      <t>タントウ</t>
    </rPh>
    <rPh sb="2" eb="3">
      <t>シャ</t>
    </rPh>
    <rPh sb="3" eb="6">
      <t>カンリョウビ</t>
    </rPh>
    <phoneticPr fontId="2"/>
  </si>
  <si>
    <t>UNJC0030_IF_TANTO_DAY</t>
    <phoneticPr fontId="2"/>
  </si>
  <si>
    <t>修正/参照ボタン</t>
    <rPh sb="0" eb="2">
      <t>シュウセイ</t>
    </rPh>
    <rPh sb="3" eb="5">
      <t>サンショウ</t>
    </rPh>
    <phoneticPr fontId="2"/>
  </si>
  <si>
    <t>UNJC0030_IF_BUTTON_06_NAME</t>
    <phoneticPr fontId="2"/>
  </si>
  <si>
    <t>-</t>
    <phoneticPr fontId="2"/>
  </si>
  <si>
    <t>保存ボタン</t>
    <rPh sb="0" eb="2">
      <t>ホゾン</t>
    </rPh>
    <phoneticPr fontId="2"/>
  </si>
  <si>
    <t>UNJC0030_IF_BUTTON_10_NAME</t>
    <phoneticPr fontId="2"/>
  </si>
  <si>
    <t>-</t>
    <phoneticPr fontId="2"/>
  </si>
  <si>
    <t>【ボタン実行時判定】</t>
    <rPh sb="4" eb="6">
      <t>ジッコウ</t>
    </rPh>
    <rPh sb="6" eb="7">
      <t>ジ</t>
    </rPh>
    <rPh sb="7" eb="9">
      <t>ハンテイ</t>
    </rPh>
    <phoneticPr fontId="2"/>
  </si>
  <si>
    <t>行追加ボタン実行判定</t>
    <rPh sb="0" eb="1">
      <t>ギョウ</t>
    </rPh>
    <rPh sb="1" eb="3">
      <t>ツイカ</t>
    </rPh>
    <rPh sb="6" eb="8">
      <t>ジッコウ</t>
    </rPh>
    <rPh sb="8" eb="10">
      <t>ハンテイ</t>
    </rPh>
    <phoneticPr fontId="2"/>
  </si>
  <si>
    <t>UNJC0030_IF_BUTTON_15_CHECK</t>
    <phoneticPr fontId="2"/>
  </si>
  <si>
    <t>1:可能2:不可</t>
    <rPh sb="2" eb="4">
      <t>カノウ</t>
    </rPh>
    <rPh sb="6" eb="8">
      <t>フカ</t>
    </rPh>
    <phoneticPr fontId="2"/>
  </si>
  <si>
    <t>未使用</t>
    <rPh sb="0" eb="3">
      <t>ミシヨウ</t>
    </rPh>
    <phoneticPr fontId="2"/>
  </si>
  <si>
    <t>行削除ボタン実行判定</t>
    <rPh sb="0" eb="3">
      <t>ギョウサクジョ</t>
    </rPh>
    <rPh sb="6" eb="8">
      <t>ジッコウ</t>
    </rPh>
    <rPh sb="8" eb="10">
      <t>ハンテイ</t>
    </rPh>
    <phoneticPr fontId="2"/>
  </si>
  <si>
    <t>UNJC0030_IF_BUTTON_16_CHECK</t>
    <phoneticPr fontId="2"/>
  </si>
  <si>
    <t>【ボタン表示制御】</t>
    <rPh sb="4" eb="6">
      <t>ヒョウジ</t>
    </rPh>
    <rPh sb="6" eb="8">
      <t>セイギョ</t>
    </rPh>
    <phoneticPr fontId="2"/>
  </si>
  <si>
    <t>参照作成ボタン</t>
    <rPh sb="0" eb="2">
      <t>サンショウ</t>
    </rPh>
    <rPh sb="2" eb="4">
      <t>サクセイ</t>
    </rPh>
    <phoneticPr fontId="2"/>
  </si>
  <si>
    <t>UNJC0030_IF_BUTTON_04_HYOJI</t>
    <phoneticPr fontId="2"/>
  </si>
  <si>
    <t>UNJC0030_IF_BUTTON_06_HYOJI</t>
  </si>
  <si>
    <t>削除ボタン</t>
    <rPh sb="0" eb="2">
      <t>サクジョ</t>
    </rPh>
    <phoneticPr fontId="2"/>
  </si>
  <si>
    <t>UNJC0030_IF_BUTTON_07_HYOJI</t>
  </si>
  <si>
    <t>一時保存ボタン</t>
    <rPh sb="0" eb="2">
      <t>イチジ</t>
    </rPh>
    <rPh sb="2" eb="4">
      <t>ホゾン</t>
    </rPh>
    <phoneticPr fontId="2"/>
  </si>
  <si>
    <t>UNJC0030_IF_BUTTON_08_HYOJI</t>
  </si>
  <si>
    <t>キャンセルボタン</t>
    <phoneticPr fontId="2"/>
  </si>
  <si>
    <t>UNJC0030_IF_BUTTON_09_HYOJI</t>
  </si>
  <si>
    <t>【参照コピー元】</t>
    <rPh sb="1" eb="3">
      <t>サンショウ</t>
    </rPh>
    <rPh sb="6" eb="7">
      <t>モト</t>
    </rPh>
    <phoneticPr fontId="2"/>
  </si>
  <si>
    <t>UNJC0030_IF_BUTTON_10_HYOJI</t>
  </si>
  <si>
    <t>UNJC0030_IF_SANSHO_H_COPY_MOTO</t>
    <phoneticPr fontId="2"/>
  </si>
  <si>
    <t>UNJC0030_IF_SANSHO_B_COPY_MOTO</t>
    <phoneticPr fontId="2"/>
  </si>
  <si>
    <t>UNJC0030_IF_SANSHO_LIST_COPY_MOTO</t>
    <phoneticPr fontId="2"/>
  </si>
  <si>
    <t>枝番参照作成ボタン</t>
    <rPh sb="0" eb="1">
      <t>エダ</t>
    </rPh>
    <rPh sb="1" eb="2">
      <t>バン</t>
    </rPh>
    <rPh sb="2" eb="4">
      <t>サンショウ</t>
    </rPh>
    <rPh sb="4" eb="6">
      <t>サクセイ</t>
    </rPh>
    <phoneticPr fontId="2"/>
  </si>
  <si>
    <t>UNJC0030_IF_BUTTON_11_HYOJI</t>
  </si>
  <si>
    <t>前枝番ボタン</t>
    <rPh sb="0" eb="1">
      <t>マエ</t>
    </rPh>
    <rPh sb="1" eb="2">
      <t>エダ</t>
    </rPh>
    <rPh sb="2" eb="3">
      <t>バン</t>
    </rPh>
    <phoneticPr fontId="2"/>
  </si>
  <si>
    <t>UNJC0030_IF_BUTTON_12_HYOJI</t>
  </si>
  <si>
    <t>前枝番&gt;=1のとき</t>
    <rPh sb="0" eb="1">
      <t>マエ</t>
    </rPh>
    <rPh sb="1" eb="2">
      <t>エダ</t>
    </rPh>
    <rPh sb="2" eb="3">
      <t>バン</t>
    </rPh>
    <phoneticPr fontId="2"/>
  </si>
  <si>
    <t>次枝番ボタン</t>
    <rPh sb="0" eb="1">
      <t>ツギ</t>
    </rPh>
    <rPh sb="1" eb="2">
      <t>エダ</t>
    </rPh>
    <rPh sb="2" eb="3">
      <t>バン</t>
    </rPh>
    <phoneticPr fontId="2"/>
  </si>
  <si>
    <t>UNJC0030_IF_BUTTON_13_HYOJI</t>
  </si>
  <si>
    <t>枝番削除ボタン</t>
    <rPh sb="0" eb="1">
      <t>エダ</t>
    </rPh>
    <rPh sb="1" eb="2">
      <t>バン</t>
    </rPh>
    <rPh sb="2" eb="4">
      <t>サクジョ</t>
    </rPh>
    <phoneticPr fontId="2"/>
  </si>
  <si>
    <t>UNJC0030_IF_BUTTON_14_HYOJI</t>
  </si>
  <si>
    <t>行追加ボタン</t>
    <rPh sb="0" eb="1">
      <t>ギョウ</t>
    </rPh>
    <rPh sb="1" eb="3">
      <t>ツイカ</t>
    </rPh>
    <phoneticPr fontId="2"/>
  </si>
  <si>
    <t>UNJC0030_IF_BUTTON_15_HYOJI</t>
  </si>
  <si>
    <t>行削除ボタン</t>
    <rPh sb="0" eb="3">
      <t>ギョウサクジョ</t>
    </rPh>
    <phoneticPr fontId="2"/>
  </si>
  <si>
    <t>UNJC0030_IF_BUTTON_16_HYOJI</t>
  </si>
  <si>
    <t>FAXレター発行ボタン</t>
    <rPh sb="6" eb="8">
      <t>ハッコウ</t>
    </rPh>
    <phoneticPr fontId="2"/>
  </si>
  <si>
    <t>UNJC0030_IF_BUTTON_17_HYOJI</t>
  </si>
  <si>
    <t>報告書形式▼</t>
    <phoneticPr fontId="2"/>
  </si>
  <si>
    <t>分析依頼書印刷ボタン</t>
    <rPh sb="0" eb="2">
      <t>ブンセキ</t>
    </rPh>
    <rPh sb="2" eb="5">
      <t>イライショ</t>
    </rPh>
    <rPh sb="5" eb="7">
      <t>インサツ</t>
    </rPh>
    <phoneticPr fontId="2"/>
  </si>
  <si>
    <t>UNJC0030_IF_BUTTON_18_HYOJI</t>
  </si>
  <si>
    <t>納品方法実績▽</t>
    <phoneticPr fontId="2"/>
  </si>
  <si>
    <t>試料ラベル印刷ボタン</t>
    <rPh sb="0" eb="2">
      <t>シリョウ</t>
    </rPh>
    <rPh sb="5" eb="7">
      <t>インサツ</t>
    </rPh>
    <phoneticPr fontId="2"/>
  </si>
  <si>
    <t>UNJC0030_IF_BUTTON_19_HYOJI</t>
  </si>
  <si>
    <t>EXCEL出力ボタン</t>
    <rPh sb="5" eb="7">
      <t>シュツリョク</t>
    </rPh>
    <phoneticPr fontId="2"/>
  </si>
  <si>
    <t>UNJC0030_IF_BUTTON_20_HYOJI</t>
  </si>
  <si>
    <t xml:space="preserve">     枝番ごとに試料情報登録：</t>
    <phoneticPr fontId="2"/>
  </si>
  <si>
    <t>【修正コピー元】</t>
    <rPh sb="1" eb="3">
      <t>シュウセイ</t>
    </rPh>
    <rPh sb="6" eb="7">
      <t>モト</t>
    </rPh>
    <phoneticPr fontId="2"/>
  </si>
  <si>
    <t>UNJC0030_IF_SHUSEI_H_COPY_MOTO</t>
    <phoneticPr fontId="2"/>
  </si>
  <si>
    <t>UNJC0030_IF_SHUSEI_B_COPY_MOTO</t>
    <phoneticPr fontId="2"/>
  </si>
  <si>
    <t>UNJC0030_IF_SHUSEI_LIST_COPY_MOTO</t>
    <phoneticPr fontId="2"/>
  </si>
  <si>
    <t>報告書形式▼</t>
    <phoneticPr fontId="2"/>
  </si>
  <si>
    <t>納品方法実績▽</t>
    <phoneticPr fontId="2"/>
  </si>
  <si>
    <t xml:space="preserve">     枝番ごとに試料情報登録：</t>
    <phoneticPr fontId="2"/>
  </si>
  <si>
    <t>ユーザーID</t>
    <phoneticPr fontId="2"/>
  </si>
  <si>
    <t>シリアル</t>
    <phoneticPr fontId="2"/>
  </si>
  <si>
    <t>分析受注ヘッダ読込SQL</t>
    <rPh sb="0" eb="2">
      <t>ブンセキ</t>
    </rPh>
    <rPh sb="2" eb="4">
      <t>ジュチュウ</t>
    </rPh>
    <rPh sb="7" eb="9">
      <t>ヨミコミ</t>
    </rPh>
    <phoneticPr fontId="2"/>
  </si>
  <si>
    <t>UNJC0030_SQL_SELECT_BUN_JUCHU_H</t>
    <phoneticPr fontId="2"/>
  </si>
  <si>
    <t>SELECT</t>
    <phoneticPr fontId="2"/>
  </si>
  <si>
    <t xml:space="preserve">SELECT *
  FROM V_BUN_JUCHU_H
</t>
    <phoneticPr fontId="2"/>
  </si>
  <si>
    <t>条件（受理No.）</t>
    <rPh sb="0" eb="2">
      <t>ジョウケン</t>
    </rPh>
    <rPh sb="3" eb="5">
      <t>ジュリ</t>
    </rPh>
    <phoneticPr fontId="2"/>
  </si>
  <si>
    <t>条件（ユーザーID）</t>
    <rPh sb="0" eb="2">
      <t>ジョウケン</t>
    </rPh>
    <phoneticPr fontId="2"/>
  </si>
  <si>
    <t>条件（シリアル）</t>
    <rPh sb="0" eb="2">
      <t>ジョウケン</t>
    </rPh>
    <phoneticPr fontId="2"/>
  </si>
  <si>
    <t>分析受注ボディ読込SQL</t>
    <rPh sb="0" eb="2">
      <t>ブンセキ</t>
    </rPh>
    <rPh sb="2" eb="4">
      <t>ジュチュウ</t>
    </rPh>
    <rPh sb="7" eb="9">
      <t>ヨミコミ</t>
    </rPh>
    <phoneticPr fontId="2"/>
  </si>
  <si>
    <t>UNJC0030_SQL_SELECT_BUN_JUCHU_B</t>
    <phoneticPr fontId="2"/>
  </si>
  <si>
    <t xml:space="preserve">SELECT *
  FROM V_BUN_JUCHU_B
</t>
    <phoneticPr fontId="2"/>
  </si>
  <si>
    <t>条件（枝番）</t>
    <rPh sb="0" eb="2">
      <t>ジョウケン</t>
    </rPh>
    <rPh sb="3" eb="4">
      <t>エダ</t>
    </rPh>
    <rPh sb="4" eb="5">
      <t>バン</t>
    </rPh>
    <phoneticPr fontId="2"/>
  </si>
  <si>
    <t>分析受注詳細読込SQL</t>
    <rPh sb="0" eb="2">
      <t>ブンセキ</t>
    </rPh>
    <rPh sb="2" eb="4">
      <t>ジュチュウ</t>
    </rPh>
    <rPh sb="4" eb="6">
      <t>ショウサイ</t>
    </rPh>
    <rPh sb="6" eb="8">
      <t>ヨミコミ</t>
    </rPh>
    <phoneticPr fontId="2"/>
  </si>
  <si>
    <t>UNJC0030_SQL_SELECT_BUN_JUCHU_SHOSAI</t>
    <phoneticPr fontId="2"/>
  </si>
  <si>
    <t xml:space="preserve">SELECT *
  FROM V_BUN_JUCHU_SHOSAI
</t>
    <phoneticPr fontId="2"/>
  </si>
  <si>
    <t>分析受注テーブル更新用SQL</t>
    <rPh sb="0" eb="2">
      <t>ブンセキ</t>
    </rPh>
    <rPh sb="2" eb="4">
      <t>ジュチュウ</t>
    </rPh>
    <rPh sb="8" eb="10">
      <t>コウシン</t>
    </rPh>
    <rPh sb="10" eb="11">
      <t>ヨウ</t>
    </rPh>
    <phoneticPr fontId="2"/>
  </si>
  <si>
    <t>UNJC0030_SQL_SELECT_TABLE_UPDATE</t>
    <phoneticPr fontId="2"/>
  </si>
  <si>
    <t xml:space="preserve">SELECT *
  FROM W_BUN_JUCHU
</t>
    <phoneticPr fontId="2"/>
  </si>
  <si>
    <t>参照作成用枝番取得</t>
    <rPh sb="0" eb="2">
      <t>サンショウ</t>
    </rPh>
    <rPh sb="2" eb="4">
      <t>サクセイ</t>
    </rPh>
    <rPh sb="4" eb="5">
      <t>ヨウ</t>
    </rPh>
    <rPh sb="5" eb="6">
      <t>エダ</t>
    </rPh>
    <rPh sb="6" eb="7">
      <t>バン</t>
    </rPh>
    <rPh sb="7" eb="9">
      <t>シュトク</t>
    </rPh>
    <phoneticPr fontId="2"/>
  </si>
  <si>
    <t>UNJC0030_SQL_SELECT_NEW_EDA</t>
    <phoneticPr fontId="2"/>
  </si>
  <si>
    <t xml:space="preserve">SELECT MAX(W_BUN_JUCHU.JURI_EDA_NO) + 1
  FROM W_BUN_JUCHU
</t>
    <phoneticPr fontId="2"/>
  </si>
  <si>
    <t>分析項目郡展開用SQL</t>
    <rPh sb="0" eb="2">
      <t>ブンセキ</t>
    </rPh>
    <rPh sb="2" eb="4">
      <t>コウモク</t>
    </rPh>
    <rPh sb="4" eb="5">
      <t>グン</t>
    </rPh>
    <rPh sb="5" eb="7">
      <t>テンカイ</t>
    </rPh>
    <rPh sb="7" eb="8">
      <t>ヨウ</t>
    </rPh>
    <phoneticPr fontId="2"/>
  </si>
  <si>
    <t>UNJC0030_SQL_SELECT_BUNSEKI_GUN</t>
    <phoneticPr fontId="2"/>
  </si>
  <si>
    <t xml:space="preserve">SELECT M_BUNSEKI_GUN_B.SEQ          AS GYO_NO           --行番号
      ,M_BUNSEKI_GUN_B.BUNSEKI_CD   AS BUNSEKI_CD       --分析項目CD
      ,M_SHOHIN.SHOHIN_MEI          AS BUNSEKI_MEI      --分析項目名
      ,M_SHOHIN.BUNSEKI_TANI        AS BUNSEKI_TANI     --単位
      ,NULL                         AS BLANK1           --空白１
      ,NULL                         AS BLANK2           --空白２
      ,NULL                         AS BLANK3           --空白３
      ,NULL                         AS BLANK4           --空白４
      ,M_SHOHIN.BUNSEKI_NO          AS BUNSEKI_NO       --分析番号
  FROM M_BUNSEKI_GUN_H
  LEFT JOIN
       M_BUNSEKI_GUN_B
    ON M_BUNSEKI_GUN_B.BUNSEKI_GUN_CD = M_BUNSEKI_GUN_H.BUNSEKI_GUN_CD
  LEFT JOIN
       M_SHOHIN
    ON M_SHOHIN.SHOHIN_CD = M_BUNSEKI_GUN_B.BUNSEKI_CD
</t>
    <phoneticPr fontId="2"/>
  </si>
  <si>
    <t>条件（分析項目郡CD）</t>
    <rPh sb="0" eb="2">
      <t>ジョウケン</t>
    </rPh>
    <rPh sb="3" eb="5">
      <t>ブンセキ</t>
    </rPh>
    <rPh sb="5" eb="7">
      <t>コウモク</t>
    </rPh>
    <rPh sb="7" eb="8">
      <t>グン</t>
    </rPh>
    <phoneticPr fontId="2"/>
  </si>
  <si>
    <t>ORDER BY</t>
    <phoneticPr fontId="2"/>
  </si>
  <si>
    <t xml:space="preserve"> ORDER BY
       M_BUNSEKI_GUN_B.SEQ
</t>
    <phoneticPr fontId="2"/>
  </si>
  <si>
    <t>試料ラベルデータ展開用SQL</t>
    <rPh sb="0" eb="2">
      <t>シリョウ</t>
    </rPh>
    <rPh sb="8" eb="10">
      <t>テンカイ</t>
    </rPh>
    <rPh sb="10" eb="11">
      <t>ヨウ</t>
    </rPh>
    <phoneticPr fontId="2"/>
  </si>
  <si>
    <t>UNJC0030_SQL_SELECT_LABEL_DATA</t>
    <phoneticPr fontId="2"/>
  </si>
  <si>
    <t xml:space="preserve">SELECT *
  FROM V_BUN_JUCHU_LABEL_DATA
</t>
    <phoneticPr fontId="2"/>
  </si>
  <si>
    <t>FAX番号取得SQL</t>
    <rPh sb="3" eb="5">
      <t>バンゴウ</t>
    </rPh>
    <rPh sb="5" eb="7">
      <t>シュトク</t>
    </rPh>
    <phoneticPr fontId="2"/>
  </si>
  <si>
    <t>UNJC0030_SQL_SELECT_FAX_NO</t>
    <phoneticPr fontId="2"/>
  </si>
  <si>
    <t>SELECT RIGHT('000000000000' + CAST(NEXT VALUE FOR SEQ_FAX AS NVARCHAR) ,12)</t>
    <phoneticPr fontId="2"/>
  </si>
  <si>
    <t>EXCEL展開用SQL</t>
    <rPh sb="5" eb="7">
      <t>テンカイ</t>
    </rPh>
    <rPh sb="7" eb="8">
      <t>ヨウ</t>
    </rPh>
    <phoneticPr fontId="2"/>
  </si>
  <si>
    <t>UNJC0030_SQL_SELECT_EXCEL</t>
    <phoneticPr fontId="2"/>
  </si>
  <si>
    <t>ステータス取得用SQL</t>
    <rPh sb="5" eb="7">
      <t>シュトク</t>
    </rPh>
    <rPh sb="7" eb="8">
      <t>ヨウ</t>
    </rPh>
    <phoneticPr fontId="2"/>
  </si>
  <si>
    <t>UNJC0030_SQL_STS_SEARCH</t>
    <phoneticPr fontId="2"/>
  </si>
  <si>
    <t>JOIN</t>
    <phoneticPr fontId="2"/>
  </si>
  <si>
    <t>報告書完成日1営業日前取得</t>
    <rPh sb="0" eb="3">
      <t>ホウコクショ</t>
    </rPh>
    <rPh sb="3" eb="5">
      <t>カンセイ</t>
    </rPh>
    <rPh sb="5" eb="6">
      <t>ビ</t>
    </rPh>
    <rPh sb="7" eb="10">
      <t>エイギョウビ</t>
    </rPh>
    <rPh sb="10" eb="11">
      <t>マエ</t>
    </rPh>
    <rPh sb="11" eb="13">
      <t>シュトク</t>
    </rPh>
    <phoneticPr fontId="2"/>
  </si>
  <si>
    <t>UNJC0030_SQL_SELECT_1WORKDAY_AGO</t>
    <phoneticPr fontId="2"/>
  </si>
  <si>
    <t>IF(OR(D32=0,D32=""),"",SELECT MAX(CONCAT(M_CALENDAR.YEAR,RIGHT('00' + CAST(M_CALENDAR.MONTH AS NVARCHAR), 2),RIGHT('00' + CAST(M_CALENDAR.DAY AS NVARCHAR), 2)))</t>
  </si>
  <si>
    <t>SELECT
FROM</t>
    <phoneticPr fontId="2"/>
  </si>
  <si>
    <t>SELECT MAX(CONCAT(M_CALENDAR.YEAR,RIGHT('00' + CAST(M_CALENDAR.MONTH AS NVARCHAR), 2),RIGHT('00' + CAST(M_CALENDAR.DAY AS NVARCHAR), 2))) AS DATE
FROM M_CALENDAR
WHERE M_CALENDAR.CALENDAR_KBN = '1'</t>
    <phoneticPr fontId="2"/>
  </si>
  <si>
    <t>FROM M_CALENDAR</t>
  </si>
  <si>
    <t>WHERE M_CALENDAR.CALENDAR_KBN = '1'</t>
  </si>
  <si>
    <t>AND CONCAT(M_CALENDAR.YEAR,RIGHT('00' + CAST(M_CALENDAR.MONTH AS NVARCHAR), 2),RIGHT('00' + CAST(M_CALENDAR.DAY AS NVARCHAR), 2)) &lt; '20171203'"</t>
  </si>
  <si>
    <t>報告書外装取得</t>
    <rPh sb="0" eb="3">
      <t>ホウコクショ</t>
    </rPh>
    <rPh sb="3" eb="5">
      <t>ガイソウ</t>
    </rPh>
    <rPh sb="5" eb="7">
      <t>シュトク</t>
    </rPh>
    <phoneticPr fontId="2"/>
  </si>
  <si>
    <t>UNJC0030_SQL_MEISHO_HOKOKUSHO_GAISO</t>
    <phoneticPr fontId="2"/>
  </si>
  <si>
    <t>報告方法取得</t>
    <rPh sb="0" eb="2">
      <t>ホウコク</t>
    </rPh>
    <rPh sb="2" eb="4">
      <t>ホウホウ</t>
    </rPh>
    <rPh sb="4" eb="6">
      <t>シュトク</t>
    </rPh>
    <phoneticPr fontId="2"/>
  </si>
  <si>
    <t>UNJC0030_SQL_MEISHO_HOKOKU_HOHO</t>
    <phoneticPr fontId="2"/>
  </si>
  <si>
    <t>採取方法取得</t>
    <rPh sb="0" eb="2">
      <t>サイシュ</t>
    </rPh>
    <rPh sb="2" eb="4">
      <t>ホウホウ</t>
    </rPh>
    <rPh sb="4" eb="6">
      <t>シュトク</t>
    </rPh>
    <phoneticPr fontId="2"/>
  </si>
  <si>
    <t>UNJC0030_SQL_MEISHO_SAISHU_HOHO</t>
    <phoneticPr fontId="2"/>
  </si>
  <si>
    <t>試料・容器返却取得</t>
    <rPh sb="0" eb="2">
      <t>シリョウ</t>
    </rPh>
    <rPh sb="3" eb="5">
      <t>ヨウキ</t>
    </rPh>
    <rPh sb="5" eb="7">
      <t>ヘンキャク</t>
    </rPh>
    <rPh sb="7" eb="9">
      <t>シュトク</t>
    </rPh>
    <phoneticPr fontId="2"/>
  </si>
  <si>
    <t>UNJC0030_SQL_MEISHO_SHIRYO_YOKI_HENKYAKU</t>
    <phoneticPr fontId="2"/>
  </si>
  <si>
    <t>分析区分取得</t>
    <rPh sb="0" eb="2">
      <t>ブンセキ</t>
    </rPh>
    <rPh sb="2" eb="4">
      <t>クブン</t>
    </rPh>
    <rPh sb="4" eb="6">
      <t>シュトク</t>
    </rPh>
    <phoneticPr fontId="2"/>
  </si>
  <si>
    <t>UNJC0030_SQL_MEISHO_BUNSEKI_KBN</t>
    <phoneticPr fontId="2"/>
  </si>
  <si>
    <t>伝票発行取得</t>
    <rPh sb="0" eb="2">
      <t>デンピョウ</t>
    </rPh>
    <rPh sb="2" eb="4">
      <t>ハッコウ</t>
    </rPh>
    <rPh sb="4" eb="6">
      <t>シュトク</t>
    </rPh>
    <phoneticPr fontId="2"/>
  </si>
  <si>
    <t>UNJC0030_SQL_MEISHO_DEMPYO_HAKKO</t>
    <phoneticPr fontId="2"/>
  </si>
  <si>
    <t>報告書形式区分取得</t>
    <rPh sb="7" eb="9">
      <t>シュトク</t>
    </rPh>
    <phoneticPr fontId="2"/>
  </si>
  <si>
    <t>UNJC0030_SQL_MEISHO_HOKOKUSHO_KEISHIKI_KBN</t>
    <phoneticPr fontId="2"/>
  </si>
  <si>
    <t>速報区分取得</t>
    <rPh sb="0" eb="2">
      <t>ソクホウ</t>
    </rPh>
    <rPh sb="2" eb="4">
      <t>クブン</t>
    </rPh>
    <rPh sb="4" eb="6">
      <t>シュトク</t>
    </rPh>
    <phoneticPr fontId="2"/>
  </si>
  <si>
    <t>UNJC0030_SQL_MEISHO_SOKUHO_KBN</t>
    <phoneticPr fontId="2"/>
  </si>
  <si>
    <t>複数選択用SQL</t>
    <rPh sb="0" eb="2">
      <t>フクスウ</t>
    </rPh>
    <rPh sb="2" eb="4">
      <t>センタク</t>
    </rPh>
    <rPh sb="4" eb="5">
      <t>ヨウ</t>
    </rPh>
    <phoneticPr fontId="2"/>
  </si>
  <si>
    <t>UNJC0030_SQL_MULTI_SELECT</t>
    <phoneticPr fontId="2"/>
  </si>
  <si>
    <t>【デフォルト設定】</t>
    <rPh sb="6" eb="8">
      <t>セッテイ</t>
    </rPh>
    <phoneticPr fontId="2"/>
  </si>
  <si>
    <t>UNJC0030_SQL_DEFAULT_STS</t>
    <phoneticPr fontId="2"/>
  </si>
  <si>
    <t xml:space="preserve">SELECT M_MEISHO_B.MEISHO_CD             AS ステータスCD
      ,M_MEISHO_B.DATA_1                AS ステータス名
  FROM M_MEISHO_B
 WHERE M_MEISHO_B.MEISHO_KBN='S003'
   AND M_MEISHO_B.MEISHO_CD='1'
</t>
    <phoneticPr fontId="2"/>
  </si>
  <si>
    <t>入力者</t>
  </si>
  <si>
    <t>UNJC0030_SQL_DEFAULT_NYURYOKUSHA</t>
    <phoneticPr fontId="2"/>
  </si>
  <si>
    <t>UNJC0030_SQL_DEFAULT_DEMPYO_HAKKO_KBN</t>
    <phoneticPr fontId="2"/>
  </si>
  <si>
    <t>SELECT V_JUCHU_MEISHO_DEMPYO_HAKKO.DEMPYO_HAKKO
  FROM V_JUCHU_MEISHO_DEMPYO_HAKKO
 WHERE MEISHO_CD = '2'</t>
    <phoneticPr fontId="2"/>
  </si>
  <si>
    <t>UNJC0030_SQL_DEFAULT_BUNSEKI_KBN</t>
    <phoneticPr fontId="2"/>
  </si>
  <si>
    <t xml:space="preserve">SELECT M_MEISHO_B.MEISHO_CD
      ,M_MEISHO_B.DATA_1
  FROM M_MEISHO_B
 WHERE M_MEISHO_B.MEISHO_KBN = 'K012'
   AND M_MEISHO_B.MEISHO_CD  = '1'
</t>
    <phoneticPr fontId="2"/>
  </si>
  <si>
    <t>ＦＡＸレター</t>
    <phoneticPr fontId="2"/>
  </si>
  <si>
    <t>敬称</t>
    <rPh sb="0" eb="2">
      <t>ケイショウ</t>
    </rPh>
    <phoneticPr fontId="2"/>
  </si>
  <si>
    <t>UNJC0030_FAX_KEISHO</t>
    <phoneticPr fontId="2"/>
  </si>
  <si>
    <t>御中</t>
    <rPh sb="0" eb="2">
      <t>オンチュウ</t>
    </rPh>
    <phoneticPr fontId="2"/>
  </si>
  <si>
    <t>FAX番号</t>
    <rPh sb="3" eb="5">
      <t>バンゴウ</t>
    </rPh>
    <phoneticPr fontId="2"/>
  </si>
  <si>
    <t>UNJC0030_FAX_NO</t>
    <phoneticPr fontId="2"/>
  </si>
  <si>
    <t>担当</t>
    <rPh sb="0" eb="2">
      <t>タントウ</t>
    </rPh>
    <phoneticPr fontId="2"/>
  </si>
  <si>
    <t>毎々格別のお引き立てを賜り有難く御礼申し上げます。
先日ご依頼いただきました試料の分析結果を速報にてご連絡申し上げます。</t>
    <phoneticPr fontId="2"/>
  </si>
  <si>
    <t>記事</t>
    <rPh sb="0" eb="2">
      <t>キジ</t>
    </rPh>
    <phoneticPr fontId="2"/>
  </si>
  <si>
    <t>ＦＡＸ番号</t>
    <rPh sb="3" eb="5">
      <t>バンゴウ</t>
    </rPh>
    <phoneticPr fontId="2"/>
  </si>
  <si>
    <t>分 析 依 頼 書</t>
    <rPh sb="0" eb="1">
      <t>ブン</t>
    </rPh>
    <rPh sb="2" eb="3">
      <t>セキ</t>
    </rPh>
    <rPh sb="4" eb="5">
      <t>イ</t>
    </rPh>
    <rPh sb="6" eb="7">
      <t>ライ</t>
    </rPh>
    <rPh sb="8" eb="9">
      <t>ショ</t>
    </rPh>
    <phoneticPr fontId="2"/>
  </si>
  <si>
    <t>ヘッダ領域</t>
    <rPh sb="3" eb="5">
      <t>リョウイキ</t>
    </rPh>
    <phoneticPr fontId="2"/>
  </si>
  <si>
    <t>UNJC0030_REPORT_H_AREA</t>
    <phoneticPr fontId="2"/>
  </si>
  <si>
    <t>枝番展開開始位置</t>
    <rPh sb="0" eb="1">
      <t>エダ</t>
    </rPh>
    <rPh sb="1" eb="2">
      <t>バン</t>
    </rPh>
    <rPh sb="2" eb="4">
      <t>テンカイ</t>
    </rPh>
    <rPh sb="4" eb="6">
      <t>カイシ</t>
    </rPh>
    <rPh sb="6" eb="8">
      <t>イチ</t>
    </rPh>
    <phoneticPr fontId="2"/>
  </si>
  <si>
    <t>UNJC0030_REPORT_EDA_START</t>
    <phoneticPr fontId="2"/>
  </si>
  <si>
    <t>入力者</t>
    <rPh sb="0" eb="2">
      <t>ニュウリョク</t>
    </rPh>
    <rPh sb="2" eb="3">
      <t>シャ</t>
    </rPh>
    <phoneticPr fontId="2"/>
  </si>
  <si>
    <t>受付者</t>
    <rPh sb="0" eb="2">
      <t>ウケツケ</t>
    </rPh>
    <rPh sb="2" eb="3">
      <t>シャ</t>
    </rPh>
    <phoneticPr fontId="2"/>
  </si>
  <si>
    <t>技術①</t>
    <phoneticPr fontId="2"/>
  </si>
  <si>
    <t>技術②</t>
    <phoneticPr fontId="2"/>
  </si>
  <si>
    <t>確認①</t>
    <rPh sb="0" eb="2">
      <t>カクニン</t>
    </rPh>
    <phoneticPr fontId="2"/>
  </si>
  <si>
    <t>確認②</t>
    <rPh sb="0" eb="2">
      <t>カクニン</t>
    </rPh>
    <phoneticPr fontId="2"/>
  </si>
  <si>
    <t>速報</t>
    <rPh sb="0" eb="2">
      <t>ソクホウ</t>
    </rPh>
    <phoneticPr fontId="2"/>
  </si>
  <si>
    <t>営業確認</t>
    <rPh sb="0" eb="2">
      <t>エイギョウ</t>
    </rPh>
    <rPh sb="2" eb="4">
      <t>カクニン</t>
    </rPh>
    <phoneticPr fontId="2"/>
  </si>
  <si>
    <t>UNJC0030_REPORT_CLEAR_AREA</t>
    <phoneticPr fontId="2"/>
  </si>
  <si>
    <t>印刷最終行</t>
    <rPh sb="0" eb="2">
      <t>インサツ</t>
    </rPh>
    <rPh sb="2" eb="5">
      <t>サイシュウギョウ</t>
    </rPh>
    <phoneticPr fontId="2"/>
  </si>
  <si>
    <t>UNJC0030_REPORT_LAST_ROW</t>
    <phoneticPr fontId="2"/>
  </si>
  <si>
    <t>請求先</t>
    <rPh sb="0" eb="2">
      <t>セイキュウ</t>
    </rPh>
    <rPh sb="2" eb="3">
      <t>サキ</t>
    </rPh>
    <phoneticPr fontId="2"/>
  </si>
  <si>
    <t>分析担当者完了日</t>
    <rPh sb="0" eb="2">
      <t>ブンセキ</t>
    </rPh>
    <rPh sb="2" eb="5">
      <t>タントウシャ</t>
    </rPh>
    <rPh sb="5" eb="8">
      <t>カンリョウビ</t>
    </rPh>
    <phoneticPr fontId="2"/>
  </si>
  <si>
    <t>分析方法</t>
    <rPh sb="0" eb="2">
      <t>ブンセキ</t>
    </rPh>
    <rPh sb="2" eb="4">
      <t>ホウホウ</t>
    </rPh>
    <phoneticPr fontId="2"/>
  </si>
  <si>
    <t>報告書完成日・速報日</t>
    <rPh sb="0" eb="3">
      <t>ホウコクショ</t>
    </rPh>
    <rPh sb="3" eb="5">
      <t>カンセイ</t>
    </rPh>
    <rPh sb="5" eb="6">
      <t>ビ</t>
    </rPh>
    <rPh sb="7" eb="9">
      <t>ソクホウ</t>
    </rPh>
    <rPh sb="9" eb="10">
      <t>ビ</t>
    </rPh>
    <phoneticPr fontId="2"/>
  </si>
  <si>
    <t>報告書形式</t>
    <rPh sb="0" eb="3">
      <t>ホウコクショ</t>
    </rPh>
    <rPh sb="3" eb="4">
      <t>カタチ</t>
    </rPh>
    <rPh sb="4" eb="5">
      <t>シキ</t>
    </rPh>
    <phoneticPr fontId="2"/>
  </si>
  <si>
    <t>報告書指定発行日</t>
    <rPh sb="0" eb="3">
      <t>ホウコクショ</t>
    </rPh>
    <rPh sb="3" eb="5">
      <t>シテイ</t>
    </rPh>
    <rPh sb="5" eb="7">
      <t>ハッコウ</t>
    </rPh>
    <rPh sb="7" eb="8">
      <t>ビ</t>
    </rPh>
    <phoneticPr fontId="2"/>
  </si>
  <si>
    <t>担当部署</t>
    <rPh sb="0" eb="2">
      <t>タントウ</t>
    </rPh>
    <rPh sb="2" eb="4">
      <t>ブショ</t>
    </rPh>
    <phoneticPr fontId="2"/>
  </si>
  <si>
    <t>目的</t>
    <rPh sb="0" eb="2">
      <t>モクテキ</t>
    </rPh>
    <phoneticPr fontId="2"/>
  </si>
  <si>
    <t>報告書記載事項</t>
    <rPh sb="0" eb="3">
      <t>ホウコクショ</t>
    </rPh>
    <rPh sb="3" eb="5">
      <t>キサイ</t>
    </rPh>
    <rPh sb="5" eb="7">
      <t>ジコウ</t>
    </rPh>
    <phoneticPr fontId="2"/>
  </si>
  <si>
    <t>UNJC0030_REPORT_H_SHIRYO_AREA</t>
    <phoneticPr fontId="2"/>
  </si>
  <si>
    <t>採取会社名</t>
    <rPh sb="0" eb="2">
      <t>サイシュ</t>
    </rPh>
    <rPh sb="2" eb="5">
      <t>カイシャメイ</t>
    </rPh>
    <phoneticPr fontId="2"/>
  </si>
  <si>
    <t>天候</t>
    <rPh sb="0" eb="2">
      <t>テンコウ</t>
    </rPh>
    <phoneticPr fontId="2"/>
  </si>
  <si>
    <t>採取者</t>
    <rPh sb="0" eb="2">
      <t>サイシュ</t>
    </rPh>
    <rPh sb="2" eb="3">
      <t>シャ</t>
    </rPh>
    <phoneticPr fontId="2"/>
  </si>
  <si>
    <t>気温</t>
    <rPh sb="0" eb="2">
      <t>キオン</t>
    </rPh>
    <phoneticPr fontId="2"/>
  </si>
  <si>
    <t>水温</t>
    <rPh sb="0" eb="2">
      <t>スイオン</t>
    </rPh>
    <phoneticPr fontId="2"/>
  </si>
  <si>
    <t>採取場所</t>
    <rPh sb="0" eb="2">
      <t>サイシュ</t>
    </rPh>
    <rPh sb="2" eb="4">
      <t>バショ</t>
    </rPh>
    <phoneticPr fontId="2"/>
  </si>
  <si>
    <t>採取日</t>
    <rPh sb="0" eb="2">
      <t>サイシュ</t>
    </rPh>
    <rPh sb="2" eb="3">
      <t>ビ</t>
    </rPh>
    <phoneticPr fontId="2"/>
  </si>
  <si>
    <t>採取時間</t>
    <rPh sb="0" eb="2">
      <t>サイシュ</t>
    </rPh>
    <rPh sb="2" eb="4">
      <t>ジカン</t>
    </rPh>
    <phoneticPr fontId="2"/>
  </si>
  <si>
    <t>容器種類</t>
    <rPh sb="0" eb="2">
      <t>ヨウキ</t>
    </rPh>
    <rPh sb="2" eb="4">
      <t>シュルイ</t>
    </rPh>
    <phoneticPr fontId="2"/>
  </si>
  <si>
    <t>報告書所見要否</t>
    <rPh sb="0" eb="3">
      <t>ホウコクショ</t>
    </rPh>
    <rPh sb="3" eb="5">
      <t>ショケン</t>
    </rPh>
    <rPh sb="5" eb="7">
      <t>ヨウヒ</t>
    </rPh>
    <phoneticPr fontId="2"/>
  </si>
  <si>
    <t>報告項目</t>
    <rPh sb="0" eb="2">
      <t>ホウコク</t>
    </rPh>
    <rPh sb="2" eb="4">
      <t>コウモク</t>
    </rPh>
    <phoneticPr fontId="2"/>
  </si>
  <si>
    <t>報告書外装</t>
    <rPh sb="0" eb="3">
      <t>ホウコクショ</t>
    </rPh>
    <rPh sb="3" eb="5">
      <t>ガイソウ</t>
    </rPh>
    <phoneticPr fontId="2"/>
  </si>
  <si>
    <t>発行部数</t>
    <rPh sb="0" eb="2">
      <t>ハッコウ</t>
    </rPh>
    <rPh sb="2" eb="4">
      <t>ブスウ</t>
    </rPh>
    <phoneticPr fontId="2"/>
  </si>
  <si>
    <t>報告方法</t>
    <rPh sb="0" eb="2">
      <t>ホウコク</t>
    </rPh>
    <rPh sb="2" eb="4">
      <t>ホウホウ</t>
    </rPh>
    <phoneticPr fontId="2"/>
  </si>
  <si>
    <t>追記事項
(手書き)</t>
    <rPh sb="0" eb="2">
      <t>ツイキ</t>
    </rPh>
    <rPh sb="2" eb="4">
      <t>ジコウ</t>
    </rPh>
    <rPh sb="6" eb="8">
      <t>テガ</t>
    </rPh>
    <phoneticPr fontId="2"/>
  </si>
  <si>
    <t>担当者</t>
    <rPh sb="0" eb="3">
      <t>タントウシャ</t>
    </rPh>
    <phoneticPr fontId="2"/>
  </si>
  <si>
    <t>郵便番号</t>
    <rPh sb="0" eb="4">
      <t>ユウビンバンゴウ</t>
    </rPh>
    <phoneticPr fontId="2"/>
  </si>
  <si>
    <t>中間報告</t>
    <rPh sb="0" eb="2">
      <t>チュウカン</t>
    </rPh>
    <rPh sb="2" eb="4">
      <t>ホウコク</t>
    </rPh>
    <phoneticPr fontId="2"/>
  </si>
  <si>
    <t>報告書</t>
    <rPh sb="0" eb="3">
      <t>ホウコクショ</t>
    </rPh>
    <phoneticPr fontId="2"/>
  </si>
  <si>
    <t>【書式】</t>
    <rPh sb="1" eb="3">
      <t>ショシキ</t>
    </rPh>
    <phoneticPr fontId="2"/>
  </si>
  <si>
    <t>【処理用】</t>
    <rPh sb="1" eb="4">
      <t>ショリヨウ</t>
    </rPh>
    <phoneticPr fontId="2"/>
  </si>
  <si>
    <t>【データ展開】</t>
    <rPh sb="4" eb="6">
      <t>テンカイ</t>
    </rPh>
    <phoneticPr fontId="2"/>
  </si>
  <si>
    <t>【ヘッダ】</t>
    <phoneticPr fontId="2"/>
  </si>
  <si>
    <t>【ボディ】</t>
    <phoneticPr fontId="2"/>
  </si>
  <si>
    <t>【詳細】</t>
    <rPh sb="1" eb="3">
      <t>ショウサイ</t>
    </rPh>
    <phoneticPr fontId="2"/>
  </si>
  <si>
    <t>対象受理No.</t>
    <rPh sb="0" eb="2">
      <t>タイショウ</t>
    </rPh>
    <phoneticPr fontId="2"/>
  </si>
  <si>
    <t>分析ステータス名</t>
  </si>
  <si>
    <t>分析区分名</t>
  </si>
  <si>
    <t>入力日時</t>
  </si>
  <si>
    <t>分析担当部署名</t>
  </si>
  <si>
    <t>入力社名</t>
  </si>
  <si>
    <t>報告書形式名</t>
  </si>
  <si>
    <t>速報区分</t>
    <rPh sb="0" eb="2">
      <t>ソクホウ</t>
    </rPh>
    <rPh sb="2" eb="4">
      <t>クブン</t>
    </rPh>
    <phoneticPr fontId="2"/>
  </si>
  <si>
    <t>速報区分名</t>
  </si>
  <si>
    <t>試料種類名</t>
  </si>
  <si>
    <t>一括記載m(左辺)</t>
  </si>
  <si>
    <t>一括記載n(右辺)</t>
  </si>
  <si>
    <t>分析項目名</t>
  </si>
  <si>
    <t>シーケンス</t>
  </si>
  <si>
    <t>ヘッダ書式コピー元</t>
    <rPh sb="3" eb="5">
      <t>ショシキ</t>
    </rPh>
    <rPh sb="8" eb="9">
      <t>モト</t>
    </rPh>
    <phoneticPr fontId="2"/>
  </si>
  <si>
    <t>UNJC0030_REPORT_IF_H_COPY_MOTO</t>
    <phoneticPr fontId="2"/>
  </si>
  <si>
    <t>詳細書式コピー元</t>
    <rPh sb="0" eb="2">
      <t>ショウサイ</t>
    </rPh>
    <rPh sb="2" eb="4">
      <t>ショシキ</t>
    </rPh>
    <rPh sb="7" eb="8">
      <t>モト</t>
    </rPh>
    <phoneticPr fontId="2"/>
  </si>
  <si>
    <t>UNJC0030_REPORT_IF_SHOSAI_COPY_MOTO</t>
    <phoneticPr fontId="2"/>
  </si>
  <si>
    <t>対象受注件数</t>
    <rPh sb="0" eb="2">
      <t>タイショウ</t>
    </rPh>
    <rPh sb="2" eb="4">
      <t>ジュチュウ</t>
    </rPh>
    <rPh sb="4" eb="6">
      <t>ケンスウ</t>
    </rPh>
    <phoneticPr fontId="2"/>
  </si>
  <si>
    <t>UNJC0030_REPORT_IF_JUCHU_CNT</t>
    <phoneticPr fontId="2"/>
  </si>
  <si>
    <t>対象受理No.展開開始位置</t>
    <rPh sb="0" eb="2">
      <t>タイショウ</t>
    </rPh>
    <rPh sb="2" eb="4">
      <t>ジュリ</t>
    </rPh>
    <rPh sb="7" eb="9">
      <t>テンカイ</t>
    </rPh>
    <rPh sb="9" eb="11">
      <t>カイシ</t>
    </rPh>
    <rPh sb="11" eb="13">
      <t>イチ</t>
    </rPh>
    <phoneticPr fontId="2"/>
  </si>
  <si>
    <t>UNJC0030_REPORT_IF_JURI_NO_START</t>
    <phoneticPr fontId="2"/>
  </si>
  <si>
    <t>データ展開開始位置</t>
    <rPh sb="3" eb="5">
      <t>テンカイ</t>
    </rPh>
    <rPh sb="5" eb="7">
      <t>カイシ</t>
    </rPh>
    <rPh sb="7" eb="9">
      <t>イチ</t>
    </rPh>
    <phoneticPr fontId="2"/>
  </si>
  <si>
    <t>UNJC0030_REPORT_IF_B_DATA_START</t>
    <phoneticPr fontId="2"/>
  </si>
  <si>
    <t>UNJC0030_REPORT_IF_SHOSAI_DATA_START</t>
    <phoneticPr fontId="2"/>
  </si>
  <si>
    <t>ループカウント</t>
    <phoneticPr fontId="2"/>
  </si>
  <si>
    <t>UNJC0030_REPORT_IF_LOOP_CNT</t>
    <phoneticPr fontId="2"/>
  </si>
  <si>
    <t>読込対象受理No.</t>
    <rPh sb="0" eb="2">
      <t>ヨミコミ</t>
    </rPh>
    <rPh sb="2" eb="4">
      <t>タイショウ</t>
    </rPh>
    <rPh sb="4" eb="6">
      <t>ジュリ</t>
    </rPh>
    <phoneticPr fontId="2"/>
  </si>
  <si>
    <t>UNJC0030_REPORT_IF_LOAD_JURI_NO</t>
    <phoneticPr fontId="2"/>
  </si>
  <si>
    <t>納品方法実績</t>
    <rPh sb="0" eb="2">
      <t>ノウヒン</t>
    </rPh>
    <rPh sb="2" eb="4">
      <t>ホウホウ</t>
    </rPh>
    <rPh sb="4" eb="6">
      <t>ジッセキ</t>
    </rPh>
    <phoneticPr fontId="2"/>
  </si>
  <si>
    <t>枝番件数</t>
    <rPh sb="0" eb="1">
      <t>エダ</t>
    </rPh>
    <rPh sb="1" eb="2">
      <t>バン</t>
    </rPh>
    <rPh sb="2" eb="4">
      <t>ケンスウ</t>
    </rPh>
    <phoneticPr fontId="2"/>
  </si>
  <si>
    <t>UNJC0030_REPORT_IF_EDA_CNT</t>
    <phoneticPr fontId="2"/>
  </si>
  <si>
    <t>分析項目総数</t>
    <rPh sb="0" eb="2">
      <t>ブンセキ</t>
    </rPh>
    <rPh sb="2" eb="4">
      <t>コウモク</t>
    </rPh>
    <rPh sb="4" eb="6">
      <t>ソウスウ</t>
    </rPh>
    <phoneticPr fontId="2"/>
  </si>
  <si>
    <t>UNJC0030_REPORT_IF_SHOSAI_CNT</t>
    <phoneticPr fontId="2"/>
  </si>
  <si>
    <t>枝番分析項目件数</t>
    <rPh sb="0" eb="1">
      <t>エダ</t>
    </rPh>
    <rPh sb="1" eb="2">
      <t>バン</t>
    </rPh>
    <rPh sb="2" eb="4">
      <t>ブンセキ</t>
    </rPh>
    <rPh sb="4" eb="6">
      <t>コウモク</t>
    </rPh>
    <rPh sb="6" eb="8">
      <t>ケンスウ</t>
    </rPh>
    <phoneticPr fontId="2"/>
  </si>
  <si>
    <t>UNJC0030_REPORT_IF_EDA_SHOSAI_CNT</t>
    <phoneticPr fontId="2"/>
  </si>
  <si>
    <t>試料領域</t>
    <rPh sb="0" eb="2">
      <t>シリョウ</t>
    </rPh>
    <rPh sb="2" eb="4">
      <t>リョウイキ</t>
    </rPh>
    <phoneticPr fontId="2"/>
  </si>
  <si>
    <t>UNJC0030_REPORT_IF_B_SHIRYO_AREA</t>
    <phoneticPr fontId="2"/>
  </si>
  <si>
    <t>分析項目</t>
    <rPh sb="0" eb="2">
      <t>ブンセキ</t>
    </rPh>
    <rPh sb="2" eb="4">
      <t>コウモク</t>
    </rPh>
    <phoneticPr fontId="2"/>
  </si>
  <si>
    <t>詳細書式コピー開始位置</t>
    <rPh sb="0" eb="2">
      <t>ショウサイ</t>
    </rPh>
    <rPh sb="2" eb="4">
      <t>ショシキ</t>
    </rPh>
    <rPh sb="7" eb="9">
      <t>カイシ</t>
    </rPh>
    <rPh sb="9" eb="11">
      <t>イチ</t>
    </rPh>
    <phoneticPr fontId="2"/>
  </si>
  <si>
    <t>UNJC0030_REPORT_IF_SHOSAI_COPY_START</t>
    <phoneticPr fontId="2"/>
  </si>
  <si>
    <t>ボディ書式コピー元</t>
    <rPh sb="3" eb="5">
      <t>ショシキ</t>
    </rPh>
    <rPh sb="8" eb="9">
      <t>モト</t>
    </rPh>
    <phoneticPr fontId="2"/>
  </si>
  <si>
    <t>UNJC0030_REPORT_IF_B_COPY_MOTO</t>
    <phoneticPr fontId="2"/>
  </si>
  <si>
    <t>枝番位置</t>
    <rPh sb="0" eb="1">
      <t>エダ</t>
    </rPh>
    <rPh sb="1" eb="2">
      <t>バン</t>
    </rPh>
    <rPh sb="2" eb="4">
      <t>イチ</t>
    </rPh>
    <phoneticPr fontId="2"/>
  </si>
  <si>
    <t>UNJC0030_REPORT_IF_B_EDA</t>
    <phoneticPr fontId="2"/>
  </si>
  <si>
    <t>分析依頼書ヘッダ読込SQL</t>
    <rPh sb="0" eb="2">
      <t>ブンセキ</t>
    </rPh>
    <rPh sb="2" eb="5">
      <t>イライショ</t>
    </rPh>
    <rPh sb="8" eb="10">
      <t>ヨミコミ</t>
    </rPh>
    <phoneticPr fontId="2"/>
  </si>
  <si>
    <t>UNJC0030_REPORT_SQL_SELECT_BUN_JUCHU_H</t>
    <phoneticPr fontId="2"/>
  </si>
  <si>
    <t>SELECT</t>
    <phoneticPr fontId="2"/>
  </si>
  <si>
    <t xml:space="preserve">SELECT *
  FROM V_BUN_JUCHU_REPORT_H
</t>
    <phoneticPr fontId="2"/>
  </si>
  <si>
    <t>分析依頼書ボディ読込SQL</t>
    <rPh sb="0" eb="2">
      <t>ブンセキ</t>
    </rPh>
    <rPh sb="2" eb="5">
      <t>イライショ</t>
    </rPh>
    <rPh sb="8" eb="10">
      <t>ヨミコミ</t>
    </rPh>
    <phoneticPr fontId="2"/>
  </si>
  <si>
    <t>UNJC0030_REPORT_SQL_SELECT_BUN_JUCHU_B</t>
    <phoneticPr fontId="2"/>
  </si>
  <si>
    <t xml:space="preserve">SELECT *
  FROM V_BUN_JUCHU_REPORT_B
</t>
    <phoneticPr fontId="2"/>
  </si>
  <si>
    <t>分析依頼書詳細読込SQL</t>
    <rPh sb="0" eb="2">
      <t>ブンセキ</t>
    </rPh>
    <rPh sb="2" eb="5">
      <t>イライショ</t>
    </rPh>
    <rPh sb="5" eb="7">
      <t>ショウサイ</t>
    </rPh>
    <rPh sb="7" eb="9">
      <t>ヨミコミ</t>
    </rPh>
    <phoneticPr fontId="2"/>
  </si>
  <si>
    <t>UNJC0030_REPORT_SQL_SELECT_BUN_JUCHU_SHOSAI</t>
    <phoneticPr fontId="2"/>
  </si>
  <si>
    <t xml:space="preserve">SELECT *
  FROM V_BUN_JUCHU_REPORT_SHOSAI
</t>
    <phoneticPr fontId="2"/>
  </si>
  <si>
    <t>受理№</t>
    <phoneticPr fontId="2"/>
  </si>
  <si>
    <t>請求先</t>
  </si>
  <si>
    <t>完了日</t>
    <rPh sb="0" eb="3">
      <t>カンリョウビ</t>
    </rPh>
    <phoneticPr fontId="2"/>
  </si>
  <si>
    <t>バーコード</t>
    <phoneticPr fontId="2"/>
  </si>
  <si>
    <t>営業担当</t>
  </si>
  <si>
    <t>【変数定義】</t>
    <rPh sb="1" eb="3">
      <t>ヘンスウ</t>
    </rPh>
    <rPh sb="3" eb="5">
      <t>テイギ</t>
    </rPh>
    <phoneticPr fontId="2"/>
  </si>
  <si>
    <t>データ数</t>
    <rPh sb="3" eb="4">
      <t>スウ</t>
    </rPh>
    <phoneticPr fontId="2"/>
  </si>
  <si>
    <t>UNJC0030_LABEL_IF_DATA_COUNT</t>
    <phoneticPr fontId="2"/>
  </si>
  <si>
    <t>報告書完成日/速報日</t>
  </si>
  <si>
    <t>試料ラベルコピー元</t>
    <rPh sb="0" eb="2">
      <t>シリョウ</t>
    </rPh>
    <rPh sb="8" eb="9">
      <t>モト</t>
    </rPh>
    <phoneticPr fontId="2"/>
  </si>
  <si>
    <t>UNJC0030_LABEL_IF_LABEL_COPY_MOTO</t>
    <phoneticPr fontId="2"/>
  </si>
  <si>
    <t>UNJC0030_LABEL_IF_DATA_START</t>
    <phoneticPr fontId="2"/>
  </si>
  <si>
    <t>分析ステータス変更履歴</t>
    <rPh sb="0" eb="2">
      <t>ブンセキ</t>
    </rPh>
    <rPh sb="7" eb="9">
      <t>ヘンコウ</t>
    </rPh>
    <rPh sb="9" eb="11">
      <t>リレキ</t>
    </rPh>
    <phoneticPr fontId="2"/>
  </si>
  <si>
    <t>UNJC0040_CTRL_HYOJI_GYO_SU</t>
    <phoneticPr fontId="2"/>
  </si>
  <si>
    <t>受理№:</t>
    <rPh sb="0" eb="2">
      <t>ジュリ</t>
    </rPh>
    <phoneticPr fontId="2"/>
  </si>
  <si>
    <t>分析区分:</t>
    <rPh sb="0" eb="2">
      <t>ブンセキ</t>
    </rPh>
    <rPh sb="2" eb="4">
      <t>クブン</t>
    </rPh>
    <phoneticPr fontId="2"/>
  </si>
  <si>
    <t>報告書宛名:</t>
    <rPh sb="0" eb="3">
      <t>ホウコクショ</t>
    </rPh>
    <rPh sb="3" eb="5">
      <t>アテナ</t>
    </rPh>
    <phoneticPr fontId="2"/>
  </si>
  <si>
    <t>UNJC0040_KENSAKU_KENSU</t>
    <phoneticPr fontId="2"/>
  </si>
  <si>
    <t>件名:</t>
    <rPh sb="0" eb="2">
      <t>ケンメイ</t>
    </rPh>
    <phoneticPr fontId="2"/>
  </si>
  <si>
    <t>UNJC0040_PAGE_NO</t>
    <phoneticPr fontId="2"/>
  </si>
  <si>
    <t>変更後ステータス</t>
    <rPh sb="0" eb="2">
      <t>ヘンコウ</t>
    </rPh>
    <rPh sb="2" eb="3">
      <t>ゴ</t>
    </rPh>
    <phoneticPr fontId="2"/>
  </si>
  <si>
    <t>変更前ステータス</t>
    <rPh sb="0" eb="2">
      <t>ヘンコウ</t>
    </rPh>
    <rPh sb="2" eb="3">
      <t>マエ</t>
    </rPh>
    <phoneticPr fontId="2"/>
  </si>
  <si>
    <t>変更日時</t>
    <rPh sb="0" eb="2">
      <t>ヘンコウ</t>
    </rPh>
    <rPh sb="2" eb="4">
      <t>ニチジ</t>
    </rPh>
    <phoneticPr fontId="2"/>
  </si>
  <si>
    <t>変更者名</t>
    <rPh sb="0" eb="2">
      <t>ヘンコウ</t>
    </rPh>
    <rPh sb="2" eb="3">
      <t>シャ</t>
    </rPh>
    <rPh sb="3" eb="4">
      <t>メイ</t>
    </rPh>
    <phoneticPr fontId="2"/>
  </si>
  <si>
    <t>UNJC0040_ALL_PAGE_SU</t>
    <phoneticPr fontId="2"/>
  </si>
  <si>
    <t>UNJC0040_HYOJI_KENSU</t>
    <phoneticPr fontId="2"/>
  </si>
  <si>
    <t>UNJC0040_LIST_START</t>
    <phoneticPr fontId="2"/>
  </si>
  <si>
    <t>UNJC0040_COPY_SAKI</t>
    <phoneticPr fontId="2"/>
  </si>
  <si>
    <t>UNJC0040_LIST_CLEAR</t>
    <phoneticPr fontId="2"/>
  </si>
  <si>
    <t>UNJC0040_FORMAT_COPY_FLG</t>
    <phoneticPr fontId="2"/>
  </si>
  <si>
    <t>UNJC0040_EXIST_NEXT_PAGE</t>
    <phoneticPr fontId="2"/>
  </si>
  <si>
    <t>UNJC0040_EXIST_PREV_PAGE</t>
    <phoneticPr fontId="2"/>
  </si>
  <si>
    <t>UNJC0040_NEXT_PAGE_NO</t>
    <phoneticPr fontId="2"/>
  </si>
  <si>
    <t>UNJC0040_PREV_PAGE_NO</t>
    <phoneticPr fontId="2"/>
  </si>
  <si>
    <t>UNJC0040_HIDE_COLUMN</t>
    <phoneticPr fontId="2"/>
  </si>
  <si>
    <t>UNJC0040_IF_LIST_DEFAULT</t>
    <phoneticPr fontId="2"/>
  </si>
  <si>
    <t>UNJC0040_IF_LIST_COPY_MOTO</t>
    <phoneticPr fontId="2"/>
  </si>
  <si>
    <t>【初期化用データ】</t>
    <rPh sb="1" eb="3">
      <t>ショキ</t>
    </rPh>
    <rPh sb="3" eb="4">
      <t>カ</t>
    </rPh>
    <rPh sb="4" eb="5">
      <t>ヨウ</t>
    </rPh>
    <phoneticPr fontId="2"/>
  </si>
  <si>
    <t>受理No控え</t>
    <rPh sb="0" eb="2">
      <t>ジュリ</t>
    </rPh>
    <rPh sb="4" eb="5">
      <t>ヒカ</t>
    </rPh>
    <phoneticPr fontId="2"/>
  </si>
  <si>
    <t>UNJC0040_IF_JURI_NO</t>
    <phoneticPr fontId="2"/>
  </si>
  <si>
    <t>ASDF</t>
    <phoneticPr fontId="2"/>
  </si>
  <si>
    <t>受注No.</t>
    <rPh sb="0" eb="2">
      <t>ジュチュウ</t>
    </rPh>
    <phoneticPr fontId="2"/>
  </si>
  <si>
    <t>分析ステータス変更履歴
読込みSQL</t>
    <rPh sb="0" eb="2">
      <t>ブンセキ</t>
    </rPh>
    <rPh sb="7" eb="9">
      <t>ヘンコウ</t>
    </rPh>
    <rPh sb="9" eb="11">
      <t>リレキ</t>
    </rPh>
    <rPh sb="12" eb="14">
      <t>ヨミコ</t>
    </rPh>
    <phoneticPr fontId="2"/>
  </si>
  <si>
    <t>UNJC0040_SQL_SELECT_BUN_STS_R_B</t>
    <phoneticPr fontId="2"/>
  </si>
  <si>
    <t>分析ステータス変更履歴
行数カウントSQL</t>
    <rPh sb="0" eb="2">
      <t>ブンセキ</t>
    </rPh>
    <rPh sb="7" eb="9">
      <t>ヘンコウ</t>
    </rPh>
    <rPh sb="9" eb="11">
      <t>リレキ</t>
    </rPh>
    <rPh sb="12" eb="14">
      <t>ギョウスウ</t>
    </rPh>
    <phoneticPr fontId="2"/>
  </si>
  <si>
    <t>UNJC0040_SQL_SELECT_BUN_STS_R_B_CNT</t>
    <phoneticPr fontId="2"/>
  </si>
  <si>
    <t>分析ステータス変更履歴ヘッダ部分
読込みSQL</t>
    <rPh sb="0" eb="2">
      <t>ブンセキ</t>
    </rPh>
    <rPh sb="7" eb="9">
      <t>ヘンコウ</t>
    </rPh>
    <rPh sb="9" eb="11">
      <t>リレキ</t>
    </rPh>
    <rPh sb="14" eb="16">
      <t>ブブン</t>
    </rPh>
    <rPh sb="17" eb="19">
      <t>ヨミコ</t>
    </rPh>
    <phoneticPr fontId="2"/>
  </si>
  <si>
    <t>UNJC0040_SQL_SELECT_BUN_STS_R_H</t>
    <phoneticPr fontId="2"/>
  </si>
  <si>
    <t>分析ステータス履歴読込みSQL
ベースコード</t>
    <rPh sb="0" eb="2">
      <t>ブンセキ</t>
    </rPh>
    <rPh sb="7" eb="9">
      <t>リレキ</t>
    </rPh>
    <rPh sb="9" eb="11">
      <t>ヨミコ</t>
    </rPh>
    <phoneticPr fontId="2"/>
  </si>
  <si>
    <t xml:space="preserve">SELECT *
  FROM V_BUN_STS_R_B
 WHERE 1=1
</t>
    <phoneticPr fontId="2"/>
  </si>
  <si>
    <t>分析ステータス変更履歴リスト
行数カウント
SQLベース</t>
    <rPh sb="0" eb="2">
      <t>ブンセキ</t>
    </rPh>
    <rPh sb="7" eb="9">
      <t>ヘンコウ</t>
    </rPh>
    <rPh sb="9" eb="11">
      <t>リレキ</t>
    </rPh>
    <rPh sb="15" eb="17">
      <t>ギョウスウ</t>
    </rPh>
    <phoneticPr fontId="2"/>
  </si>
  <si>
    <t xml:space="preserve">SELECT COUNT(*) AS CNT
  FROM V_BUN_STS_R_B
 WHERE 1=1
</t>
    <phoneticPr fontId="2"/>
  </si>
  <si>
    <t>条件(受理No)</t>
    <rPh sb="0" eb="2">
      <t>ジョウケン</t>
    </rPh>
    <rPh sb="3" eb="5">
      <t>ジュリ</t>
    </rPh>
    <phoneticPr fontId="2"/>
  </si>
  <si>
    <t>UNJC0040_SQL_SORT</t>
    <phoneticPr fontId="2"/>
  </si>
  <si>
    <t xml:space="preserve"> ORDER BY V_BUN_STS_R_B.UPDATE_DATE DESC</t>
    <phoneticPr fontId="2"/>
  </si>
  <si>
    <t>UNJC0040_SQL_INIT_SORT</t>
    <phoneticPr fontId="2"/>
  </si>
  <si>
    <t>SELECT M_MEISHO_B.DATA_2   AS ORDER句
   FROM M_MEISHO_B
 WHERE M_MEISHO_B.MEISHO_KBN = 'O302'
   AND M_MEISHO_B.MEISHO_CD='2'</t>
    <rPh sb="35" eb="36">
      <t>ク</t>
    </rPh>
    <phoneticPr fontId="2"/>
  </si>
  <si>
    <t>UNJC0040_SQL_RESULT_SORT</t>
    <phoneticPr fontId="2"/>
  </si>
  <si>
    <t xml:space="preserve">SELECT M_MEISHO_B.DATA_1        AS 並べ替え
      ,M_MEISHO_B.DATA_2        AS ORDER句
  FROM M_MEISHO_B
 WHERE M_MEISHO_B.MEISHO_KBN = 'O302'
 ORDER BY M_MEISHO_B.SORT_NO ASC
      ,CAST(M_MEISHO_B.MEISHO_CD AS INT) ASC
  </t>
    <phoneticPr fontId="2"/>
  </si>
  <si>
    <t>【画面遷移制御】</t>
    <rPh sb="1" eb="3">
      <t>ガメン</t>
    </rPh>
    <rPh sb="3" eb="5">
      <t>センイ</t>
    </rPh>
    <rPh sb="5" eb="7">
      <t>セイギョ</t>
    </rPh>
    <phoneticPr fontId="2"/>
  </si>
  <si>
    <t>画面遷移確認メッセージ表示判定</t>
    <rPh sb="0" eb="2">
      <t>ガメン</t>
    </rPh>
    <rPh sb="2" eb="4">
      <t>センイ</t>
    </rPh>
    <rPh sb="4" eb="6">
      <t>カクニン</t>
    </rPh>
    <rPh sb="11" eb="13">
      <t>ヒョウジ</t>
    </rPh>
    <rPh sb="13" eb="15">
      <t>ハンテイ</t>
    </rPh>
    <phoneticPr fontId="2"/>
  </si>
  <si>
    <t>UNJC_COMMON_CHANGE_CHECK</t>
    <phoneticPr fontId="2"/>
  </si>
  <si>
    <t>1:表示する / 2:表示しない</t>
    <rPh sb="2" eb="4">
      <t>ヒョウジ</t>
    </rPh>
    <rPh sb="11" eb="13">
      <t>ヒョウジ</t>
    </rPh>
    <phoneticPr fontId="2"/>
  </si>
  <si>
    <t>表示中シート名</t>
    <rPh sb="0" eb="3">
      <t>ヒョウジチュウ</t>
    </rPh>
    <rPh sb="6" eb="7">
      <t>メイ</t>
    </rPh>
    <phoneticPr fontId="2"/>
  </si>
  <si>
    <t>UNJC_COMMON_ACTIVE_SHEET_NAME</t>
    <phoneticPr fontId="2"/>
  </si>
  <si>
    <t>シート名</t>
    <rPh sb="3" eb="4">
      <t>メイ</t>
    </rPh>
    <phoneticPr fontId="2"/>
  </si>
  <si>
    <t>モードセル名</t>
    <rPh sb="5" eb="6">
      <t>メイ</t>
    </rPh>
    <phoneticPr fontId="2"/>
  </si>
  <si>
    <t>状態</t>
    <rPh sb="0" eb="2">
      <t>ジョウタイ</t>
    </rPh>
    <phoneticPr fontId="2"/>
  </si>
  <si>
    <t>対象シート範囲</t>
    <rPh sb="0" eb="2">
      <t>タイショウ</t>
    </rPh>
    <rPh sb="5" eb="7">
      <t>ハンイ</t>
    </rPh>
    <phoneticPr fontId="2"/>
  </si>
  <si>
    <t>UNJC_COMMON_CHANGE_CHECK_AREA</t>
    <phoneticPr fontId="2"/>
  </si>
  <si>
    <t>UNJC0030</t>
    <phoneticPr fontId="2"/>
  </si>
  <si>
    <t>UNJC0030_IF_MODE</t>
    <phoneticPr fontId="2"/>
  </si>
  <si>
    <t>UNJC1030</t>
    <phoneticPr fontId="2"/>
  </si>
  <si>
    <t>UNJC1030_IF_MODE</t>
    <phoneticPr fontId="2"/>
  </si>
  <si>
    <t>TEL</t>
    <phoneticPr fontId="2"/>
  </si>
  <si>
    <t>必須情報</t>
    <rPh sb="0" eb="2">
      <t>ヒッス</t>
    </rPh>
    <rPh sb="2" eb="4">
      <t>ジョウホウ</t>
    </rPh>
    <phoneticPr fontId="2"/>
  </si>
  <si>
    <t>必須チェック設定</t>
    <rPh sb="0" eb="2">
      <t>ヒッス</t>
    </rPh>
    <rPh sb="6" eb="8">
      <t>セッテイ</t>
    </rPh>
    <phoneticPr fontId="2"/>
  </si>
  <si>
    <t>結果出力先シート名</t>
    <rPh sb="0" eb="2">
      <t>ケッカ</t>
    </rPh>
    <rPh sb="2" eb="5">
      <t>シュツリョクサキ</t>
    </rPh>
    <rPh sb="8" eb="9">
      <t>メイ</t>
    </rPh>
    <phoneticPr fontId="2"/>
  </si>
  <si>
    <t>結果出力先セル</t>
    <rPh sb="0" eb="2">
      <t>ケッカ</t>
    </rPh>
    <rPh sb="2" eb="5">
      <t>シュツリョクサキ</t>
    </rPh>
    <phoneticPr fontId="2"/>
  </si>
  <si>
    <t>項目名</t>
    <rPh sb="0" eb="3">
      <t>コウモクメイ</t>
    </rPh>
    <phoneticPr fontId="2"/>
  </si>
  <si>
    <t>情報</t>
    <rPh sb="0" eb="2">
      <t>ジョウホウ</t>
    </rPh>
    <phoneticPr fontId="2"/>
  </si>
  <si>
    <t>入力チェックセル名</t>
    <rPh sb="0" eb="2">
      <t>ニュウリョク</t>
    </rPh>
    <rPh sb="8" eb="9">
      <t>メイ</t>
    </rPh>
    <phoneticPr fontId="2"/>
  </si>
  <si>
    <t>入力チェックセル項目名</t>
    <rPh sb="0" eb="2">
      <t>ニュウリョク</t>
    </rPh>
    <rPh sb="8" eb="11">
      <t>コウモクメイ</t>
    </rPh>
    <phoneticPr fontId="2"/>
  </si>
  <si>
    <t>入力チェック・リスト</t>
    <rPh sb="0" eb="2">
      <t>ニュウリョク</t>
    </rPh>
    <phoneticPr fontId="2"/>
  </si>
  <si>
    <t>開始位置</t>
    <rPh sb="0" eb="2">
      <t>カイシ</t>
    </rPh>
    <rPh sb="2" eb="4">
      <t>イチ</t>
    </rPh>
    <phoneticPr fontId="2"/>
  </si>
  <si>
    <t>横幅（列数）</t>
    <rPh sb="0" eb="2">
      <t>ヨコハバ</t>
    </rPh>
    <rPh sb="3" eb="4">
      <t>レツ</t>
    </rPh>
    <rPh sb="4" eb="5">
      <t>スウ</t>
    </rPh>
    <phoneticPr fontId="2"/>
  </si>
  <si>
    <t>縦幅（行数）</t>
    <rPh sb="0" eb="2">
      <t>タテハバ</t>
    </rPh>
    <rPh sb="3" eb="5">
      <t>ギョウスウ</t>
    </rPh>
    <phoneticPr fontId="2"/>
  </si>
  <si>
    <t>項目名リスト</t>
    <rPh sb="0" eb="2">
      <t>コウモク</t>
    </rPh>
    <rPh sb="2" eb="3">
      <t>メイ</t>
    </rPh>
    <phoneticPr fontId="2"/>
  </si>
  <si>
    <t>除外セル(アドレス)</t>
    <rPh sb="0" eb="2">
      <t>ジョガイ</t>
    </rPh>
    <phoneticPr fontId="2"/>
  </si>
  <si>
    <t>除外列リスト(列数)</t>
    <rPh sb="0" eb="2">
      <t>ジョガイ</t>
    </rPh>
    <rPh sb="2" eb="3">
      <t>レツ</t>
    </rPh>
    <rPh sb="7" eb="8">
      <t>レツ</t>
    </rPh>
    <rPh sb="8" eb="9">
      <t>スウ</t>
    </rPh>
    <phoneticPr fontId="2"/>
  </si>
  <si>
    <t>除外行リスト(行数)</t>
    <rPh sb="0" eb="2">
      <t>ジョガイ</t>
    </rPh>
    <rPh sb="2" eb="3">
      <t>ギョウ</t>
    </rPh>
    <rPh sb="7" eb="9">
      <t>ギョウスウ</t>
    </rPh>
    <phoneticPr fontId="2"/>
  </si>
  <si>
    <t>※エラー結果をExcelシートに出力</t>
    <rPh sb="4" eb="6">
      <t>ケッカ</t>
    </rPh>
    <rPh sb="16" eb="18">
      <t>シュツリョク</t>
    </rPh>
    <phoneticPr fontId="2"/>
  </si>
  <si>
    <t>リスト：行番号、項目名</t>
    <rPh sb="8" eb="11">
      <t>コウモクメイ</t>
    </rPh>
    <phoneticPr fontId="2"/>
  </si>
  <si>
    <t>個別：行番号はゼロ、項目名</t>
    <rPh sb="0" eb="2">
      <t>コベツ</t>
    </rPh>
    <rPh sb="10" eb="13">
      <t>コウモクメイ</t>
    </rPh>
    <phoneticPr fontId="2"/>
  </si>
  <si>
    <t>開始位置が無い場合はリストチェックをしない</t>
    <rPh sb="0" eb="2">
      <t>カイシ</t>
    </rPh>
    <rPh sb="2" eb="4">
      <t>イチ</t>
    </rPh>
    <rPh sb="5" eb="6">
      <t>ナ</t>
    </rPh>
    <rPh sb="7" eb="9">
      <t>バアイ</t>
    </rPh>
    <phoneticPr fontId="2"/>
  </si>
  <si>
    <t>必須チェック結果出力先</t>
    <rPh sb="0" eb="2">
      <t>ヒッス</t>
    </rPh>
    <rPh sb="6" eb="8">
      <t>ケッカ</t>
    </rPh>
    <rPh sb="8" eb="10">
      <t>シュツリョク</t>
    </rPh>
    <rPh sb="10" eb="11">
      <t>サキ</t>
    </rPh>
    <phoneticPr fontId="2"/>
  </si>
  <si>
    <t>UNJC1030_IF_SAVE_CHECK_RESULT</t>
    <phoneticPr fontId="2"/>
  </si>
  <si>
    <t>UNJC1030_IF</t>
  </si>
  <si>
    <t>UNJC0030_IF_SAVE_CHECK_RESULT</t>
    <phoneticPr fontId="2"/>
  </si>
  <si>
    <t>UNJC0030_IF</t>
  </si>
  <si>
    <t>UNJC0030_H</t>
  </si>
  <si>
    <t>ステータス▼</t>
    <phoneticPr fontId="2"/>
  </si>
  <si>
    <t>分析担当部署名▼</t>
    <phoneticPr fontId="2"/>
  </si>
  <si>
    <t>入力者名▼</t>
    <phoneticPr fontId="2"/>
  </si>
  <si>
    <t>報告書宛名▽</t>
    <phoneticPr fontId="2"/>
  </si>
  <si>
    <t>報告書完成日/速報日▼</t>
    <phoneticPr fontId="2"/>
  </si>
  <si>
    <t>速報▼</t>
    <phoneticPr fontId="2"/>
  </si>
  <si>
    <t>件名：</t>
    <phoneticPr fontId="2"/>
  </si>
  <si>
    <t>発行部数：</t>
    <phoneticPr fontId="2"/>
  </si>
  <si>
    <t>報告方法▼</t>
    <phoneticPr fontId="2"/>
  </si>
  <si>
    <t>UNJC0030_IF_SAVE_CHECK_ERROR_KOMOKU</t>
    <phoneticPr fontId="2"/>
  </si>
  <si>
    <t>UNJC1030_IF_SAVE_CHECK_ERROR_KOMOKU</t>
    <phoneticPr fontId="2"/>
  </si>
  <si>
    <t>UNJC1030_H</t>
    <phoneticPr fontId="2"/>
  </si>
  <si>
    <t>チェック開始位置</t>
    <rPh sb="4" eb="6">
      <t>カイシ</t>
    </rPh>
    <rPh sb="6" eb="8">
      <t>イチ</t>
    </rPh>
    <phoneticPr fontId="2"/>
  </si>
  <si>
    <t>ステータス▼</t>
    <phoneticPr fontId="2"/>
  </si>
  <si>
    <t>商品CD,商品名,受注数量,受注数量単位,販売単価</t>
    <phoneticPr fontId="2"/>
  </si>
  <si>
    <t>除外行</t>
    <rPh sb="0" eb="2">
      <t>ジョガイ</t>
    </rPh>
    <rPh sb="2" eb="3">
      <t>ギョウ</t>
    </rPh>
    <phoneticPr fontId="2"/>
  </si>
  <si>
    <t>【必須チェック】</t>
    <rPh sb="1" eb="3">
      <t>ヒッス</t>
    </rPh>
    <phoneticPr fontId="2"/>
  </si>
  <si>
    <t>UNJC1030_IF_INPUT_ERROR_MESSAGE</t>
    <phoneticPr fontId="2"/>
  </si>
  <si>
    <t>UNJC0030_IF_INPUT_CHECK</t>
    <phoneticPr fontId="2"/>
  </si>
  <si>
    <t>UNJC0030_IF_INPUT_ERROR_MESSAGE</t>
    <phoneticPr fontId="2"/>
  </si>
  <si>
    <t>エラーメッセージ</t>
    <phoneticPr fontId="2"/>
  </si>
  <si>
    <t>Excel出力用ORDER句</t>
    <rPh sb="5" eb="7">
      <t>シュツリョク</t>
    </rPh>
    <rPh sb="7" eb="8">
      <t>ヨウ</t>
    </rPh>
    <rPh sb="13" eb="14">
      <t>ク</t>
    </rPh>
    <phoneticPr fontId="2"/>
  </si>
  <si>
    <t>UNJC0020_SQL_SORT_EXCEL</t>
    <phoneticPr fontId="2"/>
  </si>
  <si>
    <t>分析依頼リスト
Excel出力SQL</t>
    <rPh sb="0" eb="2">
      <t>ブンセキ</t>
    </rPh>
    <rPh sb="2" eb="4">
      <t>イライ</t>
    </rPh>
    <rPh sb="13" eb="15">
      <t>シュツリョク</t>
    </rPh>
    <phoneticPr fontId="2"/>
  </si>
  <si>
    <t>分析依頼リスト
Excel出力SQL
ベースコード</t>
    <rPh sb="0" eb="4">
      <t>ブンセキイライ</t>
    </rPh>
    <rPh sb="13" eb="15">
      <t>シュツリョク</t>
    </rPh>
    <phoneticPr fontId="2"/>
  </si>
  <si>
    <t>受理No.</t>
    <phoneticPr fontId="2"/>
  </si>
  <si>
    <t>分析ステータス</t>
    <phoneticPr fontId="2"/>
  </si>
  <si>
    <t>分析受注区分</t>
    <phoneticPr fontId="2"/>
  </si>
  <si>
    <t>分析担当部署CD</t>
    <phoneticPr fontId="2"/>
  </si>
  <si>
    <t>入力日時</t>
    <phoneticPr fontId="2"/>
  </si>
  <si>
    <t>入力者CD</t>
    <phoneticPr fontId="2"/>
  </si>
  <si>
    <t>参照元受理No.</t>
    <phoneticPr fontId="2"/>
  </si>
  <si>
    <t>見積No.</t>
    <phoneticPr fontId="2"/>
  </si>
  <si>
    <t>報告書宛名CD</t>
    <phoneticPr fontId="2"/>
  </si>
  <si>
    <t>報告書宛名</t>
    <phoneticPr fontId="2"/>
  </si>
  <si>
    <t>請求先CD</t>
    <phoneticPr fontId="2"/>
  </si>
  <si>
    <t>報告書形式</t>
    <phoneticPr fontId="2"/>
  </si>
  <si>
    <t>納品方法実績</t>
    <phoneticPr fontId="2"/>
  </si>
  <si>
    <t>営業担当者CD</t>
    <phoneticPr fontId="2"/>
  </si>
  <si>
    <t>依頼日／受付日</t>
    <phoneticPr fontId="2"/>
  </si>
  <si>
    <t>分析担当者完了日</t>
    <phoneticPr fontId="2"/>
  </si>
  <si>
    <t>報告書完成日／速報日</t>
    <phoneticPr fontId="2"/>
  </si>
  <si>
    <t>速報区分</t>
    <phoneticPr fontId="2"/>
  </si>
  <si>
    <t>報告書指定発行日</t>
    <phoneticPr fontId="2"/>
  </si>
  <si>
    <t>納品日</t>
    <phoneticPr fontId="2"/>
  </si>
  <si>
    <t>件名</t>
    <phoneticPr fontId="2"/>
  </si>
  <si>
    <t>目的</t>
    <phoneticPr fontId="2"/>
  </si>
  <si>
    <t>報告書記載事項</t>
    <phoneticPr fontId="2"/>
  </si>
  <si>
    <t>枝番試料登録フラグ</t>
    <phoneticPr fontId="2"/>
  </si>
  <si>
    <t>採取会社名</t>
    <phoneticPr fontId="2"/>
  </si>
  <si>
    <t>採取者</t>
    <phoneticPr fontId="2"/>
  </si>
  <si>
    <t>採取方法</t>
    <phoneticPr fontId="2"/>
  </si>
  <si>
    <t>採取場所</t>
    <phoneticPr fontId="2"/>
  </si>
  <si>
    <t>天候</t>
    <phoneticPr fontId="2"/>
  </si>
  <si>
    <t>気温</t>
    <phoneticPr fontId="2"/>
  </si>
  <si>
    <t>水温</t>
    <phoneticPr fontId="2"/>
  </si>
  <si>
    <t>採取日</t>
    <phoneticPr fontId="2"/>
  </si>
  <si>
    <t>採取時間</t>
    <phoneticPr fontId="2"/>
  </si>
  <si>
    <t>報告書所見フラグ</t>
    <phoneticPr fontId="2"/>
  </si>
  <si>
    <t>報告書外装</t>
    <phoneticPr fontId="2"/>
  </si>
  <si>
    <t>容器種類</t>
    <phoneticPr fontId="2"/>
  </si>
  <si>
    <t>試料・容器返却</t>
    <phoneticPr fontId="2"/>
  </si>
  <si>
    <t>報告方法</t>
    <phoneticPr fontId="2"/>
  </si>
  <si>
    <t>発行部数</t>
    <phoneticPr fontId="2"/>
  </si>
  <si>
    <t>中間報告日１</t>
    <phoneticPr fontId="2"/>
  </si>
  <si>
    <t>中間報告内容１</t>
    <phoneticPr fontId="2"/>
  </si>
  <si>
    <t>中間報告日２</t>
    <phoneticPr fontId="2"/>
  </si>
  <si>
    <t>中間報告内容２</t>
    <phoneticPr fontId="2"/>
  </si>
  <si>
    <t>中間報告日３</t>
    <phoneticPr fontId="2"/>
  </si>
  <si>
    <t>中間報告内容３</t>
    <phoneticPr fontId="2"/>
  </si>
  <si>
    <t>備考</t>
    <phoneticPr fontId="2"/>
  </si>
  <si>
    <t>営業確認不要フラグ</t>
    <phoneticPr fontId="2"/>
  </si>
  <si>
    <t>新規フラグ</t>
    <phoneticPr fontId="2"/>
  </si>
  <si>
    <t>記載内容変更予定フラグ</t>
    <phoneticPr fontId="2"/>
  </si>
  <si>
    <t>報告先CD１</t>
    <phoneticPr fontId="2"/>
  </si>
  <si>
    <t>報告先名１</t>
    <phoneticPr fontId="2"/>
  </si>
  <si>
    <t>部署１</t>
    <phoneticPr fontId="2"/>
  </si>
  <si>
    <t>担当者１</t>
    <phoneticPr fontId="2"/>
  </si>
  <si>
    <t>TEL１</t>
    <phoneticPr fontId="2"/>
  </si>
  <si>
    <t>FAX１</t>
    <phoneticPr fontId="2"/>
  </si>
  <si>
    <t>E-MAIL１</t>
    <phoneticPr fontId="2"/>
  </si>
  <si>
    <t>郵便番号１</t>
    <phoneticPr fontId="2"/>
  </si>
  <si>
    <t>住所１</t>
    <phoneticPr fontId="2"/>
  </si>
  <si>
    <t>中間報告送付フラグ１</t>
    <phoneticPr fontId="2"/>
  </si>
  <si>
    <t>速報送付フラグ１</t>
    <phoneticPr fontId="2"/>
  </si>
  <si>
    <t>報告書送付フラグ１</t>
    <phoneticPr fontId="2"/>
  </si>
  <si>
    <t>報告先CD２</t>
    <phoneticPr fontId="2"/>
  </si>
  <si>
    <t>報告先名２</t>
    <phoneticPr fontId="2"/>
  </si>
  <si>
    <t>部署２</t>
    <phoneticPr fontId="2"/>
  </si>
  <si>
    <t>担当者２</t>
    <phoneticPr fontId="2"/>
  </si>
  <si>
    <t>TEL２</t>
    <phoneticPr fontId="2"/>
  </si>
  <si>
    <t>FAX２</t>
    <phoneticPr fontId="2"/>
  </si>
  <si>
    <t>E-MAIL２</t>
    <phoneticPr fontId="2"/>
  </si>
  <si>
    <t>郵便番号２</t>
    <phoneticPr fontId="2"/>
  </si>
  <si>
    <t>住所２</t>
    <phoneticPr fontId="2"/>
  </si>
  <si>
    <t>中間報告送付フラグ２</t>
    <phoneticPr fontId="2"/>
  </si>
  <si>
    <t>速報送付フラグ２</t>
    <phoneticPr fontId="2"/>
  </si>
  <si>
    <t>報告書送付フラグ２</t>
    <phoneticPr fontId="2"/>
  </si>
  <si>
    <t>報告先CD３</t>
    <phoneticPr fontId="2"/>
  </si>
  <si>
    <t>報告先名３</t>
    <phoneticPr fontId="2"/>
  </si>
  <si>
    <t>部署３</t>
    <phoneticPr fontId="2"/>
  </si>
  <si>
    <t>担当者３</t>
    <phoneticPr fontId="2"/>
  </si>
  <si>
    <t>TEL３</t>
    <phoneticPr fontId="2"/>
  </si>
  <si>
    <t>FAX３</t>
    <phoneticPr fontId="2"/>
  </si>
  <si>
    <t>E-MAIL３</t>
    <phoneticPr fontId="2"/>
  </si>
  <si>
    <t>郵便番号３</t>
    <phoneticPr fontId="2"/>
  </si>
  <si>
    <t>住所３</t>
    <phoneticPr fontId="2"/>
  </si>
  <si>
    <t>中間報告送付フラグ３</t>
    <phoneticPr fontId="2"/>
  </si>
  <si>
    <t>速報送付フラグ３</t>
    <phoneticPr fontId="2"/>
  </si>
  <si>
    <t>報告書送付フラグ３</t>
    <phoneticPr fontId="2"/>
  </si>
  <si>
    <t>伝票発行区分</t>
    <phoneticPr fontId="2"/>
  </si>
  <si>
    <t>UNJC0020_IF_PRINT_SHOSHIKI_COPY_MOTO</t>
    <phoneticPr fontId="2"/>
  </si>
  <si>
    <t>Excel出力用書式コピー元</t>
    <rPh sb="5" eb="7">
      <t>シュツリョク</t>
    </rPh>
    <rPh sb="7" eb="8">
      <t>ヨウ</t>
    </rPh>
    <rPh sb="8" eb="10">
      <t>ショシキ</t>
    </rPh>
    <rPh sb="13" eb="14">
      <t>モト</t>
    </rPh>
    <phoneticPr fontId="2"/>
  </si>
  <si>
    <t>Excel出力用SQL文</t>
    <rPh sb="5" eb="7">
      <t>シュツリョク</t>
    </rPh>
    <rPh sb="7" eb="8">
      <t>ヨウ</t>
    </rPh>
    <rPh sb="11" eb="12">
      <t>ブン</t>
    </rPh>
    <phoneticPr fontId="2"/>
  </si>
  <si>
    <t>Excel出力用SQL</t>
    <rPh sb="5" eb="7">
      <t>シュツリョク</t>
    </rPh>
    <rPh sb="7" eb="8">
      <t>ヨウ</t>
    </rPh>
    <phoneticPr fontId="2"/>
  </si>
  <si>
    <t>【Excel保存用】</t>
    <rPh sb="6" eb="8">
      <t>ホゾン</t>
    </rPh>
    <rPh sb="8" eb="9">
      <t>ヨウ</t>
    </rPh>
    <phoneticPr fontId="2"/>
  </si>
  <si>
    <t>請求先CD</t>
    <phoneticPr fontId="2"/>
  </si>
  <si>
    <t>仕入先CD</t>
    <phoneticPr fontId="2"/>
  </si>
  <si>
    <t>書式コピー先</t>
    <rPh sb="0" eb="2">
      <t>ショシキ</t>
    </rPh>
    <rPh sb="5" eb="6">
      <t>サキ</t>
    </rPh>
    <phoneticPr fontId="2"/>
  </si>
  <si>
    <t>UNJC1020_IF_PRINT_SHOSHIKI_COPY_MOTO</t>
    <phoneticPr fontId="2"/>
  </si>
  <si>
    <t>UNJC1020_IF_PRINT_SHOSHIKI_COPY_SAKI</t>
    <phoneticPr fontId="2"/>
  </si>
  <si>
    <t>0:読込 / 1:新規保存 / 2:更新 / 3:削除 / 4:枝番削除 / 5:見積接続 / 6:参照作成</t>
    <phoneticPr fontId="2"/>
  </si>
  <si>
    <t>見積No.</t>
    <rPh sb="0" eb="2">
      <t>ミツモリ</t>
    </rPh>
    <phoneticPr fontId="2"/>
  </si>
  <si>
    <t>分析受注ステータス履歴読込SQL</t>
    <rPh sb="0" eb="2">
      <t>ブンセキ</t>
    </rPh>
    <rPh sb="2" eb="4">
      <t>ジュチュウ</t>
    </rPh>
    <rPh sb="9" eb="11">
      <t>リレキ</t>
    </rPh>
    <rPh sb="11" eb="13">
      <t>ヨミコミ</t>
    </rPh>
    <phoneticPr fontId="2"/>
  </si>
  <si>
    <t>UNJC0030_SQL_SELECT_BUN_JUCHU_H_STS_R</t>
    <phoneticPr fontId="2"/>
  </si>
  <si>
    <t>分析依頼書一括印刷</t>
    <rPh sb="0" eb="2">
      <t>ブンセキ</t>
    </rPh>
    <rPh sb="2" eb="4">
      <t>イライ</t>
    </rPh>
    <rPh sb="7" eb="9">
      <t>インサツ</t>
    </rPh>
    <phoneticPr fontId="2"/>
  </si>
  <si>
    <t>UNJC0060_H_INIT_HEADER_FLG_COPY_SAKI</t>
    <phoneticPr fontId="2"/>
  </si>
  <si>
    <t>UNJC0060_H_KAKUTEIMI_STS</t>
    <phoneticPr fontId="2"/>
  </si>
  <si>
    <t>UNJC0060_H_UKETSUKE_STS</t>
    <phoneticPr fontId="2"/>
  </si>
  <si>
    <t>ステータス：</t>
    <phoneticPr fontId="2"/>
  </si>
  <si>
    <t>中間報告済</t>
    <rPh sb="0" eb="2">
      <t>チュウカン</t>
    </rPh>
    <rPh sb="2" eb="4">
      <t>ホウコク</t>
    </rPh>
    <rPh sb="4" eb="5">
      <t>ス</t>
    </rPh>
    <phoneticPr fontId="2"/>
  </si>
  <si>
    <t>速報送付済</t>
    <phoneticPr fontId="2"/>
  </si>
  <si>
    <t>UNJC0060_H_GIJUTSU_STS</t>
    <phoneticPr fontId="2"/>
  </si>
  <si>
    <t>UNJC0060_H_CHUKAN_STS</t>
    <phoneticPr fontId="2"/>
  </si>
  <si>
    <t>UNJC0060_H_KAKUNIN2_STS</t>
    <phoneticPr fontId="2"/>
  </si>
  <si>
    <t>～</t>
    <phoneticPr fontId="2"/>
  </si>
  <si>
    <t>UNJC0060_H_SOKUHO_STS</t>
    <phoneticPr fontId="2"/>
  </si>
  <si>
    <t>～</t>
    <phoneticPr fontId="2"/>
  </si>
  <si>
    <t>UNJC0060_H_EIGYO_STS</t>
    <phoneticPr fontId="2"/>
  </si>
  <si>
    <t>入力者名▼</t>
    <phoneticPr fontId="2"/>
  </si>
  <si>
    <t>UNJC0060_H_NOHIN_STS</t>
    <phoneticPr fontId="2"/>
  </si>
  <si>
    <t>UNJC0060_H_BUNSEKI_HOKAN_STS</t>
    <phoneticPr fontId="2"/>
  </si>
  <si>
    <t>UNJC0060_H_TEISEI_STS</t>
    <phoneticPr fontId="2"/>
  </si>
  <si>
    <t>UNJC0060_H_CHUDAN_STS</t>
    <phoneticPr fontId="2"/>
  </si>
  <si>
    <t>UNJC0060_H_CHUSHI_STS</t>
    <phoneticPr fontId="2"/>
  </si>
  <si>
    <t>UNJC0060_H_FREEWD_KBN</t>
    <phoneticPr fontId="2"/>
  </si>
  <si>
    <t>UNJC0060_H_SEIKYUSAKI_MEI</t>
    <phoneticPr fontId="2"/>
  </si>
  <si>
    <t>フリーワード：</t>
    <phoneticPr fontId="2"/>
  </si>
  <si>
    <t>UNJC0060_H_NYURYOKUSHA_CD</t>
    <phoneticPr fontId="2"/>
  </si>
  <si>
    <t>UNJC0060_H_EIGYO_TANTO_CD</t>
    <phoneticPr fontId="2"/>
  </si>
  <si>
    <t>報告書形式CD</t>
    <rPh sb="0" eb="2">
      <t>ホウコク</t>
    </rPh>
    <rPh sb="2" eb="3">
      <t>ショ</t>
    </rPh>
    <rPh sb="3" eb="5">
      <t>ケイシキ</t>
    </rPh>
    <phoneticPr fontId="2"/>
  </si>
  <si>
    <t>UNJC0060_H_HOKOKU_KEISHIKI_CD</t>
    <phoneticPr fontId="2"/>
  </si>
  <si>
    <t>UNJC0060_H_BUNSEKIKUBUN_KBN</t>
    <phoneticPr fontId="2"/>
  </si>
  <si>
    <t>UNJC0060_H_DEMPYO_HAKKO_JOTAI_KBN</t>
    <phoneticPr fontId="2"/>
  </si>
  <si>
    <t>UNJC0060_H_BUNSEKIKOMOKUGUN_KBN</t>
    <phoneticPr fontId="2"/>
  </si>
  <si>
    <t>UNJC0060_H_HIDE_COLUMN</t>
    <phoneticPr fontId="2"/>
  </si>
  <si>
    <t>フラグ</t>
    <phoneticPr fontId="2"/>
  </si>
  <si>
    <t>入力者名</t>
    <phoneticPr fontId="2"/>
  </si>
  <si>
    <t>報告書書式コード</t>
    <rPh sb="0" eb="3">
      <t>ホウコクショ</t>
    </rPh>
    <rPh sb="3" eb="5">
      <t>ショシキ</t>
    </rPh>
    <phoneticPr fontId="2"/>
  </si>
  <si>
    <t>UNJC0060_B_CTRL_HYOJI_GYO_SU</t>
    <phoneticPr fontId="2"/>
  </si>
  <si>
    <t>UNJC0060_B_KENSAKU_KENSU</t>
    <phoneticPr fontId="2"/>
  </si>
  <si>
    <t>UNJC0060_B_PAGE_NO</t>
    <phoneticPr fontId="2"/>
  </si>
  <si>
    <t>UNJC0060_B_ALL_PAGE_SU</t>
    <phoneticPr fontId="2"/>
  </si>
  <si>
    <t>UNJC0060_B_HYOJI_KENSU</t>
    <phoneticPr fontId="2"/>
  </si>
  <si>
    <t>データリスト展開開始位置</t>
    <rPh sb="6" eb="8">
      <t>テンカイ</t>
    </rPh>
    <rPh sb="8" eb="10">
      <t>カイシ</t>
    </rPh>
    <rPh sb="10" eb="12">
      <t>イチ</t>
    </rPh>
    <phoneticPr fontId="2"/>
  </si>
  <si>
    <t>UNJC0060_B_LIST_START</t>
    <phoneticPr fontId="2"/>
  </si>
  <si>
    <t>UNJC0060_B_SELECT_FLG_COPY_SAKI</t>
    <phoneticPr fontId="2"/>
  </si>
  <si>
    <t>UNJC0060_B_COPY_SAKI</t>
    <phoneticPr fontId="2"/>
  </si>
  <si>
    <t>UNJC0060_B_LIST_CLEAR</t>
    <phoneticPr fontId="2"/>
  </si>
  <si>
    <t>UNJC0060_B_FORMAT_COPY_FLG</t>
    <phoneticPr fontId="2"/>
  </si>
  <si>
    <t>UNJC0060_B_EXIST_NEXT_PAGE</t>
    <phoneticPr fontId="2"/>
  </si>
  <si>
    <t>UNJC0060_B_EXIST_PREV_PAGE</t>
    <phoneticPr fontId="2"/>
  </si>
  <si>
    <t>UNJC0060_B_NEXT_PAGE_NO</t>
    <phoneticPr fontId="2"/>
  </si>
  <si>
    <t>UNJC0060_B_PREV_PAGE_NO</t>
    <phoneticPr fontId="2"/>
  </si>
  <si>
    <t>UNJC0060_B_SELECT_GYO_NO</t>
    <phoneticPr fontId="2"/>
  </si>
  <si>
    <t>UNJC0060_B_SELECT_JURI_NO</t>
    <phoneticPr fontId="2"/>
  </si>
  <si>
    <t>UNJC0060_B_HIDE_ROW</t>
    <phoneticPr fontId="2"/>
  </si>
  <si>
    <t>UNJC0060_B_HIDE_COLUMN</t>
    <phoneticPr fontId="2"/>
  </si>
  <si>
    <t>UNJC0060_B_SCROLL_LOCK</t>
    <phoneticPr fontId="2"/>
  </si>
  <si>
    <t>フラグ</t>
    <phoneticPr fontId="2"/>
  </si>
  <si>
    <t>ステータス</t>
    <phoneticPr fontId="2"/>
  </si>
  <si>
    <t>入力者名</t>
    <phoneticPr fontId="2"/>
  </si>
  <si>
    <t>UNJC0060_IF_B_LIST_DEFAULT</t>
    <phoneticPr fontId="2"/>
  </si>
  <si>
    <t>UNJC0060_IF_INIT_HEADER_FLG_COPY_MOTO</t>
    <phoneticPr fontId="2"/>
  </si>
  <si>
    <t>UNJC0060_IF_INIT_HEADER_COPY_MOTO</t>
    <phoneticPr fontId="2"/>
  </si>
  <si>
    <t>UNJC0060_IF_B_LIST_COPY_MOTO</t>
    <phoneticPr fontId="2"/>
  </si>
  <si>
    <t>～</t>
    <phoneticPr fontId="2"/>
  </si>
  <si>
    <t>フラグコピー元</t>
  </si>
  <si>
    <t>UNJC0060_IF_B_FLG_COPY_MOTO</t>
    <phoneticPr fontId="2"/>
  </si>
  <si>
    <t>UNJC0060_IF_DATA_SEARCH_FLG</t>
    <phoneticPr fontId="2"/>
  </si>
  <si>
    <t>UNJC0060_IF_ACTIVE_SHEET</t>
    <phoneticPr fontId="2"/>
  </si>
  <si>
    <t>UNJC0060_IF_ACTIVE_ROW</t>
    <phoneticPr fontId="2"/>
  </si>
  <si>
    <t>UNJC0060_IF_ACTIVE_COLUMN</t>
    <phoneticPr fontId="2"/>
  </si>
  <si>
    <t>UNJC0060_IF_ACTIVE_CELL_NAME</t>
    <phoneticPr fontId="2"/>
  </si>
  <si>
    <t>【コンボボックス】</t>
    <phoneticPr fontId="2"/>
  </si>
  <si>
    <t>UNJC0060_IF_LIST_BUNSEKI_KBN_TENKAIICHI</t>
    <phoneticPr fontId="2"/>
  </si>
  <si>
    <t>保存領域</t>
    <rPh sb="0" eb="2">
      <t>ホゾン</t>
    </rPh>
    <rPh sb="2" eb="4">
      <t>リョウイキ</t>
    </rPh>
    <phoneticPr fontId="2"/>
  </si>
  <si>
    <t>判定領域</t>
    <rPh sb="0" eb="2">
      <t>ハンテイ</t>
    </rPh>
    <rPh sb="2" eb="4">
      <t>リョウイキ</t>
    </rPh>
    <phoneticPr fontId="2"/>
  </si>
  <si>
    <t>UNJC0060_IF_LIST_BUNSEKI_KBN_HOHO_KENSU</t>
    <phoneticPr fontId="2"/>
  </si>
  <si>
    <t>UNJC0060_IF_SAVE_W_USER_ID</t>
    <phoneticPr fontId="2"/>
  </si>
  <si>
    <t>UNJC0060_IF_SAVE_COPY_MOTO</t>
    <phoneticPr fontId="2"/>
  </si>
  <si>
    <t>UNJC0060_IF_LIST_BUNSEKI_KBN_HOHO</t>
    <phoneticPr fontId="2"/>
  </si>
  <si>
    <t>「=OFFSET(UNJC0060_IF_LIST_BUNSEKI_KBN_TENKAIICHI,,,IF(UNJC0060_IF_LIST_BUNSEKI_KBN_HOHO_KENSU=0,1,UNJC0060_IF_LIST_BUNSEKI_KBN_HOHO_KENSU),1)」</t>
    <phoneticPr fontId="2"/>
  </si>
  <si>
    <t>UNJC0060_IF_SAVE_W_SERIAL</t>
    <phoneticPr fontId="2"/>
  </si>
  <si>
    <t>シリアル値生成</t>
    <rPh sb="4" eb="5">
      <t>アタイ</t>
    </rPh>
    <rPh sb="5" eb="7">
      <t>セイセイ</t>
    </rPh>
    <phoneticPr fontId="2"/>
  </si>
  <si>
    <t>UNJC0060_IF_CREATE_W_SERIAL</t>
    <phoneticPr fontId="2"/>
  </si>
  <si>
    <t>UNJC0060_IF_SAVE_W_MODE</t>
    <phoneticPr fontId="2"/>
  </si>
  <si>
    <t>ユーザーID</t>
    <phoneticPr fontId="2"/>
  </si>
  <si>
    <t>シリアル値</t>
    <phoneticPr fontId="2"/>
  </si>
  <si>
    <t>行番号</t>
    <phoneticPr fontId="2"/>
  </si>
  <si>
    <t>処理モード</t>
    <phoneticPr fontId="2"/>
  </si>
  <si>
    <t>フラグ</t>
  </si>
  <si>
    <t>ステータス</t>
    <phoneticPr fontId="2"/>
  </si>
  <si>
    <t>入力者名</t>
    <phoneticPr fontId="2"/>
  </si>
  <si>
    <t>UNJC0060_IF_SAVE_COPY_SAKI</t>
    <phoneticPr fontId="2"/>
  </si>
  <si>
    <t>UNJC0060_IF_SAVE_KENSU</t>
    <phoneticPr fontId="2"/>
  </si>
  <si>
    <t>【保存チェック】</t>
    <rPh sb="1" eb="3">
      <t>ホゾン</t>
    </rPh>
    <phoneticPr fontId="2"/>
  </si>
  <si>
    <t>UNJC0060_IF_SAVE_COUNT</t>
    <phoneticPr fontId="2"/>
  </si>
  <si>
    <t>UNJC0060_IF_SAVE_RESULT_CD</t>
    <phoneticPr fontId="2"/>
  </si>
  <si>
    <t>UNJC0060_IF_SAVE_RESULT_MESSAGE</t>
    <phoneticPr fontId="2"/>
  </si>
  <si>
    <t>UNJC0060_IF_SAVE_ERROR_CHECK</t>
    <phoneticPr fontId="2"/>
  </si>
  <si>
    <t>UNJC0060_IF_SAVE_ERROR_MESSAGE</t>
    <phoneticPr fontId="2"/>
  </si>
  <si>
    <t>処理に失敗しました。再度実行してください。</t>
    <rPh sb="0" eb="2">
      <t>ショリ</t>
    </rPh>
    <rPh sb="3" eb="5">
      <t>シッパイ</t>
    </rPh>
    <rPh sb="10" eb="12">
      <t>サイド</t>
    </rPh>
    <rPh sb="12" eb="14">
      <t>ジッコウ</t>
    </rPh>
    <phoneticPr fontId="2"/>
  </si>
  <si>
    <t>UNJC0060_SQL_JOKEN_COPY_SAKI</t>
    <phoneticPr fontId="2"/>
  </si>
  <si>
    <t>UNJC0060_SQL_JOKEN_COPY_MOTO</t>
    <phoneticPr fontId="2"/>
  </si>
  <si>
    <t>テストデータ</t>
    <phoneticPr fontId="2"/>
  </si>
  <si>
    <t>試験報告書</t>
    <rPh sb="0" eb="2">
      <t>シケン</t>
    </rPh>
    <rPh sb="2" eb="5">
      <t>ホウコクショ</t>
    </rPh>
    <phoneticPr fontId="2"/>
  </si>
  <si>
    <t>UNJC0060_SQL_SHIKENHOKOKUSHO</t>
    <phoneticPr fontId="2"/>
  </si>
  <si>
    <t>計量報告書</t>
    <rPh sb="0" eb="2">
      <t>ケイリョウ</t>
    </rPh>
    <rPh sb="2" eb="5">
      <t>ホウコクショ</t>
    </rPh>
    <phoneticPr fontId="2"/>
  </si>
  <si>
    <t>UNJC0060_SQL_KEIRYOHOKOKUSHO</t>
    <phoneticPr fontId="2"/>
  </si>
  <si>
    <t>報告書形式</t>
    <rPh sb="0" eb="2">
      <t>ホウコク</t>
    </rPh>
    <rPh sb="2" eb="3">
      <t>ショ</t>
    </rPh>
    <rPh sb="3" eb="5">
      <t>ケイシキ</t>
    </rPh>
    <phoneticPr fontId="2"/>
  </si>
  <si>
    <t>UNJC0060_SQL_HOKOKU_KEISHIKI_CD</t>
    <phoneticPr fontId="2"/>
  </si>
  <si>
    <t>UNJC0060_SQL_KAKUTEIMI_STS</t>
    <phoneticPr fontId="2"/>
  </si>
  <si>
    <t>UNJC0060_SQL_UKETSUKE_STS</t>
    <phoneticPr fontId="2"/>
  </si>
  <si>
    <t>UNJC0060_SQL_GIJUTSU_STS</t>
    <phoneticPr fontId="2"/>
  </si>
  <si>
    <t>UNJC0060_SQL_CHUKAN_STS</t>
    <phoneticPr fontId="2"/>
  </si>
  <si>
    <t>UNJC0060_SQL_KAKUNIN2_STS</t>
    <phoneticPr fontId="2"/>
  </si>
  <si>
    <t>UNJC0060_SQL_SOKUHO_STS</t>
    <phoneticPr fontId="2"/>
  </si>
  <si>
    <t>UNJC0060_SQL_EIGYO_STS</t>
    <phoneticPr fontId="2"/>
  </si>
  <si>
    <t>UNJC0060_SQL_NOHIN_STS</t>
    <phoneticPr fontId="2"/>
  </si>
  <si>
    <t>UNJC0060_SQL_BUNSEKI_HOKAN_STS</t>
    <phoneticPr fontId="2"/>
  </si>
  <si>
    <t>UNJC0060_SQL_TEISEI_STS</t>
    <phoneticPr fontId="2"/>
  </si>
  <si>
    <t>UNJC0060_SQL_CHUDAN_STS</t>
    <phoneticPr fontId="2"/>
  </si>
  <si>
    <t>UNJC0060_SQL_CHUSHI_STS</t>
    <phoneticPr fontId="2"/>
  </si>
  <si>
    <t>UNJC0060_SQL_JURI_NO</t>
    <phoneticPr fontId="2"/>
  </si>
  <si>
    <t>J15-020001</t>
    <phoneticPr fontId="2"/>
  </si>
  <si>
    <t>------------</t>
    <phoneticPr fontId="2"/>
  </si>
  <si>
    <t>UNJC0060_SQL_EIGYO_TANTO_CD</t>
    <phoneticPr fontId="2"/>
  </si>
  <si>
    <t>UNJC0060_SQL_NYURYOKUSHA_CD</t>
    <phoneticPr fontId="2"/>
  </si>
  <si>
    <t>UNJC0060_SQL_MITSUMORI_NO</t>
    <phoneticPr fontId="2"/>
  </si>
  <si>
    <t>M15-020001</t>
    <phoneticPr fontId="2"/>
  </si>
  <si>
    <t>UNJC0060_SQL_BUNSEKIKUBUN_KBN</t>
    <phoneticPr fontId="2"/>
  </si>
  <si>
    <t>UNJC0060_SQL_NYURYOKU_DATE_START</t>
    <phoneticPr fontId="2"/>
  </si>
  <si>
    <t>UNJC0060_SQL_NYURYOKU_DATE_END</t>
    <phoneticPr fontId="2"/>
  </si>
  <si>
    <t>UNJC0060_SQL_IRAI_DATE_START</t>
    <phoneticPr fontId="2"/>
  </si>
  <si>
    <t>UNJC0060_SQL_IRAI_DATE_END</t>
    <phoneticPr fontId="2"/>
  </si>
  <si>
    <t>UNJC0060_SQL_CHUKAN_DATE_START</t>
    <phoneticPr fontId="2"/>
  </si>
  <si>
    <t>UNJC0060_SQL_CHUKAN_DATE_END</t>
    <phoneticPr fontId="2"/>
  </si>
  <si>
    <t>UNJC0060_SQL_KANSEI_DATE_START</t>
    <phoneticPr fontId="2"/>
  </si>
  <si>
    <t>UNJC0060_SQL_KANSEI_DATE_END</t>
    <phoneticPr fontId="2"/>
  </si>
  <si>
    <t>UNJC0060_SQL_NOHIN_DATE_START</t>
    <phoneticPr fontId="2"/>
  </si>
  <si>
    <t>UNJC0060_SQL_NOHIN_DATE_END</t>
    <phoneticPr fontId="2"/>
  </si>
  <si>
    <t>UNJC0060_SQL_ATENA_CD</t>
    <phoneticPr fontId="2"/>
  </si>
  <si>
    <t>UNJC0060_SQL_ATENA_MEI</t>
    <phoneticPr fontId="2"/>
  </si>
  <si>
    <t>OA推進</t>
    <rPh sb="2" eb="4">
      <t>スイシン</t>
    </rPh>
    <phoneticPr fontId="2"/>
  </si>
  <si>
    <t>UNJC0060_SQL_SEIKYUSAKI_CD</t>
    <phoneticPr fontId="2"/>
  </si>
  <si>
    <t>1000000001</t>
  </si>
  <si>
    <t>UNJC0060_SQL_SHIRYO_SHURUI</t>
    <phoneticPr fontId="2"/>
  </si>
  <si>
    <t>1</t>
    <phoneticPr fontId="2"/>
  </si>
  <si>
    <t>UNJC0060_SQL_SHIRYO_MEI</t>
    <phoneticPr fontId="2"/>
  </si>
  <si>
    <t>フリーワード</t>
    <phoneticPr fontId="2"/>
  </si>
  <si>
    <t>UNJC0060_SQL_FREEWD_1</t>
    <phoneticPr fontId="2"/>
  </si>
  <si>
    <t>AAAA</t>
    <phoneticPr fontId="2"/>
  </si>
  <si>
    <t>UNJC0060_SQL_FREEWD_2</t>
    <phoneticPr fontId="2"/>
  </si>
  <si>
    <t>BB</t>
    <phoneticPr fontId="2"/>
  </si>
  <si>
    <t>UNJC0060_SQL_FREEWD_3</t>
    <phoneticPr fontId="2"/>
  </si>
  <si>
    <t>CCCCCC</t>
    <phoneticPr fontId="2"/>
  </si>
  <si>
    <t>UNJC0060_SQL_FREEWD_KBN</t>
    <phoneticPr fontId="2"/>
  </si>
  <si>
    <t>分析依頼書一括印刷
読込みSQL</t>
    <rPh sb="0" eb="2">
      <t>ブンセキ</t>
    </rPh>
    <rPh sb="2" eb="5">
      <t>イライショ</t>
    </rPh>
    <rPh sb="5" eb="7">
      <t>イッカツ</t>
    </rPh>
    <rPh sb="7" eb="9">
      <t>インサツ</t>
    </rPh>
    <rPh sb="10" eb="12">
      <t>ヨミコ</t>
    </rPh>
    <phoneticPr fontId="2"/>
  </si>
  <si>
    <t>UNJC0060_SQL_SELECT_BUN_REPORT_BAT_LIST</t>
    <phoneticPr fontId="2"/>
  </si>
  <si>
    <t>分析依頼書一括印刷
ワークテーブル
更新SQL</t>
    <rPh sb="0" eb="2">
      <t>ブンセキ</t>
    </rPh>
    <rPh sb="2" eb="5">
      <t>イライショ</t>
    </rPh>
    <rPh sb="5" eb="7">
      <t>イッカツ</t>
    </rPh>
    <rPh sb="7" eb="9">
      <t>インサツ</t>
    </rPh>
    <rPh sb="18" eb="20">
      <t>コウシン</t>
    </rPh>
    <phoneticPr fontId="2"/>
  </si>
  <si>
    <t>UNJC0060_SQL_SELECT_W_BUN_REPORT_BAT</t>
    <phoneticPr fontId="2"/>
  </si>
  <si>
    <t>分析依頼書一括印刷
行数カウントSQL</t>
    <rPh sb="10" eb="12">
      <t>ギョウスウ</t>
    </rPh>
    <phoneticPr fontId="2"/>
  </si>
  <si>
    <t>UNJC0060_SQL_SELECT_BUN_IRAI_PRINT_CNT</t>
    <phoneticPr fontId="2"/>
  </si>
  <si>
    <t>分析依頼書一括印刷
ワークテーブル更新SQL
ベースコード</t>
    <rPh sb="0" eb="2">
      <t>ブンセキ</t>
    </rPh>
    <rPh sb="2" eb="5">
      <t>イライショ</t>
    </rPh>
    <rPh sb="5" eb="7">
      <t>イッカツ</t>
    </rPh>
    <rPh sb="7" eb="9">
      <t>インサツ</t>
    </rPh>
    <rPh sb="17" eb="19">
      <t>コウシン</t>
    </rPh>
    <phoneticPr fontId="2"/>
  </si>
  <si>
    <t>分析依頼書一括印刷
Excel出力SQL</t>
    <rPh sb="15" eb="17">
      <t>シュツリョク</t>
    </rPh>
    <phoneticPr fontId="2"/>
  </si>
  <si>
    <t>UNJC0060_SQL_PRINT_BUN_JUCHU_LIST</t>
    <phoneticPr fontId="2"/>
  </si>
  <si>
    <t>　一括印刷条件</t>
    <rPh sb="1" eb="3">
      <t>イッカツ</t>
    </rPh>
    <rPh sb="3" eb="5">
      <t>インサツ</t>
    </rPh>
    <rPh sb="5" eb="7">
      <t>ジョウケン</t>
    </rPh>
    <phoneticPr fontId="2"/>
  </si>
  <si>
    <t>分析依頼書一括印刷
読込みSQL
ベースコード</t>
    <rPh sb="10" eb="12">
      <t>ヨミコ</t>
    </rPh>
    <phoneticPr fontId="2"/>
  </si>
  <si>
    <t xml:space="preserve">SELECT *
 FROM V_BUN_REPORT_BAT_LIST
 WHERE 1=1
</t>
    <phoneticPr fontId="2"/>
  </si>
  <si>
    <t>UNJC0060_SQL_SORT</t>
    <phoneticPr fontId="2"/>
  </si>
  <si>
    <t xml:space="preserve">
  ORDER BY W_BUN_REPORT_BAT.JURI_NO ASC</t>
    <phoneticPr fontId="2"/>
  </si>
  <si>
    <t>分析依頼書一括印刷
行数カウントSQL
ベースコード</t>
    <rPh sb="10" eb="12">
      <t>ギョウスウ</t>
    </rPh>
    <phoneticPr fontId="2"/>
  </si>
  <si>
    <t>SELECT COUNT(*) AS CNT
 FROM V_BUN_REPORT_BAT_LIST
 WHERE 1=1</t>
  </si>
  <si>
    <t>UNJC0060_SQL_SELECT_INIT_SORT</t>
    <phoneticPr fontId="2"/>
  </si>
  <si>
    <t>UNJC0060_SQL_SELECT_SORT</t>
    <phoneticPr fontId="2"/>
  </si>
  <si>
    <t xml:space="preserve">SELECT M_MEISHO_B.DATA_1        AS 並べ替え
           ,M_MEISHO_B.DATA_2        AS ORDER句
   FROM M_MEISHO_B
 WHERE M_MEISHO_B.MEISHO_KBN = 'O303'
 ORDER BY M_MEISHO_B.SORT_NO ASC
      ,CAST(M_MEISHO_B.MEISHO_CD AS INT) ASC
   </t>
    <phoneticPr fontId="2"/>
  </si>
  <si>
    <t>　</t>
    <phoneticPr fontId="2"/>
  </si>
  <si>
    <t>条件(入力日)</t>
    <rPh sb="3" eb="5">
      <t>ニュウリョク</t>
    </rPh>
    <rPh sb="5" eb="6">
      <t>ビ</t>
    </rPh>
    <phoneticPr fontId="2"/>
  </si>
  <si>
    <t>条件(中間報告日)</t>
    <rPh sb="0" eb="2">
      <t>ジョウケン</t>
    </rPh>
    <rPh sb="3" eb="5">
      <t>チュウカン</t>
    </rPh>
    <rPh sb="5" eb="7">
      <t>ホウコク</t>
    </rPh>
    <rPh sb="7" eb="8">
      <t>ビ</t>
    </rPh>
    <phoneticPr fontId="2"/>
  </si>
  <si>
    <t>　├　中間報告日②</t>
    <phoneticPr fontId="2"/>
  </si>
  <si>
    <t>　└　中間報告日③</t>
    <phoneticPr fontId="2"/>
  </si>
  <si>
    <t xml:space="preserve"> ├ フリーワード1</t>
    <phoneticPr fontId="2"/>
  </si>
  <si>
    <t>UNJC0060_SQL_FREEWORD1</t>
    <phoneticPr fontId="2"/>
  </si>
  <si>
    <t>UNJC0060_SQL_FREEWORD2</t>
    <phoneticPr fontId="2"/>
  </si>
  <si>
    <t xml:space="preserve"> └ フリーワード3</t>
    <phoneticPr fontId="2"/>
  </si>
  <si>
    <t>UNJC0060_SQL_FREEWORD3</t>
    <phoneticPr fontId="2"/>
  </si>
  <si>
    <t>■コンボボックス</t>
    <phoneticPr fontId="2"/>
  </si>
  <si>
    <t>UNJC0060_SQL_BUNSEKI_KBN_LIST</t>
    <phoneticPr fontId="2"/>
  </si>
  <si>
    <t>選択受理No.取得SQL</t>
    <rPh sb="0" eb="2">
      <t>センタク</t>
    </rPh>
    <rPh sb="2" eb="4">
      <t>ジュリ</t>
    </rPh>
    <rPh sb="7" eb="9">
      <t>シュトク</t>
    </rPh>
    <phoneticPr fontId="2"/>
  </si>
  <si>
    <t>UNJC0060_SQL_SELECT_JURI_NO</t>
    <phoneticPr fontId="2"/>
  </si>
  <si>
    <t>試料ラベル一括印刷</t>
    <rPh sb="0" eb="2">
      <t>シリョウ</t>
    </rPh>
    <rPh sb="5" eb="7">
      <t>イッカツ</t>
    </rPh>
    <rPh sb="7" eb="9">
      <t>インサツ</t>
    </rPh>
    <phoneticPr fontId="2"/>
  </si>
  <si>
    <t>UNJC0070_H_INIT_HEADER_FLG_COPY_SAKI</t>
    <phoneticPr fontId="2"/>
  </si>
  <si>
    <t>確認未ステータス</t>
    <rPh sb="0" eb="2">
      <t>カクニン</t>
    </rPh>
    <rPh sb="2" eb="3">
      <t>ミ</t>
    </rPh>
    <phoneticPr fontId="2"/>
  </si>
  <si>
    <t>UNJC0070_H_KAKUTEIMI_STS</t>
    <phoneticPr fontId="2"/>
  </si>
  <si>
    <t>UNJC0070_H_UKETSUKE_STS</t>
    <phoneticPr fontId="2"/>
  </si>
  <si>
    <t>ステータス：</t>
    <phoneticPr fontId="2"/>
  </si>
  <si>
    <t>速報送付済</t>
    <phoneticPr fontId="2"/>
  </si>
  <si>
    <t>中間報告済ステータス</t>
    <phoneticPr fontId="2"/>
  </si>
  <si>
    <t>UNJC0070_H_CHUKAN_STS</t>
    <phoneticPr fontId="2"/>
  </si>
  <si>
    <t>技術責任者確認ステータス</t>
    <phoneticPr fontId="2"/>
  </si>
  <si>
    <t>UNJC0070_H_GIJUTSU_STS</t>
    <phoneticPr fontId="2"/>
  </si>
  <si>
    <t>UNJC0070_H_KAKUNIN2_STS</t>
    <phoneticPr fontId="2"/>
  </si>
  <si>
    <t>～</t>
    <phoneticPr fontId="2"/>
  </si>
  <si>
    <t>UNJC0070_H_SOKUHO_STS</t>
    <phoneticPr fontId="2"/>
  </si>
  <si>
    <t>枝番：</t>
    <rPh sb="0" eb="2">
      <t>エダバン</t>
    </rPh>
    <phoneticPr fontId="2"/>
  </si>
  <si>
    <t>～</t>
    <phoneticPr fontId="2"/>
  </si>
  <si>
    <t>UNJC0070_H_EIGYO_STS</t>
    <phoneticPr fontId="2"/>
  </si>
  <si>
    <t>UNJC0070_H_NOHIN_STS</t>
    <phoneticPr fontId="2"/>
  </si>
  <si>
    <t>入力者名▼</t>
    <phoneticPr fontId="2"/>
  </si>
  <si>
    <t>UNJC0070_H_TEISEI_STS</t>
    <phoneticPr fontId="2"/>
  </si>
  <si>
    <t>～</t>
    <phoneticPr fontId="2"/>
  </si>
  <si>
    <t>UNJC0070_H_CHUDAN_STS</t>
    <phoneticPr fontId="2"/>
  </si>
  <si>
    <t>UNJC0070_H_CHUSHI_STS</t>
    <phoneticPr fontId="2"/>
  </si>
  <si>
    <t>UNJC0070_H_FREEWD_KBN</t>
    <phoneticPr fontId="2"/>
  </si>
  <si>
    <t>UNJC0070_H_SEIKYUSAKI_MEI</t>
    <phoneticPr fontId="2"/>
  </si>
  <si>
    <t>UNJC0070_H_NYURYOKUSHA_CD</t>
    <phoneticPr fontId="2"/>
  </si>
  <si>
    <t>UNJC0070_H_EIGYO_TANTO_CD</t>
    <phoneticPr fontId="2"/>
  </si>
  <si>
    <t>フリーワード：</t>
    <phoneticPr fontId="2"/>
  </si>
  <si>
    <t>UNJC0070_H_HOKOKU_KEISHIKI_CD</t>
    <phoneticPr fontId="2"/>
  </si>
  <si>
    <t>UNJC0070_H_BUNSEKIKUBUN_KBN</t>
  </si>
  <si>
    <t>UNJC0070_H_HIDE_COLUMN</t>
  </si>
  <si>
    <t>入力者名</t>
    <phoneticPr fontId="2"/>
  </si>
  <si>
    <t>UNJC0070_B_CTRL_HYOJI_GYO_SU</t>
    <phoneticPr fontId="2"/>
  </si>
  <si>
    <t>UNJC0070_B_KENSAKU_KENSU</t>
    <phoneticPr fontId="2"/>
  </si>
  <si>
    <t>UNJC0070_B_PAGE_NO</t>
    <phoneticPr fontId="2"/>
  </si>
  <si>
    <t>UNJC0070_B_ALL_PAGE_SU</t>
    <phoneticPr fontId="2"/>
  </si>
  <si>
    <t>UNJC0070_B_HYOJI_KENSU</t>
    <phoneticPr fontId="2"/>
  </si>
  <si>
    <t>UNJC0070_B_LIST_START</t>
    <phoneticPr fontId="2"/>
  </si>
  <si>
    <t>UNJC0070_B_SELECT_FLG_COPY_SAKI</t>
    <phoneticPr fontId="2"/>
  </si>
  <si>
    <t>UNJC0070_B_COPY_SAKI</t>
    <phoneticPr fontId="2"/>
  </si>
  <si>
    <t>UNJC0070_B_LIST_CLEAR</t>
    <phoneticPr fontId="2"/>
  </si>
  <si>
    <t>UNJC0070_B_FORMAT_COPY_FLG</t>
    <phoneticPr fontId="2"/>
  </si>
  <si>
    <t>UNJC0070_B_EXIST_NEXT_PAGE</t>
    <phoneticPr fontId="2"/>
  </si>
  <si>
    <t>UNJC0070_B_EXIST_PREV_PAGE</t>
    <phoneticPr fontId="2"/>
  </si>
  <si>
    <t>UNJC0070_B_NEXT_PAGE_NO</t>
    <phoneticPr fontId="2"/>
  </si>
  <si>
    <t>UNJC0070_B_PREV_PAGE_NO</t>
    <phoneticPr fontId="2"/>
  </si>
  <si>
    <t>UNJC0070_B_SELECT_GYO_NO</t>
  </si>
  <si>
    <t>UNJC0070_B_SELECT_JURI_NO</t>
  </si>
  <si>
    <t>UNJC0070_B_HIDE_ROW</t>
    <phoneticPr fontId="2"/>
  </si>
  <si>
    <t>UNJC0070_B_HIDE_COLUMN</t>
    <phoneticPr fontId="2"/>
  </si>
  <si>
    <t>UNJC0070_B_SCROLL_LOCK</t>
    <phoneticPr fontId="2"/>
  </si>
  <si>
    <t>フラグ</t>
    <phoneticPr fontId="2"/>
  </si>
  <si>
    <t>ステータス</t>
    <phoneticPr fontId="2"/>
  </si>
  <si>
    <t>入力者名</t>
    <phoneticPr fontId="2"/>
  </si>
  <si>
    <t>UNJC0070_IF_B_LIST_DEFAULT</t>
    <phoneticPr fontId="2"/>
  </si>
  <si>
    <t>UNJC0070_IF_INIT_HEADER_FLG_COPY_MOTO</t>
  </si>
  <si>
    <t>UNJC0070_IF_INIT_HEADER_COPY_MOTO</t>
    <phoneticPr fontId="2"/>
  </si>
  <si>
    <t>UNJC0070_IF_B_LIST_COPY_MOTO</t>
    <phoneticPr fontId="2"/>
  </si>
  <si>
    <t>～</t>
    <phoneticPr fontId="2"/>
  </si>
  <si>
    <t>UNJC0070_IF_B_FLG_COPY_MOTO</t>
    <phoneticPr fontId="2"/>
  </si>
  <si>
    <t>中間報告済ステータス</t>
    <phoneticPr fontId="2"/>
  </si>
  <si>
    <t>技術責任者確認ステータス</t>
    <phoneticPr fontId="2"/>
  </si>
  <si>
    <t>UNJC0070_IF_DATA_SEARCH_FLG</t>
    <phoneticPr fontId="2"/>
  </si>
  <si>
    <t>UNJC0070_IF_ACTIVE_SHEET</t>
    <phoneticPr fontId="2"/>
  </si>
  <si>
    <t>UNJC0070_IF_ACTIVE_ROW</t>
    <phoneticPr fontId="2"/>
  </si>
  <si>
    <t>UNJC0070_IF_ACTIVE_COLUMN</t>
    <phoneticPr fontId="2"/>
  </si>
  <si>
    <t>UNJC0070_IF_ACTIVE_CELL_NAME</t>
    <phoneticPr fontId="2"/>
  </si>
  <si>
    <t>UNJC0070_IF_LIST_BUNSEKI_KBN_TENKAIICHI</t>
  </si>
  <si>
    <t>UNJC0070_IF_LIST_BUNSEKI_KBN_HOHO_KENSU</t>
    <phoneticPr fontId="2"/>
  </si>
  <si>
    <t>UNJC0070_IF_SAVE_W_USER_ID</t>
    <phoneticPr fontId="2"/>
  </si>
  <si>
    <t>UNJC0070_IF_SAVE_COPY_MOTO</t>
    <phoneticPr fontId="2"/>
  </si>
  <si>
    <t>UNJC0070_IF_LIST_BUNSEKI_KBN_HOHO</t>
    <phoneticPr fontId="2"/>
  </si>
  <si>
    <t>「=OFFSET(UNJC0070_IF_LIST_BUNSEKI_KBN_TENKAIICHI,,,IF(UNJC0070_IF_LIST_BUNSEKI_KBN_HOHO_KENSU=0,1,UNJC0070_IF_LIST_BUNSEKI_KBN_HOHO_KENSU),1)」</t>
    <phoneticPr fontId="2"/>
  </si>
  <si>
    <t>UNJC0070_IF_SAVE_W_SERIAL</t>
    <phoneticPr fontId="2"/>
  </si>
  <si>
    <t>UNJC0070_IF_CREATE_W_SERIAL</t>
    <phoneticPr fontId="2"/>
  </si>
  <si>
    <t>UNJC0070_IF_SAVE_W_MODE</t>
    <phoneticPr fontId="2"/>
  </si>
  <si>
    <t>ユーザーID</t>
    <phoneticPr fontId="2"/>
  </si>
  <si>
    <t>シリアル値</t>
    <phoneticPr fontId="2"/>
  </si>
  <si>
    <t>行番号</t>
    <phoneticPr fontId="2"/>
  </si>
  <si>
    <t>処理モード</t>
    <phoneticPr fontId="2"/>
  </si>
  <si>
    <t>ステータス</t>
    <phoneticPr fontId="2"/>
  </si>
  <si>
    <t>枝番</t>
    <phoneticPr fontId="2"/>
  </si>
  <si>
    <t>入力者名</t>
    <phoneticPr fontId="2"/>
  </si>
  <si>
    <t>UNJC0070_IF_SAVE_COPY_SAKI</t>
    <phoneticPr fontId="2"/>
  </si>
  <si>
    <t>UNJC0070_IF_SAVE_KENSU</t>
    <phoneticPr fontId="2"/>
  </si>
  <si>
    <t>UNJC0070_IF_SAVE_COUNT</t>
    <phoneticPr fontId="2"/>
  </si>
  <si>
    <t>UNJC0070_IF_SAVE_RESULT_CD</t>
    <phoneticPr fontId="2"/>
  </si>
  <si>
    <t>UNJC0070_IF_SAVE_RESULT_MESSAGE</t>
    <phoneticPr fontId="2"/>
  </si>
  <si>
    <t>UNJC0070_IF_SAVE_ERROR_CHECK</t>
    <phoneticPr fontId="2"/>
  </si>
  <si>
    <t>UNJC0070_IF_SAVE_ERROR_MESSAGE</t>
    <phoneticPr fontId="2"/>
  </si>
  <si>
    <t>UNJC0070_SQL_JOKEN_COPY_SAKI</t>
    <phoneticPr fontId="2"/>
  </si>
  <si>
    <t>UNJC0070_SQL_JOKEN_COPY_MOTO</t>
    <phoneticPr fontId="2"/>
  </si>
  <si>
    <t>UNJC0070_SQL_HOKOKU_KEISHIKI_CD</t>
  </si>
  <si>
    <t>UNJC0070_SQL_KAKUTEIMI_STS</t>
    <phoneticPr fontId="2"/>
  </si>
  <si>
    <t>UNJC0070_SQL_UKETSUKE_STS</t>
    <phoneticPr fontId="2"/>
  </si>
  <si>
    <t>UNJC0070_SQL_CHUKAN_STS</t>
    <phoneticPr fontId="2"/>
  </si>
  <si>
    <t>UNJC0070_SQL_GIJUTSU_STS</t>
    <phoneticPr fontId="2"/>
  </si>
  <si>
    <t>UNJC0070_SQL_KAKUNIN2_STS</t>
    <phoneticPr fontId="2"/>
  </si>
  <si>
    <t>UNJC0070_SQL_SOKUHO_STS</t>
    <phoneticPr fontId="2"/>
  </si>
  <si>
    <t>UNJC0070_SQL_EIGYO_STS</t>
    <phoneticPr fontId="2"/>
  </si>
  <si>
    <t>UNJC0070_SQL_NOHIN_STS</t>
    <phoneticPr fontId="2"/>
  </si>
  <si>
    <t>UNJC0070_SQL_TEISEI_STS</t>
    <phoneticPr fontId="2"/>
  </si>
  <si>
    <t>UNJC0070_SQL_CHUDAN_STS</t>
    <phoneticPr fontId="2"/>
  </si>
  <si>
    <t>UNJC0070_SQL_CHUSHI_STS</t>
    <phoneticPr fontId="2"/>
  </si>
  <si>
    <t>UNJC0070_SQL_JURI_NO</t>
    <phoneticPr fontId="2"/>
  </si>
  <si>
    <t>J15-020001</t>
    <phoneticPr fontId="2"/>
  </si>
  <si>
    <t>------------</t>
    <phoneticPr fontId="2"/>
  </si>
  <si>
    <t>UNJC0070_SQL_EDA</t>
    <phoneticPr fontId="2"/>
  </si>
  <si>
    <t>UNJC0070_SQL_EIGYO_TANTO_CD</t>
    <phoneticPr fontId="2"/>
  </si>
  <si>
    <t>UNJC0070_SQL_NYURYOKUSHA_CD</t>
    <phoneticPr fontId="2"/>
  </si>
  <si>
    <t>UNJC0070_SQL_MITSUMORI_NO</t>
    <phoneticPr fontId="2"/>
  </si>
  <si>
    <t>M15-020001</t>
    <phoneticPr fontId="2"/>
  </si>
  <si>
    <t>UNJC0070_SQL_BUNSEKIKUBUN_KBN</t>
    <phoneticPr fontId="2"/>
  </si>
  <si>
    <t>UNJC0070_SQL_NYURYOKU_DATE_START</t>
    <phoneticPr fontId="2"/>
  </si>
  <si>
    <t>UNJC0070_SQL_NYURYOKU_DATE_END</t>
    <phoneticPr fontId="2"/>
  </si>
  <si>
    <t>UNJC0070_SQL_IRAI_DATE_START</t>
    <phoneticPr fontId="2"/>
  </si>
  <si>
    <t>UNJC0070_SQL_IRAI_DATE_END</t>
    <phoneticPr fontId="2"/>
  </si>
  <si>
    <t>UNJC0070_SQL_CHUKAN_DATE_START</t>
    <phoneticPr fontId="2"/>
  </si>
  <si>
    <t>UNJC0070_SQL_CHUKAN_DATE_END</t>
    <phoneticPr fontId="2"/>
  </si>
  <si>
    <t>UNJC0070_SQL_KANSEI_DATE_START</t>
    <phoneticPr fontId="2"/>
  </si>
  <si>
    <t>UNJC0070_SQL_KANSEI_DATE_END</t>
    <phoneticPr fontId="2"/>
  </si>
  <si>
    <t>UNJC0070_SQL_NOHIN_DATE_START</t>
    <phoneticPr fontId="2"/>
  </si>
  <si>
    <t>UNJC0070_SQL_NOHIN_DATE_END</t>
    <phoneticPr fontId="2"/>
  </si>
  <si>
    <t>UNJC0070_SQL_ATENA_CD</t>
    <phoneticPr fontId="2"/>
  </si>
  <si>
    <t>UNJC0070_SQL_ATENA_MEI</t>
    <phoneticPr fontId="2"/>
  </si>
  <si>
    <t>UNJC0070_SQL_SEIKYUSAKI_CD</t>
    <phoneticPr fontId="2"/>
  </si>
  <si>
    <t>UNJC0070_SQL_SHIRYO_SHURUI</t>
    <phoneticPr fontId="2"/>
  </si>
  <si>
    <t>1</t>
    <phoneticPr fontId="2"/>
  </si>
  <si>
    <t>UNJC0070_SQL_SHIRYO_MEI</t>
    <phoneticPr fontId="2"/>
  </si>
  <si>
    <t>フリーワード</t>
    <phoneticPr fontId="2"/>
  </si>
  <si>
    <t>UNJC0070_SQL_FREEWD_1</t>
    <phoneticPr fontId="2"/>
  </si>
  <si>
    <t>AAAA</t>
    <phoneticPr fontId="2"/>
  </si>
  <si>
    <t>UNJC0070_SQL_FREEWD_2</t>
    <phoneticPr fontId="2"/>
  </si>
  <si>
    <t>BB</t>
    <phoneticPr fontId="2"/>
  </si>
  <si>
    <t>UNJC0070_SQL_FREEWD_3</t>
    <phoneticPr fontId="2"/>
  </si>
  <si>
    <t>CCCCCC</t>
    <phoneticPr fontId="2"/>
  </si>
  <si>
    <t>UNJC0070_SQL_FREEWD_KBN</t>
    <phoneticPr fontId="2"/>
  </si>
  <si>
    <t>UNJC0070_SQL_SELECT_BUN_LABEL_BAT_LIST</t>
    <phoneticPr fontId="2"/>
  </si>
  <si>
    <t>UNJC0070_SQL_SELECT_W_BUN_LABEL_BAT</t>
    <phoneticPr fontId="2"/>
  </si>
  <si>
    <t>UNJC0070_SQL_SELECT_BUN_IRAI_PRINT_CNT</t>
  </si>
  <si>
    <t>UNJC0070_SQL_PRINT_BUN_JUCHU_LIST</t>
  </si>
  <si>
    <t xml:space="preserve">SELECT *
 FROM V_BUN_LABEL_BAT_LIST
 WHERE 1=1
</t>
  </si>
  <si>
    <t>UNJC0070_SQL_SORT</t>
    <phoneticPr fontId="2"/>
  </si>
  <si>
    <t xml:space="preserve">
  ORDER BY W_BUN_LABEL_BAT.JURI_NO,W_BUN_LABEL_BAT.JURI_EDA_NO ASC</t>
    <phoneticPr fontId="2"/>
  </si>
  <si>
    <t>SELECT COUNT(*) AS CNT
 FROM V_BUN_LABEL_BAT_LIST
 WHERE 1=1</t>
  </si>
  <si>
    <t>UNJC0070_SQL_SELECT_INIT_SORT</t>
    <phoneticPr fontId="2"/>
  </si>
  <si>
    <t>UNJC0070_SQL_SELECT_SORT</t>
  </si>
  <si>
    <t>　</t>
    <phoneticPr fontId="2"/>
  </si>
  <si>
    <t>条件(枝番)</t>
    <phoneticPr fontId="2"/>
  </si>
  <si>
    <t>　├　中間報告日②</t>
    <phoneticPr fontId="2"/>
  </si>
  <si>
    <t>　└　中間報告日③</t>
    <phoneticPr fontId="2"/>
  </si>
  <si>
    <t xml:space="preserve"> ├ フリーワード1</t>
    <phoneticPr fontId="2"/>
  </si>
  <si>
    <t>UNJC0070_SQL_FREEWORD1</t>
    <phoneticPr fontId="2"/>
  </si>
  <si>
    <t>UNJC0070_SQL_FREEWORD2</t>
    <phoneticPr fontId="2"/>
  </si>
  <si>
    <t xml:space="preserve"> └ フリーワード3</t>
    <phoneticPr fontId="2"/>
  </si>
  <si>
    <t>UNJC0070_SQL_FREEWORD3</t>
  </si>
  <si>
    <t>■コンボボックス</t>
    <phoneticPr fontId="2"/>
  </si>
  <si>
    <t>UNJC0070_SQL_BUNSEKI_KBN_LIST</t>
  </si>
  <si>
    <t>試料ラベルデータ展開用SQL</t>
  </si>
  <si>
    <t>UNJC0070_SQL_SELECT_LABEL_DATA</t>
    <phoneticPr fontId="2"/>
  </si>
  <si>
    <t>SELECT *
FROM V_JUCHU_MEISHO_BUNSEKI_KBN
 ORDER BY
       CAST(MEISHO_CD AS INT) ASC</t>
    <phoneticPr fontId="2"/>
  </si>
  <si>
    <t>SELECT *
FROM V_JUCHU_MEISHO_HOKOKUSHO_KEISHIKI_KBN
 ORDER BY
       CAST(MEISHO_CD AS INT) ASC</t>
    <phoneticPr fontId="2"/>
  </si>
  <si>
    <t>SELECT *
FROM V_JUCHU_MEISHO_SOKUHO_KBN
 ORDER BY
       CAST(MEISHO_CD AS INT) ASC</t>
    <phoneticPr fontId="2"/>
  </si>
  <si>
    <t>SELECT *
FROM V_JUCHU_MEISHO_DEMPYO_HAKKO
 ORDER BY
       CAST(MEISHO_CD AS INT) ASC</t>
    <phoneticPr fontId="2"/>
  </si>
  <si>
    <t>SELECT *
FROM V_JUCHU_SHIRYO_YOKI_HENKYAKU
 ORDER BY
       CAST(MEISHO_CD AS INT) ASC</t>
    <phoneticPr fontId="2"/>
  </si>
  <si>
    <t>SELECT *
FROM V_JUCHU_MEISHO_SAISHU_HOHO
 ORDER BY
       CAST(MEISHO_CD AS INT) ASC</t>
    <phoneticPr fontId="2"/>
  </si>
  <si>
    <t>SELECT *
FROM V_JUCHU_MEISHO_HOKOKU_HOHO
 ORDER BY
       CAST(MEISHO_CD AS INT) ASC</t>
    <phoneticPr fontId="2"/>
  </si>
  <si>
    <t>SELECT *
FROM V_JUCHU_MEISHO_HOKOKUSHO_GAISO
 ORDER BY
       CAST(MEISHO_CD AS INT) ASC</t>
    <phoneticPr fontId="2"/>
  </si>
  <si>
    <t>初期は降順(2)</t>
    <rPh sb="0" eb="2">
      <t>ショキ</t>
    </rPh>
    <rPh sb="3" eb="5">
      <t>コウジュン</t>
    </rPh>
    <phoneticPr fontId="2"/>
  </si>
  <si>
    <t>SELECT * 
  FROM V_JUCHU_MEISHO_BUNSEKI_KBN
 ORDER BY
       CAST(MEISHO_CD AS INT) ASC</t>
    <phoneticPr fontId="2"/>
  </si>
  <si>
    <t>対象ページ番号</t>
    <rPh sb="0" eb="2">
      <t>タイショウ</t>
    </rPh>
    <rPh sb="5" eb="7">
      <t>バンゴウ</t>
    </rPh>
    <phoneticPr fontId="2"/>
  </si>
  <si>
    <t xml:space="preserve">SELECT M_MEISHO_B.DATA_1        AS 並べ替え
           ,M_MEISHO_B.DATA_2        AS ORDER句
   FROM M_MEISHO_B
 WHERE M_MEISHO_B.MEISHO_KBN = 'O304'
 ORDER BY M_MEISHO_B.SORT_NO ASC
      ,CAST(M_MEISHO_B.MEISHO_CD AS INT) ASC
   </t>
    <phoneticPr fontId="2"/>
  </si>
  <si>
    <t>UNJC1020_SQL_SELECT_INIT_SORT</t>
    <phoneticPr fontId="2"/>
  </si>
  <si>
    <t xml:space="preserve">SELECT M_MEISHO_B.DATA_2   AS ORDER句
  FROM M_MEISHO_B
 WHERE M_MEISHO_B.MEISHO_KBN = 'O303'
   AND M_MEISHO_B.MEISHO_CD = '1'
</t>
    <phoneticPr fontId="2"/>
  </si>
  <si>
    <t xml:space="preserve">SELECT M_MEISHO_B.DATA_2   AS ORDER句
  FROM M_MEISHO_B
 WHERE M_MEISHO_B.MEISHO_KBN = 'O304'
   AND M_MEISHO_B.MEISHO_CD = '1'
</t>
    <phoneticPr fontId="2"/>
  </si>
  <si>
    <t>フリーワード接続条件</t>
    <rPh sb="6" eb="8">
      <t>セツゾク</t>
    </rPh>
    <rPh sb="8" eb="10">
      <t>ジョウケン</t>
    </rPh>
    <phoneticPr fontId="2"/>
  </si>
  <si>
    <t xml:space="preserve">SELECT M_MEISHO_B.DATA_1
      ,M_MEISHO_B.DATA_2
  FROM M_MEISHO_B
 WHERE M_MEISHO_B.MEISHO_KBN='O309'
 ORDER BY
       M_MEISHO_B.SORT_NO ASC
      ,CAST(M_MEISHO_B.MEISHO_CD AS INT) ASC
</t>
    <phoneticPr fontId="2"/>
  </si>
  <si>
    <t>見積No</t>
    <rPh sb="0" eb="2">
      <t>ミツモリ</t>
    </rPh>
    <phoneticPr fontId="2"/>
  </si>
  <si>
    <t xml:space="preserve">SELECT DISTINCT
       T_BUN_JUCHU_H.NOHIN_HOHO     AS 納品方法実績
  FROM T_BUN_JUCHU_H
 WHERE T_BUN_JUCHU_H.NOHIN_HOHO &lt;&gt; ''
   AND T_BUN_JUCHU_H.DEL_FLG = 'False'
</t>
    <phoneticPr fontId="2"/>
  </si>
  <si>
    <t>中間報告済</t>
    <phoneticPr fontId="2"/>
  </si>
  <si>
    <t>UNJC0030_IF_EXCEL_SHOSHIKI_COPY_MOTO</t>
    <phoneticPr fontId="2"/>
  </si>
  <si>
    <t>UNJC0030_IF_EXCEL_SHOSHIKI_COPY_SAKI</t>
    <phoneticPr fontId="2"/>
  </si>
  <si>
    <t>書式コピー先</t>
    <rPh sb="0" eb="2">
      <t>ショシキ</t>
    </rPh>
    <rPh sb="5" eb="6">
      <t>サキ</t>
    </rPh>
    <phoneticPr fontId="2"/>
  </si>
  <si>
    <t>必須チェック実行判定</t>
    <rPh sb="0" eb="2">
      <t>ヒッス</t>
    </rPh>
    <rPh sb="6" eb="8">
      <t>ジッコウ</t>
    </rPh>
    <rPh sb="8" eb="10">
      <t>ハンテイ</t>
    </rPh>
    <phoneticPr fontId="2"/>
  </si>
  <si>
    <t>UNJC0030_IF_INPUT_CHECK_RUN</t>
    <phoneticPr fontId="2"/>
  </si>
  <si>
    <t>最大枝番</t>
    <rPh sb="0" eb="2">
      <t>サイダイ</t>
    </rPh>
    <rPh sb="2" eb="3">
      <t>エダ</t>
    </rPh>
    <rPh sb="3" eb="4">
      <t>バン</t>
    </rPh>
    <phoneticPr fontId="2"/>
  </si>
  <si>
    <t xml:space="preserve">SELECT MAX(W_BUN_JUCHU.JURI_EDA_NO)
  FROM W_BUN_JUCHU
</t>
    <phoneticPr fontId="2"/>
  </si>
  <si>
    <t>UNJC0030_SQL_SELECT_MAX_EDA</t>
    <phoneticPr fontId="2"/>
  </si>
  <si>
    <t>最大枝番取得</t>
    <rPh sb="0" eb="2">
      <t>サイダイ</t>
    </rPh>
    <rPh sb="2" eb="3">
      <t>エダ</t>
    </rPh>
    <rPh sb="3" eb="4">
      <t>バン</t>
    </rPh>
    <rPh sb="4" eb="6">
      <t>シュトク</t>
    </rPh>
    <phoneticPr fontId="2"/>
  </si>
  <si>
    <t>UNJC0030_IF_EDA_MAX</t>
    <phoneticPr fontId="2"/>
  </si>
  <si>
    <t>参照モードかつ次枝番&gt;最大枝番の場合、または次枝番&gt;99のとき、無効(2)</t>
    <rPh sb="0" eb="2">
      <t>サンショウ</t>
    </rPh>
    <rPh sb="7" eb="8">
      <t>ツギ</t>
    </rPh>
    <rPh sb="8" eb="9">
      <t>エダ</t>
    </rPh>
    <rPh sb="9" eb="10">
      <t>バン</t>
    </rPh>
    <rPh sb="11" eb="13">
      <t>サイダイ</t>
    </rPh>
    <rPh sb="13" eb="14">
      <t>エダ</t>
    </rPh>
    <rPh sb="14" eb="15">
      <t>バン</t>
    </rPh>
    <rPh sb="16" eb="18">
      <t>バアイ</t>
    </rPh>
    <rPh sb="22" eb="23">
      <t>ツギ</t>
    </rPh>
    <rPh sb="23" eb="24">
      <t>エダ</t>
    </rPh>
    <rPh sb="24" eb="25">
      <t>バン</t>
    </rPh>
    <rPh sb="32" eb="34">
      <t>ムコウ</t>
    </rPh>
    <phoneticPr fontId="2"/>
  </si>
  <si>
    <t>枝番削除処理判定</t>
    <rPh sb="0" eb="1">
      <t>エダ</t>
    </rPh>
    <rPh sb="1" eb="2">
      <t>バン</t>
    </rPh>
    <rPh sb="2" eb="4">
      <t>サクジョ</t>
    </rPh>
    <rPh sb="4" eb="6">
      <t>ショリ</t>
    </rPh>
    <rPh sb="6" eb="8">
      <t>ハンテイ</t>
    </rPh>
    <phoneticPr fontId="2"/>
  </si>
  <si>
    <t>UNJC0030_IF_EDA_DEL_CHECK</t>
    <phoneticPr fontId="2"/>
  </si>
  <si>
    <t>現枝番が2以上かつ&gt;=最大枝番の場合、削除後、前枝番を表示する</t>
    <rPh sb="0" eb="1">
      <t>ゲン</t>
    </rPh>
    <rPh sb="1" eb="2">
      <t>エダ</t>
    </rPh>
    <rPh sb="2" eb="3">
      <t>バン</t>
    </rPh>
    <rPh sb="5" eb="7">
      <t>イジョウ</t>
    </rPh>
    <rPh sb="11" eb="13">
      <t>サイダイ</t>
    </rPh>
    <rPh sb="13" eb="14">
      <t>エダ</t>
    </rPh>
    <rPh sb="14" eb="15">
      <t>バン</t>
    </rPh>
    <rPh sb="16" eb="18">
      <t>バアイ</t>
    </rPh>
    <rPh sb="19" eb="21">
      <t>サクジョ</t>
    </rPh>
    <rPh sb="21" eb="22">
      <t>ゴ</t>
    </rPh>
    <rPh sb="23" eb="24">
      <t>マエ</t>
    </rPh>
    <rPh sb="24" eb="25">
      <t>エダ</t>
    </rPh>
    <rPh sb="25" eb="26">
      <t>バン</t>
    </rPh>
    <rPh sb="27" eb="29">
      <t>ヒョウジ</t>
    </rPh>
    <phoneticPr fontId="2"/>
  </si>
  <si>
    <t>分析ノート検索</t>
    <rPh sb="0" eb="2">
      <t>ブンセキ</t>
    </rPh>
    <rPh sb="5" eb="7">
      <t>ケンサク</t>
    </rPh>
    <phoneticPr fontId="2"/>
  </si>
  <si>
    <t>※検索ボタン押すと条件が保持される</t>
    <rPh sb="1" eb="3">
      <t>ケンサク</t>
    </rPh>
    <rPh sb="6" eb="7">
      <t>オ</t>
    </rPh>
    <rPh sb="9" eb="11">
      <t>ジョウケン</t>
    </rPh>
    <rPh sb="12" eb="14">
      <t>ホジ</t>
    </rPh>
    <phoneticPr fontId="2"/>
  </si>
  <si>
    <t>その他設定項目</t>
    <rPh sb="2" eb="3">
      <t>タ</t>
    </rPh>
    <rPh sb="3" eb="7">
      <t>セッテイコウモク</t>
    </rPh>
    <phoneticPr fontId="2"/>
  </si>
  <si>
    <t>UNJC0180_H_INIT_HEADER_FLG_COPY_SAKI</t>
    <phoneticPr fontId="2"/>
  </si>
  <si>
    <t>検索条件</t>
    <rPh sb="0" eb="4">
      <t>ケンサクジョウケン</t>
    </rPh>
    <phoneticPr fontId="2"/>
  </si>
  <si>
    <t>保存値</t>
    <rPh sb="0" eb="2">
      <t>ホゾン</t>
    </rPh>
    <rPh sb="2" eb="3">
      <t>チ</t>
    </rPh>
    <phoneticPr fontId="2"/>
  </si>
  <si>
    <t>セル名</t>
    <phoneticPr fontId="2"/>
  </si>
  <si>
    <t>設定値</t>
    <rPh sb="0" eb="3">
      <t>セッテイチ</t>
    </rPh>
    <phoneticPr fontId="2"/>
  </si>
  <si>
    <t>JYY-MM9999</t>
    <phoneticPr fontId="2"/>
  </si>
  <si>
    <t>UNJC0180_H_JURI_NO_S</t>
    <phoneticPr fontId="2"/>
  </si>
  <si>
    <t>ラジオボタン</t>
    <phoneticPr fontId="2"/>
  </si>
  <si>
    <t>UNJC0180_H_FREEWD_KBN</t>
    <phoneticPr fontId="2"/>
  </si>
  <si>
    <t>枝番▽</t>
    <rPh sb="0" eb="2">
      <t>エダバン</t>
    </rPh>
    <phoneticPr fontId="2"/>
  </si>
  <si>
    <t>UNJC0180_H_EDA_S</t>
    <phoneticPr fontId="2"/>
  </si>
  <si>
    <t>担当部署CD</t>
    <rPh sb="0" eb="2">
      <t>タントウ</t>
    </rPh>
    <rPh sb="2" eb="4">
      <t>ブショ</t>
    </rPh>
    <phoneticPr fontId="2"/>
  </si>
  <si>
    <t>UNJC0180_H_BUSHO_CD</t>
    <phoneticPr fontId="2"/>
  </si>
  <si>
    <t>担当部署名▼</t>
    <rPh sb="0" eb="2">
      <t>タントウ</t>
    </rPh>
    <rPh sb="2" eb="4">
      <t>ブショ</t>
    </rPh>
    <rPh sb="4" eb="5">
      <t>メイ</t>
    </rPh>
    <phoneticPr fontId="2"/>
  </si>
  <si>
    <t>UNJC0180_H_BUSHO_CD_S</t>
    <phoneticPr fontId="2"/>
  </si>
  <si>
    <t>分析項目名▼</t>
    <rPh sb="0" eb="2">
      <t>ブンセキ</t>
    </rPh>
    <rPh sb="2" eb="4">
      <t>コウモク</t>
    </rPh>
    <rPh sb="4" eb="5">
      <t>メイ</t>
    </rPh>
    <phoneticPr fontId="2"/>
  </si>
  <si>
    <t>Ｘ（２０）ＸＸＸＸＸＸＸＸＸＸＸＸＸＸＸ</t>
    <phoneticPr fontId="2"/>
  </si>
  <si>
    <t>担当部署名</t>
    <phoneticPr fontId="2"/>
  </si>
  <si>
    <t>UNJC0180_H_BUSHO_MEI_S</t>
    <phoneticPr fontId="2"/>
  </si>
  <si>
    <t>UNJC0180_H_EIGYO_TANTOSHA_CD</t>
    <phoneticPr fontId="2"/>
  </si>
  <si>
    <t>Ｘ（２５）ＸＸＸＸＸＸＸＸＸＸＸＸＸＸＸＸＸＸＸＸ</t>
    <phoneticPr fontId="2"/>
  </si>
  <si>
    <t>UNJC0180_H_BUNSEKI_KOMOKU_CD_S</t>
    <phoneticPr fontId="2"/>
  </si>
  <si>
    <t>UNJC0180_H_SEIKYUSAKI_MEI</t>
    <phoneticPr fontId="2"/>
  </si>
  <si>
    <t>試料種類▼</t>
    <rPh sb="0" eb="2">
      <t>シリョウ</t>
    </rPh>
    <rPh sb="2" eb="4">
      <t>シュルイ</t>
    </rPh>
    <phoneticPr fontId="2"/>
  </si>
  <si>
    <t>UNJC0180_H_BUNSEKI_KOMOKU_MEI_S</t>
    <phoneticPr fontId="2"/>
  </si>
  <si>
    <t>UNJC0180_H_BUNSEKI_HOHO_S</t>
    <phoneticPr fontId="2"/>
  </si>
  <si>
    <t>X(10)XXXXX</t>
    <phoneticPr fontId="2"/>
  </si>
  <si>
    <t>UNJC0180_H_SIRYO_SHURUI_S</t>
    <phoneticPr fontId="2"/>
  </si>
  <si>
    <t>入力日・スタート</t>
    <rPh sb="0" eb="2">
      <t>ニュウリョク</t>
    </rPh>
    <phoneticPr fontId="2"/>
  </si>
  <si>
    <t>UNJC0180_H_NYURYOKU_DATE_START_S</t>
    <phoneticPr fontId="2"/>
  </si>
  <si>
    <t>入力日・エンド</t>
    <rPh sb="0" eb="2">
      <t>ニュウリョク</t>
    </rPh>
    <phoneticPr fontId="2"/>
  </si>
  <si>
    <t>UNJC0180_H_NYURYOKU_DATE_END_S</t>
    <phoneticPr fontId="2"/>
  </si>
  <si>
    <t>依頼日/受付日・スタート</t>
    <rPh sb="0" eb="2">
      <t>イライ</t>
    </rPh>
    <rPh sb="2" eb="3">
      <t>ビ</t>
    </rPh>
    <rPh sb="4" eb="6">
      <t>ウケツケ</t>
    </rPh>
    <phoneticPr fontId="2"/>
  </si>
  <si>
    <t>UNJC0180_H_IRAI_DATE_START_S</t>
    <phoneticPr fontId="2"/>
  </si>
  <si>
    <t>依頼日/受付日・エンド</t>
    <phoneticPr fontId="2"/>
  </si>
  <si>
    <t>UNJC0180_H_IRAI_DATE_END_S</t>
    <phoneticPr fontId="2"/>
  </si>
  <si>
    <t>非表示列指定</t>
    <rPh sb="0" eb="3">
      <t>ヒヒョウジ</t>
    </rPh>
    <rPh sb="3" eb="4">
      <t>レツ</t>
    </rPh>
    <rPh sb="4" eb="6">
      <t>シテイ</t>
    </rPh>
    <phoneticPr fontId="2"/>
  </si>
  <si>
    <t>UNJC0180_H_HIDE_COLUMN</t>
    <phoneticPr fontId="2"/>
  </si>
  <si>
    <t>分析完了日・スタート</t>
    <phoneticPr fontId="2"/>
  </si>
  <si>
    <t>UNJC0180_H_KANRYO_DATE_START_S</t>
    <phoneticPr fontId="2"/>
  </si>
  <si>
    <t>分析完了日・エンド</t>
    <phoneticPr fontId="2"/>
  </si>
  <si>
    <t>UNJC0180_H_KANRYO_DATE_END_S</t>
    <phoneticPr fontId="2"/>
  </si>
  <si>
    <t>報告書完成日/速報日・スタート</t>
    <rPh sb="0" eb="3">
      <t>ホウコクショ</t>
    </rPh>
    <rPh sb="3" eb="5">
      <t>カンセイ</t>
    </rPh>
    <rPh sb="7" eb="9">
      <t>ソクホウ</t>
    </rPh>
    <rPh sb="9" eb="10">
      <t>ビ</t>
    </rPh>
    <phoneticPr fontId="2"/>
  </si>
  <si>
    <t>UNJC0180_H_KANSEI_DATE_START_S</t>
    <phoneticPr fontId="2"/>
  </si>
  <si>
    <t>報告書完成日/速報日・エンド</t>
    <phoneticPr fontId="2"/>
  </si>
  <si>
    <t>UNJC0180_H_KANSEI_DATE_END_S</t>
    <phoneticPr fontId="2"/>
  </si>
  <si>
    <t>納品日・スタート</t>
    <phoneticPr fontId="2"/>
  </si>
  <si>
    <t>UNJC0180_H_NOHIN_DATE_START_S</t>
    <phoneticPr fontId="2"/>
  </si>
  <si>
    <t>納品日・エンド</t>
    <rPh sb="0" eb="3">
      <t>ノウヒンビ</t>
    </rPh>
    <phoneticPr fontId="2"/>
  </si>
  <si>
    <t>UNJC0180_H_NOHIN_DATE_END_S</t>
    <phoneticPr fontId="2"/>
  </si>
  <si>
    <t>報告書宛名CD</t>
    <rPh sb="0" eb="2">
      <t>ホウコク</t>
    </rPh>
    <rPh sb="2" eb="3">
      <t>ショ</t>
    </rPh>
    <rPh sb="3" eb="5">
      <t>アテナ</t>
    </rPh>
    <phoneticPr fontId="2"/>
  </si>
  <si>
    <t>UNJC0180_H_ATENA_CD_S</t>
    <phoneticPr fontId="2"/>
  </si>
  <si>
    <t>UNJC0180_H_ATENA_S</t>
    <phoneticPr fontId="2"/>
  </si>
  <si>
    <t>UNJC0180_H_SEIKYUSAKI_CD_S</t>
    <phoneticPr fontId="2"/>
  </si>
  <si>
    <t>請求先</t>
    <phoneticPr fontId="2"/>
  </si>
  <si>
    <t>UNJC0180_H_SEIKYUSAKI_MEI_S</t>
    <phoneticPr fontId="2"/>
  </si>
  <si>
    <t>UNJC0180_H_EIGYO_TANTOSHA_CD_S</t>
    <phoneticPr fontId="2"/>
  </si>
  <si>
    <t>営業担当者名</t>
    <phoneticPr fontId="2"/>
  </si>
  <si>
    <t>Ｘ（２０）ＸＸＸＸＸＸＸＸＸＸＸＸＸＸＸＸＸＸＸＸ</t>
    <phoneticPr fontId="2"/>
  </si>
  <si>
    <t>UNJC0180_H_EIGYO_TANTOSHA_MEI_S</t>
    <phoneticPr fontId="2"/>
  </si>
  <si>
    <t>UNJC0180_H_FREEWD_1_S</t>
    <phoneticPr fontId="2"/>
  </si>
  <si>
    <t>フリーワード２</t>
  </si>
  <si>
    <t>UNJC0180_H_FREEWD_2_S</t>
    <phoneticPr fontId="2"/>
  </si>
  <si>
    <t>フリーワード３</t>
  </si>
  <si>
    <t>UNJC0180_H_FREEWD_3_S</t>
    <phoneticPr fontId="2"/>
  </si>
  <si>
    <t>null</t>
    <phoneticPr fontId="2"/>
  </si>
  <si>
    <t>SELECT_FLG</t>
  </si>
  <si>
    <t>W_USER_ID</t>
  </si>
  <si>
    <t>W_SERIAL</t>
  </si>
  <si>
    <t>W_ROW</t>
  </si>
  <si>
    <t>DBS_STATUS</t>
  </si>
  <si>
    <t>DBS_CREATE_USER</t>
  </si>
  <si>
    <t>DBS_CREATE_DATE</t>
  </si>
  <si>
    <t>DBS_UPDATE_USER</t>
  </si>
  <si>
    <t>DBS_UPDATE_DATE</t>
  </si>
  <si>
    <t>IRAI_DATE</t>
  </si>
  <si>
    <t>KANRYO_DATE</t>
  </si>
  <si>
    <t>CHUKAN_DATE_1</t>
  </si>
  <si>
    <t>KANSEI_DATE</t>
  </si>
  <si>
    <t>NOHIN_DATE</t>
  </si>
  <si>
    <t>JURI_NO</t>
  </si>
  <si>
    <t>JURI_EDA_NO</t>
  </si>
  <si>
    <t>BUSHO_MEI</t>
  </si>
  <si>
    <t>ATENA</t>
  </si>
  <si>
    <t>SEIKYU_MEI</t>
  </si>
  <si>
    <t>BUNSEKI_HOHO</t>
  </si>
  <si>
    <t>EIGYO_TANTO_MEI</t>
  </si>
  <si>
    <t>SHIRYO_SHURUI</t>
  </si>
  <si>
    <t>SHIRYO_MEI</t>
  </si>
  <si>
    <t>H_BIKO</t>
  </si>
  <si>
    <t>BUNSEKI_CNT</t>
  </si>
  <si>
    <t>BUNSEKI_MEI_01</t>
  </si>
  <si>
    <t>BUNSEKI_MEI_02</t>
  </si>
  <si>
    <t>BUNSEKI_MEI_03</t>
  </si>
  <si>
    <t>BUNSEKI_MEI_04</t>
  </si>
  <si>
    <t>BUNSEKI_MEI_05</t>
  </si>
  <si>
    <t>BUNSEKI_MEI_06</t>
  </si>
  <si>
    <t>BUNSEKI_MEI_07</t>
  </si>
  <si>
    <t>BUNSEKI_MEI_08</t>
  </si>
  <si>
    <t>BUNSEKI_MEI_09</t>
  </si>
  <si>
    <t>BUNSEKI_MEI_10</t>
  </si>
  <si>
    <t>BUNSEKI_MEI_11</t>
  </si>
  <si>
    <t>BUNSEKI_MEI_12</t>
  </si>
  <si>
    <t>BUNSEKI_MEI_13</t>
  </si>
  <si>
    <t>BUNSEKI_MEI_14</t>
  </si>
  <si>
    <t>BUNSEKI_MEI_15</t>
  </si>
  <si>
    <t>BUNSEKI_MEI_16</t>
  </si>
  <si>
    <t>BUNSEKI_MEI_17</t>
  </si>
  <si>
    <t>BUNSEKI_MEI_18</t>
  </si>
  <si>
    <t>BUNSEKI_MEI_19</t>
  </si>
  <si>
    <t>BUNSEKI_MEI_20</t>
  </si>
  <si>
    <t>BUNSEKI_MEI_21</t>
  </si>
  <si>
    <t>BUNSEKI_MEI_22</t>
  </si>
  <si>
    <t>BUNSEKI_MEI_23</t>
  </si>
  <si>
    <t>BUNSEKI_MEI_24</t>
  </si>
  <si>
    <t>BUNSEKI_MEI_25</t>
  </si>
  <si>
    <t>BUNSEKI_MEI_26</t>
  </si>
  <si>
    <t>BUNSEKI_MEI_27</t>
  </si>
  <si>
    <t>BUNSEKI_MEI_28</t>
  </si>
  <si>
    <t>BUNSEKI_MEI_29</t>
  </si>
  <si>
    <t>BUNSEKI_MEI_30</t>
  </si>
  <si>
    <t>BUNSEKI_MEI_31</t>
  </si>
  <si>
    <t>BUNSEKI_MEI_32</t>
  </si>
  <si>
    <t>BUNSEKI_MEI_33</t>
  </si>
  <si>
    <t>BUNSEKI_MEI_34</t>
  </si>
  <si>
    <t>BUNSEKI_MEI_35</t>
  </si>
  <si>
    <t>BUNSEKI_MEI_36</t>
  </si>
  <si>
    <t>BUNSEKI_MEI_37</t>
  </si>
  <si>
    <t>BUNSEKI_MEI_38</t>
  </si>
  <si>
    <t>BUNSEKI_MEI_39</t>
  </si>
  <si>
    <t>BUNSEKI_MEI_40</t>
  </si>
  <si>
    <t>BUNSEKI_MEI_41</t>
  </si>
  <si>
    <t>BUNSEKI_MEI_42</t>
  </si>
  <si>
    <t>BUNSEKI_MEI_43</t>
  </si>
  <si>
    <t>BUNSEKI_MEI_44</t>
  </si>
  <si>
    <t>BUNSEKI_MEI_45</t>
  </si>
  <si>
    <t>BUNSEKI_MEI_46</t>
  </si>
  <si>
    <t>BUNSEKI_MEI_47</t>
  </si>
  <si>
    <t>BUNSEKI_MEI_48</t>
  </si>
  <si>
    <t>BUNSEKI_MEI_49</t>
  </si>
  <si>
    <t>BUNSEKI_MEI_50</t>
  </si>
  <si>
    <t>BUNSEKI_MEI_51</t>
  </si>
  <si>
    <t>BUNSEKI_MEI_52</t>
  </si>
  <si>
    <t>BUNSEKI_MEI_53</t>
  </si>
  <si>
    <t>BUNSEKI_MEI_54</t>
  </si>
  <si>
    <t>BUNSEKI_MEI_55</t>
  </si>
  <si>
    <t>BUNSEKI_MEI_56</t>
  </si>
  <si>
    <t>BUNSEKI_MEI_57</t>
  </si>
  <si>
    <t>BUNSEKI_MEI_58</t>
  </si>
  <si>
    <t>BUNSEKI_MEI_59</t>
  </si>
  <si>
    <t>BUNSEKI_MEI_60</t>
  </si>
  <si>
    <t>BUNSEKI_MEI_61</t>
  </si>
  <si>
    <t>BUNSEKI_MEI_62</t>
  </si>
  <si>
    <t>BUNSEKI_MEI_63</t>
  </si>
  <si>
    <t>BUNSEKI_MEI_64</t>
  </si>
  <si>
    <t>BUNSEKI_MEI_65</t>
  </si>
  <si>
    <t>BUNSEKI_MEI_66</t>
  </si>
  <si>
    <t>BUNSEKI_MEI_67</t>
  </si>
  <si>
    <t>BUNSEKI_MEI_68</t>
  </si>
  <si>
    <t>BUNSEKI_MEI_69</t>
  </si>
  <si>
    <t>BUNSEKI_MEI_70</t>
  </si>
  <si>
    <t>BUNSEKI_MEI_71</t>
  </si>
  <si>
    <t>BUNSEKI_MEI_72</t>
  </si>
  <si>
    <t>BUNSEKI_MEI_73</t>
  </si>
  <si>
    <t>BUNSEKI_MEI_74</t>
  </si>
  <si>
    <t>BUNSEKI_MEI_75</t>
  </si>
  <si>
    <t>BUNSEKI_MEI_76</t>
  </si>
  <si>
    <t>BUNSEKI_MEI_77</t>
  </si>
  <si>
    <t>BUNSEKI_MEI_78</t>
  </si>
  <si>
    <t>BUNSEKI_MEI_79</t>
  </si>
  <si>
    <t>BUNSEKI_MEI_80</t>
  </si>
  <si>
    <t>BUNSEKI_MEI_81</t>
  </si>
  <si>
    <t>BUNSEKI_MEI_82</t>
  </si>
  <si>
    <t>BUNSEKI_MEI_83</t>
  </si>
  <si>
    <t>BUNSEKI_MEI_84</t>
  </si>
  <si>
    <t>BUNSEKI_MEI_85</t>
  </si>
  <si>
    <t>BUNSEKI_MEI_86</t>
  </si>
  <si>
    <t>BUNSEKI_MEI_87</t>
  </si>
  <si>
    <t>BUNSEKI_MEI_88</t>
  </si>
  <si>
    <t>BUNSEKI_MEI_89</t>
  </si>
  <si>
    <t>BUNSEKI_MEI_90</t>
  </si>
  <si>
    <t>BUNSEKI_MEI_91</t>
  </si>
  <si>
    <t>BUNSEKI_MEI_92</t>
  </si>
  <si>
    <t>BUNSEKI_MEI_93</t>
  </si>
  <si>
    <t>BUNSEKI_MEI_94</t>
  </si>
  <si>
    <t>BUNSEKI_MEI_95</t>
  </si>
  <si>
    <t>BUNSEKI_MEI_96</t>
  </si>
  <si>
    <t>BUNSEKI_MEI_97</t>
  </si>
  <si>
    <t>BUNSEKI_MEI_98</t>
  </si>
  <si>
    <t>BUNSEKI_MEI_99</t>
  </si>
  <si>
    <t>サンプル数：</t>
    <phoneticPr fontId="2"/>
  </si>
  <si>
    <t>分析項目数：</t>
    <rPh sb="0" eb="2">
      <t>ブンセキ</t>
    </rPh>
    <rPh sb="2" eb="4">
      <t>コウモク</t>
    </rPh>
    <rPh sb="4" eb="5">
      <t>スウ</t>
    </rPh>
    <phoneticPr fontId="2"/>
  </si>
  <si>
    <t>隠す列</t>
    <rPh sb="0" eb="1">
      <t>カク</t>
    </rPh>
    <rPh sb="2" eb="3">
      <t>レツ</t>
    </rPh>
    <phoneticPr fontId="2"/>
  </si>
  <si>
    <t>UNJC0180_B_CTRL_HYOJI_GYO_SU</t>
    <phoneticPr fontId="2"/>
  </si>
  <si>
    <t>隠列・チェック結果格納</t>
    <rPh sb="0" eb="1">
      <t>カク</t>
    </rPh>
    <rPh sb="1" eb="2">
      <t>レツ</t>
    </rPh>
    <rPh sb="7" eb="9">
      <t>ケッカ</t>
    </rPh>
    <rPh sb="9" eb="11">
      <t>カクノウ</t>
    </rPh>
    <phoneticPr fontId="2"/>
  </si>
  <si>
    <t>依頼日</t>
    <rPh sb="0" eb="2">
      <t>イライ</t>
    </rPh>
    <rPh sb="2" eb="3">
      <t>ビ</t>
    </rPh>
    <phoneticPr fontId="2"/>
  </si>
  <si>
    <t>分析完了日</t>
    <rPh sb="0" eb="2">
      <t>ブンセキ</t>
    </rPh>
    <rPh sb="2" eb="5">
      <t>カンリョウビ</t>
    </rPh>
    <phoneticPr fontId="2"/>
  </si>
  <si>
    <t>UNJC0180_B_KENSAKU_KENSU</t>
    <phoneticPr fontId="2"/>
  </si>
  <si>
    <t>UNJC0180_B_PAGE_NO</t>
  </si>
  <si>
    <t>UNJC0180_B_ALL_PAGE_SU</t>
  </si>
  <si>
    <t>UNJC0180_B_HYOJI_KENSU</t>
    <phoneticPr fontId="2"/>
  </si>
  <si>
    <t>UNJC0180_B_COPY_SAKI</t>
    <phoneticPr fontId="2"/>
  </si>
  <si>
    <t>UNJC0180_B_FORMAT_COPY_FLG</t>
    <phoneticPr fontId="2"/>
  </si>
  <si>
    <t>UNJC0180_B_EXIST_NEXT_PAGE</t>
    <phoneticPr fontId="2"/>
  </si>
  <si>
    <t>UNJC0180_B_EXIST_PREV_PAGE</t>
    <phoneticPr fontId="2"/>
  </si>
  <si>
    <t>UNJC0180_B_NEXT_PAGE_NO</t>
    <phoneticPr fontId="2"/>
  </si>
  <si>
    <t>UNJC0180_B_PREV_PAGE_NO</t>
    <phoneticPr fontId="2"/>
  </si>
  <si>
    <t>UNJC0180_B_HIDE_ROW</t>
    <phoneticPr fontId="2"/>
  </si>
  <si>
    <t>UNJC0180_B_HIDE_COLUMN</t>
    <phoneticPr fontId="2"/>
  </si>
  <si>
    <t>UNJC0180_B_SCROLL_LOCK</t>
    <phoneticPr fontId="2"/>
  </si>
  <si>
    <t>null</t>
    <phoneticPr fontId="2"/>
  </si>
  <si>
    <t>処理判定</t>
    <rPh sb="0" eb="2">
      <t>ショリ</t>
    </rPh>
    <rPh sb="2" eb="4">
      <t>ハンテイ</t>
    </rPh>
    <phoneticPr fontId="2"/>
  </si>
  <si>
    <t>↓相対にて取得のため順番注意</t>
    <rPh sb="1" eb="3">
      <t>ソウタイ</t>
    </rPh>
    <rPh sb="5" eb="7">
      <t>シュトク</t>
    </rPh>
    <rPh sb="10" eb="12">
      <t>ジュンバン</t>
    </rPh>
    <rPh sb="12" eb="14">
      <t>チュウイ</t>
    </rPh>
    <phoneticPr fontId="2"/>
  </si>
  <si>
    <t>↓コピー開始位置</t>
    <rPh sb="4" eb="6">
      <t>カイシ</t>
    </rPh>
    <rPh sb="6" eb="8">
      <t>イチ</t>
    </rPh>
    <phoneticPr fontId="2"/>
  </si>
  <si>
    <t>↓ループ部分</t>
    <rPh sb="4" eb="6">
      <t>ブブン</t>
    </rPh>
    <phoneticPr fontId="2"/>
  </si>
  <si>
    <t>データ照会中フラグ</t>
    <rPh sb="3" eb="5">
      <t>ショウカイ</t>
    </rPh>
    <rPh sb="5" eb="6">
      <t>チュウ</t>
    </rPh>
    <phoneticPr fontId="1"/>
  </si>
  <si>
    <t>OFF:1以外</t>
    <rPh sb="5" eb="7">
      <t>イガイ</t>
    </rPh>
    <phoneticPr fontId="1"/>
  </si>
  <si>
    <t>データ初期化用</t>
  </si>
  <si>
    <t>分析項目数</t>
    <rPh sb="0" eb="2">
      <t>ブンセキ</t>
    </rPh>
    <rPh sb="2" eb="5">
      <t>コウモクスウ</t>
    </rPh>
    <phoneticPr fontId="2"/>
  </si>
  <si>
    <t>UNJC0180_IF_EXCEL_ItemsMaxCount</t>
    <phoneticPr fontId="2"/>
  </si>
  <si>
    <t>UNJC0180_IF_INIT_HEADER_FLG_COPY_MOTO</t>
    <phoneticPr fontId="2"/>
  </si>
  <si>
    <t>UNJC0180_IF_INIT_HEADER_COPY_MOTO</t>
  </si>
  <si>
    <t>分析項目最大数</t>
    <rPh sb="0" eb="2">
      <t>ブンセキ</t>
    </rPh>
    <rPh sb="2" eb="4">
      <t>コウモク</t>
    </rPh>
    <rPh sb="4" eb="7">
      <t>サイダイスウ</t>
    </rPh>
    <phoneticPr fontId="2"/>
  </si>
  <si>
    <t>UNJC0180_IF_EXCEL_DATA_CNT</t>
    <phoneticPr fontId="2"/>
  </si>
  <si>
    <t>フォーカス判定</t>
    <rPh sb="5" eb="7">
      <t>ハンテイ</t>
    </rPh>
    <phoneticPr fontId="2"/>
  </si>
  <si>
    <t>UNJC0180_IF_EXCEL_LIST_START</t>
    <phoneticPr fontId="2"/>
  </si>
  <si>
    <t>可変処理後コピー元</t>
    <rPh sb="0" eb="2">
      <t>カヘン</t>
    </rPh>
    <rPh sb="2" eb="4">
      <t>ショリ</t>
    </rPh>
    <rPh sb="4" eb="5">
      <t>ゴ</t>
    </rPh>
    <rPh sb="8" eb="9">
      <t>モト</t>
    </rPh>
    <phoneticPr fontId="2"/>
  </si>
  <si>
    <t>UNJC0180_IF_EXCEL_COPY_SAKI</t>
    <phoneticPr fontId="2"/>
  </si>
  <si>
    <t>選択行番号</t>
    <rPh sb="0" eb="2">
      <t>センタク</t>
    </rPh>
    <rPh sb="2" eb="3">
      <t>ギョウ</t>
    </rPh>
    <rPh sb="3" eb="5">
      <t>バンゴウ</t>
    </rPh>
    <phoneticPr fontId="1"/>
  </si>
  <si>
    <t>UNJC0180_IF_EXCEL_FILE_NAME</t>
    <phoneticPr fontId="2"/>
  </si>
  <si>
    <t>選択列番号</t>
    <rPh sb="0" eb="2">
      <t>センタク</t>
    </rPh>
    <rPh sb="2" eb="3">
      <t>レツ</t>
    </rPh>
    <rPh sb="3" eb="5">
      <t>バンゴウ</t>
    </rPh>
    <phoneticPr fontId="1"/>
  </si>
  <si>
    <t>選択セル名</t>
    <rPh sb="0" eb="2">
      <t>センタク</t>
    </rPh>
    <rPh sb="4" eb="5">
      <t>メイ</t>
    </rPh>
    <phoneticPr fontId="1"/>
  </si>
  <si>
    <t>UNJC0180_IF_HIDE_COLUMN</t>
    <phoneticPr fontId="2"/>
  </si>
  <si>
    <t>UNJC0180_IF_W_USER_ID</t>
    <phoneticPr fontId="2"/>
  </si>
  <si>
    <t>UNJC0180_IF_W_SERIAL</t>
    <phoneticPr fontId="2"/>
  </si>
  <si>
    <t>UNJC0180_IF_W_SERIAL_CREATE</t>
    <phoneticPr fontId="2"/>
  </si>
  <si>
    <t>SQL文一覧</t>
    <phoneticPr fontId="2"/>
  </si>
  <si>
    <t>タイトル</t>
    <phoneticPr fontId="2"/>
  </si>
  <si>
    <t>コード系</t>
    <rPh sb="3" eb="4">
      <t>ケイ</t>
    </rPh>
    <phoneticPr fontId="2"/>
  </si>
  <si>
    <t>その他補助</t>
    <rPh sb="2" eb="3">
      <t>タ</t>
    </rPh>
    <rPh sb="3" eb="5">
      <t>ホジョ</t>
    </rPh>
    <phoneticPr fontId="2"/>
  </si>
  <si>
    <t>コメント</t>
    <phoneticPr fontId="2"/>
  </si>
  <si>
    <t>メイン</t>
    <phoneticPr fontId="2"/>
  </si>
  <si>
    <t>SELECT文</t>
    <rPh sb="6" eb="7">
      <t>ブン</t>
    </rPh>
    <phoneticPr fontId="2"/>
  </si>
  <si>
    <t>FROM</t>
    <phoneticPr fontId="2"/>
  </si>
  <si>
    <t>WHERE</t>
    <phoneticPr fontId="2"/>
  </si>
  <si>
    <t>分析ノートデータ検索_検索結果出力</t>
    <rPh sb="0" eb="2">
      <t>ブンセキ</t>
    </rPh>
    <rPh sb="8" eb="10">
      <t>ケンサク</t>
    </rPh>
    <rPh sb="11" eb="15">
      <t>ケンサクケッカ</t>
    </rPh>
    <rPh sb="15" eb="17">
      <t>シュツリョク</t>
    </rPh>
    <phoneticPr fontId="2"/>
  </si>
  <si>
    <t>UNJC0180_SQL_DataSearch
ViewからWorkへデータを移動</t>
    <rPh sb="39" eb="41">
      <t>イドウ</t>
    </rPh>
    <phoneticPr fontId="2"/>
  </si>
  <si>
    <t>←処理モード：0(読込)</t>
    <rPh sb="1" eb="3">
      <t>ショリ</t>
    </rPh>
    <rPh sb="9" eb="11">
      <t>ヨミコミ</t>
    </rPh>
    <phoneticPr fontId="2"/>
  </si>
  <si>
    <t xml:space="preserve"> FROM V_BUN_NOTE</t>
    <phoneticPr fontId="2"/>
  </si>
  <si>
    <t>分析ノートデータ検索結果総数</t>
    <rPh sb="0" eb="2">
      <t>ブンセキ</t>
    </rPh>
    <rPh sb="8" eb="10">
      <t>ケンサク</t>
    </rPh>
    <rPh sb="10" eb="12">
      <t>ケッカ</t>
    </rPh>
    <rPh sb="12" eb="13">
      <t>ソウ</t>
    </rPh>
    <rPh sb="13" eb="14">
      <t>スウ</t>
    </rPh>
    <phoneticPr fontId="2"/>
  </si>
  <si>
    <t>UNJC0180_SQL_DataCount
全件数</t>
    <rPh sb="23" eb="25">
      <t>ゼンケン</t>
    </rPh>
    <rPh sb="25" eb="26">
      <t>スウ</t>
    </rPh>
    <phoneticPr fontId="2"/>
  </si>
  <si>
    <t>分析ノートデータ検索結果分析項目数</t>
    <rPh sb="0" eb="2">
      <t>ブンセキ</t>
    </rPh>
    <rPh sb="8" eb="10">
      <t>ケンサク</t>
    </rPh>
    <rPh sb="10" eb="12">
      <t>ケッカ</t>
    </rPh>
    <rPh sb="12" eb="14">
      <t>ブンセキ</t>
    </rPh>
    <rPh sb="14" eb="16">
      <t>コウモク</t>
    </rPh>
    <rPh sb="16" eb="17">
      <t>スウ</t>
    </rPh>
    <phoneticPr fontId="2"/>
  </si>
  <si>
    <t>UNJC0180_SQL_ItemsCount
全分析項目数</t>
    <rPh sb="24" eb="25">
      <t>ゼン</t>
    </rPh>
    <rPh sb="25" eb="27">
      <t>ブンセキ</t>
    </rPh>
    <rPh sb="27" eb="29">
      <t>コウモク</t>
    </rPh>
    <rPh sb="29" eb="30">
      <t>スウ</t>
    </rPh>
    <phoneticPr fontId="2"/>
  </si>
  <si>
    <t>分析ノートデータ検索_項目数</t>
    <rPh sb="0" eb="2">
      <t>ブンセキ</t>
    </rPh>
    <rPh sb="8" eb="10">
      <t>ケンサク</t>
    </rPh>
    <rPh sb="11" eb="14">
      <t>コウモクスウ</t>
    </rPh>
    <phoneticPr fontId="2"/>
  </si>
  <si>
    <t xml:space="preserve">UNJC0180_SQL_DataSearch_ItemsCount
</t>
    <phoneticPr fontId="2"/>
  </si>
  <si>
    <t>分析ノートデータ検索_ページ表示</t>
    <rPh sb="0" eb="2">
      <t>ブンセキ</t>
    </rPh>
    <rPh sb="8" eb="10">
      <t>ケンサク</t>
    </rPh>
    <rPh sb="14" eb="16">
      <t>ヒョウジ</t>
    </rPh>
    <phoneticPr fontId="2"/>
  </si>
  <si>
    <t>UNJC0180_SQL_DataSearch_PageView</t>
    <phoneticPr fontId="2"/>
  </si>
  <si>
    <t>分析ノートデータ検索_WHERE</t>
    <phoneticPr fontId="2"/>
  </si>
  <si>
    <t>分析ノートデータ検索_WHERE2</t>
    <phoneticPr fontId="2"/>
  </si>
  <si>
    <t>WHERE</t>
    <phoneticPr fontId="2"/>
  </si>
  <si>
    <t xml:space="preserve">   AND SELECT_FLG = 'True'</t>
    <phoneticPr fontId="2"/>
  </si>
  <si>
    <t>チェック数・分析項目数用</t>
    <rPh sb="4" eb="5">
      <t>スウ</t>
    </rPh>
    <rPh sb="6" eb="8">
      <t>ブンセキ</t>
    </rPh>
    <rPh sb="8" eb="10">
      <t>コウモク</t>
    </rPh>
    <rPh sb="10" eb="11">
      <t>スウ</t>
    </rPh>
    <rPh sb="11" eb="12">
      <t>ヨウ</t>
    </rPh>
    <phoneticPr fontId="2"/>
  </si>
  <si>
    <t>分析ノートデータ検索_ソート</t>
    <rPh sb="0" eb="2">
      <t>ブンセキ</t>
    </rPh>
    <rPh sb="8" eb="10">
      <t>ケンサク</t>
    </rPh>
    <phoneticPr fontId="2"/>
  </si>
  <si>
    <t xml:space="preserve"> ORDER BY JURI_NO ASC,JURI_EDA_NO ASC</t>
    <phoneticPr fontId="2"/>
  </si>
  <si>
    <t>UNJC0180_SQL_SORT</t>
    <phoneticPr fontId="2"/>
  </si>
  <si>
    <t>分析ノートデータ検索_ページング</t>
    <rPh sb="0" eb="2">
      <t>ブンセキ</t>
    </rPh>
    <rPh sb="8" eb="10">
      <t>ケンサク</t>
    </rPh>
    <phoneticPr fontId="2"/>
  </si>
  <si>
    <t>分析ノートデータ検索_ソート初期状態</t>
    <rPh sb="0" eb="2">
      <t>ブンセキ</t>
    </rPh>
    <rPh sb="8" eb="10">
      <t>ケンサク</t>
    </rPh>
    <rPh sb="14" eb="16">
      <t>ショキ</t>
    </rPh>
    <rPh sb="16" eb="18">
      <t>ジョウタイ</t>
    </rPh>
    <phoneticPr fontId="2"/>
  </si>
  <si>
    <t>SELECT M_MEISHO_B.DATA_2   AS ORDER句
   FROM M_MEISHO_B
 WHERE M_MEISHO_B.MEISHO_KBN = 'O305'
   AND M_MEISHO_B.MEISHO_CD=1</t>
  </si>
  <si>
    <t>UNJC0180_SQL_INIT_SORT</t>
    <phoneticPr fontId="2"/>
  </si>
  <si>
    <t>分析ノートデータ検索_POP表示SQL</t>
    <rPh sb="0" eb="2">
      <t>ブンセキ</t>
    </rPh>
    <rPh sb="8" eb="10">
      <t>ケンサク</t>
    </rPh>
    <rPh sb="14" eb="16">
      <t>ヒョウジ</t>
    </rPh>
    <phoneticPr fontId="2"/>
  </si>
  <si>
    <t xml:space="preserve">SELECT M_MEISHO_B.DATA_1        AS 並べ替え
           ,M_MEISHO_B.DATA_2        AS ORDER句
   FROM M_MEISHO_B
 WHERE M_MEISHO_B.MEISHO_KBN = 'O305'
 ORDER BY M_MEISHO_B.SORT_NO ASC
      ,CAST(M_MEISHO_B.MEISHO_CD AS INT) ASC
   </t>
  </si>
  <si>
    <t>UNJC0180_SQL_POP_SORT</t>
    <phoneticPr fontId="2"/>
  </si>
  <si>
    <t xml:space="preserve">SELECT COUNT(*) AS CNT
</t>
    <phoneticPr fontId="2"/>
  </si>
  <si>
    <t xml:space="preserve">SELECT ISNULL(SUM(W_BUN_NOTE.BUNSEKI_CNT),0) AS CNT
</t>
    <phoneticPr fontId="2"/>
  </si>
  <si>
    <t>分析項目数</t>
    <rPh sb="0" eb="2">
      <t>ブンセキ</t>
    </rPh>
    <rPh sb="2" eb="4">
      <t>コウモク</t>
    </rPh>
    <rPh sb="4" eb="5">
      <t>スウ</t>
    </rPh>
    <phoneticPr fontId="2"/>
  </si>
  <si>
    <t>ページ表示</t>
    <rPh sb="3" eb="5">
      <t>ヒョウジ</t>
    </rPh>
    <phoneticPr fontId="2"/>
  </si>
  <si>
    <t xml:space="preserve">  FROM W_BUN_NOTE
</t>
    <phoneticPr fontId="2"/>
  </si>
  <si>
    <t>SELECT項目</t>
    <rPh sb="6" eb="8">
      <t>コウモク</t>
    </rPh>
    <phoneticPr fontId="2"/>
  </si>
  <si>
    <t>SELECT項目1</t>
    <rPh sb="6" eb="8">
      <t>コウモク</t>
    </rPh>
    <phoneticPr fontId="2"/>
  </si>
  <si>
    <t>,BUNSEKI_MEI_01 ,BUNSEKI_MEI_02 ,BUNSEKI_MEI_03 ,BUNSEKI_MEI_04 ,BUNSEKI_MEI_05
,BUNSEKI_MEI_06 ,BUNSEKI_MEI_07 ,BUNSEKI_MEI_08 ,BUNSEKI_MEI_09 ,BUNSEKI_MEI_10</t>
    <phoneticPr fontId="2"/>
  </si>
  <si>
    <t>SELECT項目2</t>
    <rPh sb="6" eb="8">
      <t>コウモク</t>
    </rPh>
    <phoneticPr fontId="2"/>
  </si>
  <si>
    <t>,BUNSEKI_MEI_11 ,BUNSEKI_MEI_12 ,BUNSEKI_MEI_13 ,BUNSEKI_MEI_14 ,BUNSEKI_MEI_15
,BUNSEKI_MEI_16 ,BUNSEKI_MEI_17 ,BUNSEKI_MEI_18 ,BUNSEKI_MEI_19 ,BUNSEKI_MEI_20</t>
    <phoneticPr fontId="2"/>
  </si>
  <si>
    <t>SELECT項目3</t>
    <rPh sb="6" eb="8">
      <t>コウモク</t>
    </rPh>
    <phoneticPr fontId="2"/>
  </si>
  <si>
    <t>,BUNSEKI_MEI_21 ,BUNSEKI_MEI_22 ,BUNSEKI_MEI_23 ,BUNSEKI_MEI_24 ,BUNSEKI_MEI_25
,BUNSEKI_MEI_26 ,BUNSEKI_MEI_27 ,BUNSEKI_MEI_28 ,BUNSEKI_MEI_29 ,BUNSEKI_MEI_30</t>
    <phoneticPr fontId="2"/>
  </si>
  <si>
    <t>SELECT項目4</t>
    <rPh sb="6" eb="8">
      <t>コウモク</t>
    </rPh>
    <phoneticPr fontId="2"/>
  </si>
  <si>
    <t>,BUNSEKI_MEI_31 ,BUNSEKI_MEI_32 ,BUNSEKI_MEI_33 ,BUNSEKI_MEI_34 ,BUNSEKI_MEI_35
,BUNSEKI_MEI_36 ,BUNSEKI_MEI_37 ,BUNSEKI_MEI_38 ,BUNSEKI_MEI_39 ,BUNSEKI_MEI_40</t>
    <phoneticPr fontId="2"/>
  </si>
  <si>
    <t>SELECT項目5</t>
    <rPh sb="6" eb="8">
      <t>コウモク</t>
    </rPh>
    <phoneticPr fontId="2"/>
  </si>
  <si>
    <t>,BUNSEKI_MEI_41 ,BUNSEKI_MEI_42 ,BUNSEKI_MEI_43 ,BUNSEKI_MEI_44 ,BUNSEKI_MEI_45
,BUNSEKI_MEI_46 ,BUNSEKI_MEI_47 ,BUNSEKI_MEI_48 ,BUNSEKI_MEI_49 ,BUNSEKI_MEI_50</t>
    <phoneticPr fontId="2"/>
  </si>
  <si>
    <t>SELECT項目6</t>
    <rPh sb="6" eb="8">
      <t>コウモク</t>
    </rPh>
    <phoneticPr fontId="2"/>
  </si>
  <si>
    <t>,BUNSEKI_MEI_51 ,BUNSEKI_MEI_52 ,BUNSEKI_MEI_53 ,BUNSEKI_MEI_54 ,BUNSEKI_MEI_55
,BUNSEKI_MEI_56 ,BUNSEKI_MEI_57 ,BUNSEKI_MEI_58 ,BUNSEKI_MEI_59 ,BUNSEKI_MEI_60</t>
    <phoneticPr fontId="2"/>
  </si>
  <si>
    <t>SELECT項目7</t>
    <rPh sb="6" eb="8">
      <t>コウモク</t>
    </rPh>
    <phoneticPr fontId="2"/>
  </si>
  <si>
    <t>,BUNSEKI_MEI_61 ,BUNSEKI_MEI_62 ,BUNSEKI_MEI_63 ,BUNSEKI_MEI_64 ,BUNSEKI_MEI_65
,BUNSEKI_MEI_66 ,BUNSEKI_MEI_67 ,BUNSEKI_MEI_68 ,BUNSEKI_MEI_69 ,BUNSEKI_MEI_70</t>
    <phoneticPr fontId="2"/>
  </si>
  <si>
    <t>SELECT項目8</t>
    <rPh sb="6" eb="8">
      <t>コウモク</t>
    </rPh>
    <phoneticPr fontId="2"/>
  </si>
  <si>
    <t>,BUNSEKI_MEI_71 ,BUNSEKI_MEI_72 ,BUNSEKI_MEI_73 ,BUNSEKI_MEI_74 ,BUNSEKI_MEI_75
,BUNSEKI_MEI_76 ,BUNSEKI_MEI_77 ,BUNSEKI_MEI_78 ,BUNSEKI_MEI_79 ,BUNSEKI_MEI_80</t>
    <phoneticPr fontId="2"/>
  </si>
  <si>
    <t>SELECT項目9</t>
    <rPh sb="6" eb="8">
      <t>コウモク</t>
    </rPh>
    <phoneticPr fontId="2"/>
  </si>
  <si>
    <t>,BUNSEKI_MEI_81 ,BUNSEKI_MEI_82 ,BUNSEKI_MEI_83 ,BUNSEKI_MEI_84 ,BUNSEKI_MEI_85
,BUNSEKI_MEI_86 ,BUNSEKI_MEI_87 ,BUNSEKI_MEI_88 ,BUNSEKI_MEI_89 ,BUNSEKI_MEI_90</t>
    <phoneticPr fontId="2"/>
  </si>
  <si>
    <t>SELECT項目10</t>
    <rPh sb="6" eb="8">
      <t>コウモク</t>
    </rPh>
    <phoneticPr fontId="2"/>
  </si>
  <si>
    <t>,BUNSEKI_MEI_91 ,BUNSEKI_MEI_92 ,BUNSEKI_MEI_93 ,BUNSEKI_MEI_94 ,BUNSEKI_MEI_95
,BUNSEKI_MEI_96 ,BUNSEKI_MEI_97 ,BUNSEKI_MEI_98 ,BUNSEKI_MEI_99</t>
    <phoneticPr fontId="2"/>
  </si>
  <si>
    <t>↓検索実行時</t>
    <rPh sb="1" eb="3">
      <t>ケンサク</t>
    </rPh>
    <rPh sb="3" eb="5">
      <t>ジッコウ</t>
    </rPh>
    <rPh sb="5" eb="6">
      <t>ジ</t>
    </rPh>
    <phoneticPr fontId="2"/>
  </si>
  <si>
    <t>UNJC0180_H_JURI_NO_S</t>
  </si>
  <si>
    <t>UNJC0180_H_EDA_S</t>
  </si>
  <si>
    <t>UNJC0180_H_BUSHO_CD_S・UNJC0180_H_BUSHO_MEI_S</t>
    <phoneticPr fontId="2"/>
  </si>
  <si>
    <t>UNJC0180_H_BUNSEKI_HOHO_S</t>
    <phoneticPr fontId="2"/>
  </si>
  <si>
    <t>UNJC0180_H_SIRYO_SHURUI_S</t>
    <phoneticPr fontId="2"/>
  </si>
  <si>
    <t>UNJC0180_H_NYURYOKU_DATE_START_S</t>
  </si>
  <si>
    <t>UNJC0180_H_NYURYOKU_DATE_END_S</t>
  </si>
  <si>
    <t>UNJC0180_H_IRAI_DATE_START_S</t>
    <phoneticPr fontId="2"/>
  </si>
  <si>
    <t>依頼日/受付日・エンド</t>
  </si>
  <si>
    <t>UNJC0180_H_KANRYO_DATE_START_S</t>
  </si>
  <si>
    <t>分析完了日・エンド</t>
  </si>
  <si>
    <t>UNJC0180_H_KANRYO_DATE_END_S</t>
  </si>
  <si>
    <t>UNJC0180_H_KANSEI_DATE_START_S</t>
  </si>
  <si>
    <t>報告書完成日/速報日・エンド</t>
  </si>
  <si>
    <t>UNJC0180_H_KANSEI_DATE_END_S</t>
  </si>
  <si>
    <t>納品日・スタート</t>
    <phoneticPr fontId="2"/>
  </si>
  <si>
    <t>UNJC0180_H_NOHIN_DATE_START_S</t>
    <phoneticPr fontId="2"/>
  </si>
  <si>
    <t>UNJC0180_H_NOHIN_DATE_END_S</t>
  </si>
  <si>
    <t>UNJC0180_H_ATENA_CD_S</t>
    <phoneticPr fontId="2"/>
  </si>
  <si>
    <t>UNJC0180_H_ATENA_S</t>
  </si>
  <si>
    <t>不要</t>
    <phoneticPr fontId="2"/>
  </si>
  <si>
    <t>UNJC0180_H_SEIKYUSAKI_MEI_S</t>
    <phoneticPr fontId="2"/>
  </si>
  <si>
    <t>営業担当者CD</t>
    <rPh sb="0" eb="2">
      <t>エイギョウ</t>
    </rPh>
    <phoneticPr fontId="2"/>
  </si>
  <si>
    <t>UNJC0180_H_EIGYO_TANTOSHA_CD_S・UNJC0180_H_EIGYO_TANTOSHA_MEI_S</t>
    <phoneticPr fontId="2"/>
  </si>
  <si>
    <t>フリーワード</t>
    <phoneticPr fontId="2"/>
  </si>
  <si>
    <t>フリーワード１</t>
  </si>
  <si>
    <t>UNJC0180_H_FREEWD_1_S</t>
  </si>
  <si>
    <t>UNJC0180_H_FREEWD_2_S</t>
  </si>
  <si>
    <t>UNJC0180_H_FREEWD_3_S</t>
  </si>
  <si>
    <t>分析ノート発行_チェック数</t>
    <rPh sb="0" eb="2">
      <t>ブンセキ</t>
    </rPh>
    <rPh sb="5" eb="7">
      <t>ハッコウ</t>
    </rPh>
    <rPh sb="12" eb="13">
      <t>スウ</t>
    </rPh>
    <phoneticPr fontId="2"/>
  </si>
  <si>
    <t>UNJC0180_SQL_CheckCount
サンプル数</t>
    <rPh sb="28" eb="29">
      <t>スウ</t>
    </rPh>
    <phoneticPr fontId="2"/>
  </si>
  <si>
    <t>分析ノート発行_分析項目数</t>
    <rPh sb="0" eb="2">
      <t>ブンセキ</t>
    </rPh>
    <rPh sb="5" eb="7">
      <t>ハッコウ</t>
    </rPh>
    <rPh sb="8" eb="10">
      <t>ブンセキ</t>
    </rPh>
    <rPh sb="10" eb="12">
      <t>コウモク</t>
    </rPh>
    <rPh sb="12" eb="13">
      <t>スウ</t>
    </rPh>
    <phoneticPr fontId="2"/>
  </si>
  <si>
    <t>UNJC0180_SQL_CheckItemsCount
チェック分析項目数</t>
    <rPh sb="33" eb="35">
      <t>ブンセキ</t>
    </rPh>
    <rPh sb="35" eb="37">
      <t>コウモク</t>
    </rPh>
    <rPh sb="37" eb="38">
      <t>スウ</t>
    </rPh>
    <phoneticPr fontId="2"/>
  </si>
  <si>
    <t>分析ノート発行</t>
    <rPh sb="0" eb="2">
      <t>ブンセキ</t>
    </rPh>
    <rPh sb="5" eb="7">
      <t>ハッコウ</t>
    </rPh>
    <phoneticPr fontId="2"/>
  </si>
  <si>
    <t>UNJC0180_SQL_HAKKO
メイン</t>
    <phoneticPr fontId="2"/>
  </si>
  <si>
    <t>SELECT文のサブ１
（文字制限のため結合用）</t>
    <rPh sb="6" eb="7">
      <t>ブン</t>
    </rPh>
    <rPh sb="13" eb="15">
      <t>モジ</t>
    </rPh>
    <rPh sb="15" eb="17">
      <t>セイゲン</t>
    </rPh>
    <rPh sb="20" eb="22">
      <t>ケツゴウ</t>
    </rPh>
    <rPh sb="22" eb="23">
      <t>ヨウ</t>
    </rPh>
    <phoneticPr fontId="2"/>
  </si>
  <si>
    <t>分析ノートExcel出力_最大項目数</t>
    <rPh sb="0" eb="2">
      <t>ブンセキ</t>
    </rPh>
    <rPh sb="15" eb="18">
      <t>コウモクスウ</t>
    </rPh>
    <phoneticPr fontId="2"/>
  </si>
  <si>
    <t xml:space="preserve">UNJC0180_SQL_EXCEL_ItemsMaxCount
</t>
    <phoneticPr fontId="2"/>
  </si>
  <si>
    <t>分析ノートExcel出力_データ</t>
    <rPh sb="0" eb="2">
      <t>ブンセキ</t>
    </rPh>
    <rPh sb="10" eb="12">
      <t>シュツリョク</t>
    </rPh>
    <phoneticPr fontId="2"/>
  </si>
  <si>
    <t>UNJC0180_SQL_Excel_DataSearch</t>
    <phoneticPr fontId="2"/>
  </si>
  <si>
    <t>入力日：</t>
  </si>
  <si>
    <t>～</t>
    <phoneticPr fontId="2"/>
  </si>
  <si>
    <t>担当部署：</t>
  </si>
  <si>
    <t>依頼日：</t>
  </si>
  <si>
    <t>分析項目名：</t>
  </si>
  <si>
    <t>分析完了日：</t>
  </si>
  <si>
    <t>分析方法：</t>
  </si>
  <si>
    <t>報告書完成日：</t>
  </si>
  <si>
    <t>試料種類：</t>
  </si>
  <si>
    <t>納品日：</t>
  </si>
  <si>
    <t>報告書宛名：</t>
  </si>
  <si>
    <t>請求先：</t>
  </si>
  <si>
    <t>営業担当者：</t>
  </si>
  <si>
    <t>行</t>
  </si>
  <si>
    <t>入力日</t>
    <rPh sb="0" eb="2">
      <t>ニュウリョク</t>
    </rPh>
    <phoneticPr fontId="2"/>
  </si>
  <si>
    <t>分析完了日</t>
  </si>
  <si>
    <t>報告書完成日</t>
  </si>
  <si>
    <t>担当部署</t>
  </si>
  <si>
    <t>営業担当者</t>
  </si>
  <si>
    <t>分析項目</t>
    <rPh sb="0" eb="2">
      <t>ブンセキ</t>
    </rPh>
    <phoneticPr fontId="2"/>
  </si>
  <si>
    <t>UNJC0180_PRINT_IF_LIST_CLEAR</t>
    <phoneticPr fontId="2"/>
  </si>
  <si>
    <t>サンプル数</t>
    <phoneticPr fontId="2"/>
  </si>
  <si>
    <t>UNJC0180_PRINT_IF_SAMPLE_NUM</t>
  </si>
  <si>
    <t>分析項目数</t>
    <phoneticPr fontId="2"/>
  </si>
  <si>
    <t>UNJC0180_PRINT_IF_ITEMS_NUM</t>
  </si>
  <si>
    <t>行数</t>
    <rPh sb="0" eb="2">
      <t>ギョウスウ</t>
    </rPh>
    <phoneticPr fontId="2"/>
  </si>
  <si>
    <t>入力日</t>
    <phoneticPr fontId="2"/>
  </si>
  <si>
    <t>項目名ここまで</t>
    <rPh sb="0" eb="2">
      <t>コウモク</t>
    </rPh>
    <rPh sb="2" eb="3">
      <t>メイ</t>
    </rPh>
    <phoneticPr fontId="2"/>
  </si>
  <si>
    <t>2016/02/01</t>
  </si>
  <si>
    <t>2016/03/01</t>
  </si>
  <si>
    <t>J16-010001</t>
  </si>
  <si>
    <t>ものづくり支援技術部 試験一課</t>
  </si>
  <si>
    <t>SIAM AISIN CO.,LTD.</t>
  </si>
  <si>
    <t>豊通鋼管株式会社</t>
  </si>
  <si>
    <t>分析方法００１</t>
  </si>
  <si>
    <t>​(NULL)​</t>
  </si>
  <si>
    <t>試料種類１</t>
  </si>
  <si>
    <t>JMS700D-GC用　ｳﾙﾄﾗﾛｰﾌﾞﾘｰﾄﾞｾﾌﾟﾀﾑULB･S･11　11mm</t>
  </si>
  <si>
    <t>清浄度(粒子個数分布)</t>
  </si>
  <si>
    <t>XRF用　ﾏｲｸﾛﾎﾟｰﾗｽﾌｨﾙﾑ　ﾛｰﾙ形　64mm×5.1m</t>
  </si>
  <si>
    <t>PROXXONﾐﾆﾙｰﾀｰ用シャフトφ2.35mm</t>
  </si>
  <si>
    <t>酢酸ｴﾁﾙ[JIS特級　[K8382]]</t>
  </si>
  <si>
    <t>SAMPLE CONE 4450 見積№013-003254-01</t>
  </si>
  <si>
    <t>ﾌｪﾉｶﾙﾌﾞ</t>
  </si>
  <si>
    <t>IPA</t>
  </si>
  <si>
    <t xml:space="preserve">ﾒｽｼﾘﾝﾀﾞｰ500mL (PP製) </t>
  </si>
  <si>
    <t>簡易作業服　続服　ﾀｲﾍﾞｯｸ　ﾌﾟﾛﾃｯｸ3型　ﾌｰﾄﾞ付　Ｌ</t>
  </si>
  <si>
    <t>TEPRA PRO　ﾃｰﾌﾟｶｰﾄﾘｯｼﾞ　黄ﾗﾍﾞﾙ(ﾊﾟｽﾃﾙ)　黒文字　8m巻　幅6mm</t>
  </si>
  <si>
    <t>ﾌﾟﾛﾋﾟﾚﾝｸﾞﾘｺ-ﾙ</t>
  </si>
  <si>
    <t>ｵｰﾙﾌﾟﾗｽﾁｯｸﾃﾞｨｽﾎﾟｼﾘﾝｼﾞ　5mℓ　200個入</t>
  </si>
  <si>
    <t>PPｻﾝﾌﾟﾗﾎﾞﾄﾙ 広口 500mL　目盛付</t>
  </si>
  <si>
    <t>iCAP Q Calibration Solution</t>
  </si>
  <si>
    <t>試験管（ﾘﾑなし）直径18mm長165mm厚1.2mm　容量24ml　18JIS</t>
  </si>
  <si>
    <t>FT/IR-550用油分測定ｾﾙ用ﾎﾙﾀﾞ 10mm角型ｾﾙ用</t>
  </si>
  <si>
    <t>ﾒﾀﾐﾄﾞﾎｽ標準液　10mg/L in ethyl acetate[残留農薬試験用]</t>
  </si>
  <si>
    <t>宇宙の種水（24本入り）</t>
  </si>
  <si>
    <t>ﾊﾟｽﾂｰﾙﾋﾟﾍﾟｯﾄ　硼珪酸ｶﾞﾗｽ製　綿栓無し</t>
  </si>
  <si>
    <t>EPSONﾌﾟﾘﾝﾀLP-2200用感光体ﾕﾆｯﾄ</t>
  </si>
  <si>
    <t>ﾌﾗｯﾄﾄｰﾄ　不織布　社名入り特注品　色:水色　100枚単位発注</t>
  </si>
  <si>
    <t>JISﾏｰｸ付基準分銅型(非磁性ｽﾃﾝﾚｽ)　F1級(特級)分銅　10g</t>
  </si>
  <si>
    <t>硝酸ｲｵﾝ</t>
  </si>
  <si>
    <t>ﾋﾟﾘﾀﾞﾌｪﾝﾁｵﾝ</t>
  </si>
  <si>
    <t>ﾎﾟﾘｽﾎﾟｲﾄﾞ　1ml　全長150mm　内径1.5mm　外径3.0mm　低密度ﾎﾟﾘｴﾁﾚﾝ製</t>
  </si>
  <si>
    <t>SiC研磨紙 φ200mm #800</t>
  </si>
  <si>
    <t>電源ﾀｯﾌﾟ4個口(3P･3m)抜止め　ﾏｸﾞﾈｯﾄ付　ｽｲﾝｸﾞﾌﾟﾗｸﾞ　絶縁ｷｬｯﾌﾟ付</t>
  </si>
  <si>
    <t>塩化第二鉄（6水和物）[1級]</t>
  </si>
  <si>
    <t>ﾗﾎﾞﾀｵﾙ　50枚×1束</t>
  </si>
  <si>
    <t>液体ｱﾝﾓﾆｱ(高純度) 99.96%</t>
  </si>
  <si>
    <t>TEPRA PRO　ﾃｰﾌﾟｶｰﾄﾘｯｼﾞ　青ﾗﾍﾞﾙ(ﾊﾟｽﾃﾙ)　黒文字　8m巻　幅12mm</t>
  </si>
  <si>
    <t>ﾛｯﾄｶﾞｰﾄﾞ　強力ﾊﾟﾝﾁHD-410用</t>
  </si>
  <si>
    <t>ﾊｲﾊﾟﾜｰｽﾀｰﾗｰREXIM　高粘度対応　RP-1AN</t>
  </si>
  <si>
    <t>鉄</t>
  </si>
  <si>
    <t>ｼﾘｶｹﾞﾙ 青色(中粒)</t>
  </si>
  <si>
    <t>ｶﾞﾗｽ繊維ろ紙 GC-50 47φ</t>
  </si>
  <si>
    <t>北川式検知管 ｷﾞ酸 No.220S</t>
  </si>
  <si>
    <t>硬質ｶﾞﾗｽ製角度付きﾛｰﾄ 口径70mm　足径8mm　足長70mm　角度60°</t>
  </si>
  <si>
    <t>引火点　ｸﾘｰﾌﾞﾗﾝﾄﾞ開放法</t>
  </si>
  <si>
    <t>(作業環境)有機溶剤（第5号）　GC　測定点1点につき</t>
  </si>
  <si>
    <t>TENAX GC試料捕集管 充てん済臭気(ｽﾁﾚﾝ)測定用</t>
  </si>
  <si>
    <t>ﾌﾗｯﾄﾋﾟﾝｾｯﾄ　全長120mm　型番125 材質SA(耐酸性ｽﾃﾝﾚｽ)</t>
  </si>
  <si>
    <t>ｶﾞｽ採取管8A×300mm SUS</t>
  </si>
  <si>
    <t>二ｸﾛﾑ酸ｶﾘｳﾑ[容量分析用標準物質　[K8005]]</t>
  </si>
  <si>
    <t>ｼﾞﾁｵﾋﾟﾙ</t>
  </si>
  <si>
    <t>Smart Pack LG ﾘﾌｨﾙﾁｯﾌﾟ　100～1000μℓ</t>
  </si>
  <si>
    <t>SiC研磨紙 φ305mm #500</t>
  </si>
  <si>
    <t>北川式検知管 ﾃﾄﾗｸﾛﾛｴﾁﾚﾝ 5～300ppm</t>
  </si>
  <si>
    <t>ﾀﾞｲｵｷｼﾝ前処理用　ｽﾄｯﾌﾟｺｯｸ(入口10mm外径ﾁｭｰﾌﾞ)</t>
  </si>
  <si>
    <t>危険物確認試験結果報告書</t>
  </si>
  <si>
    <t>硫酸銅(Ⅱ)･5水和物[JIS特級　[K8983]]</t>
  </si>
  <si>
    <t>傾斜ﾏﾉﾒｰﾀｰ用格納箱(ｱﾙﾐ製)　見積№15012483</t>
  </si>
  <si>
    <t>Hgﾗﾝﾌﾟ　L-2420形UV-VIS検出器用</t>
  </si>
  <si>
    <t>JMS700D-GC用　ｱｼﾞﾚﾝﾄ製ﾊﾞｲﾄﾝO-ﾘﾝｸﾞ　1/4"</t>
  </si>
  <si>
    <t>塩化ﾋﾞﾆﾙ</t>
  </si>
  <si>
    <t>Ga(ｶﾞﾘｳﾑ) 10,000ppm 5本/組</t>
  </si>
  <si>
    <t>ｱﾝﾌﾟﾙ管（硼珪酸ｶﾞﾗｽ製）褐色　容量5ml　φ18.0×胴長40×全長90mm</t>
  </si>
  <si>
    <t>LC-6Aﾎﾟﾝﾌﾟ用　ﾁｪｯｸﾊﾞﾙﾌﾞ(OUT)ASSY</t>
  </si>
  <si>
    <t>ﾁｬｯｸ付ﾎﾟﾘ袋　ﾕﾆﾊﾟｯｸ　PE　A-4　50×70×0.04</t>
  </si>
  <si>
    <t>DP-ｽﾌﾟﾚｰM15μm</t>
  </si>
  <si>
    <t>低周波音</t>
  </si>
  <si>
    <t>ｱﾐﾝ分析ｶﾗﾑ　CP-Wax 51for amines</t>
  </si>
  <si>
    <t>ｽﾃﾝﾚｽﾛｰﾄ　型番240　口内径235mm　足長45mm　足外径上部φ30下部φ15</t>
  </si>
  <si>
    <t>2016/03/02</t>
  </si>
  <si>
    <t>J16-010002</t>
  </si>
  <si>
    <t>ものづくり支援技術部 試験二課</t>
  </si>
  <si>
    <t>アイシン・エーアイ株式会社</t>
  </si>
  <si>
    <t>ぶんせきほうほう００２</t>
  </si>
  <si>
    <t>試料種類２</t>
  </si>
  <si>
    <t>Ge（ｹﾞﾙﾏﾆｳﾑ）1000ppm[原子吸光分析用]</t>
  </si>
  <si>
    <t>ﾋﾟｱｰｽﾊﾞｲｱﾙ(高品質ﾎﾞﾛｼﾘｹｲﾄｶﾞﾗｽ製）CV-400　容量40ml</t>
  </si>
  <si>
    <t>LC-6A形　ｿﾌﾄﾊﾟｯｷﾝ</t>
  </si>
  <si>
    <t>ﾁｬｯｸ付ﾎﾟﾘ袋　ﾕﾆﾊﾟｯｸ　PE　B-4　85×60×0.04</t>
  </si>
  <si>
    <t>ﾀﾞｲﾔﾌﾟﾛ　9μ（ラルゴ・アレグロ用）</t>
  </si>
  <si>
    <t>周波数分析</t>
  </si>
  <si>
    <t>ｷｬﾋﾟﾗﾘｰｶﾗﾑ TC-FFAP 内径0.25mm 長さ30m 膜厚0.25μm</t>
  </si>
  <si>
    <t>ｼﾞｬｽﾄﾌｨｯﾀｰ No.1～4　対応口径φ14～40mm</t>
  </si>
  <si>
    <t>北川式検知管 ﾃﾄﾗｸﾛﾛｴﾁﾚﾝ 135SB</t>
  </si>
  <si>
    <t>SPC保存びん(目安目盛･ﾒｽｷｬｯﾌﾟ付）容量1000ml　ｷｬｯﾌﾟ:SPC-29</t>
  </si>
  <si>
    <t>GC/MS　定性</t>
  </si>
  <si>
    <t>硫酸水素ｶﾘｳﾑ[JIS特級　[K8972]]</t>
  </si>
  <si>
    <t>円筒ろ紙ﾎﾙﾀﾞｰ ｶﾞﾗｽ製 円筒ろ紙25φ×90mm用　見積№H27-3-11</t>
  </si>
  <si>
    <t>ﾌﾛｰｾﾙ　10mm　L-2420形UV-VIS検出器用</t>
  </si>
  <si>
    <t>JMS700D-GC用　金ﾒｯｷｼｰﾙ</t>
  </si>
  <si>
    <t>o-ｷｼﾚﾝ</t>
  </si>
  <si>
    <t>(作業環境)有機溶剤（第5号）　GC/MS　測定点1点につき</t>
  </si>
  <si>
    <t>臭気分析ｼｽﾃﾑ　濃縮管　N用</t>
  </si>
  <si>
    <t>ﾋﾟﾝｾｯﾄ　SUS304製　K-11　平型　130mm　見積№0136-002582-01</t>
  </si>
  <si>
    <t>ｴｽﾛﾝﾃｰﾌﾟ　白　19*10</t>
  </si>
  <si>
    <t>ﾆｯｹﾙｼｮｯﾄ　99.9%</t>
  </si>
  <si>
    <t>ｼﾏｼﾞﾝ（CAT）</t>
  </si>
  <si>
    <t>Smart Pack LG ﾗｯｸのみ　100～1000μℓ　見積№13-018499</t>
  </si>
  <si>
    <t>SiC研磨紙 φ305mm #800</t>
  </si>
  <si>
    <t>ﾊﾟｲﾌﾟﾛｯﾄ刃　強力ﾊﾟﾝﾁHD-122/124/122N用</t>
  </si>
  <si>
    <t>棚板塩ﾋﾞ製薬品庫　上段　強化塩ﾋﾞ製薬品庫用　見積№10-0003481</t>
  </si>
  <si>
    <t>ｱﾙﾐﾆｳﾑ</t>
  </si>
  <si>
    <t>七ﾓﾘﾌﾞﾃﾞﾝ酸六ｱﾝﾓﾆｳﾑ四水和物(粉末)[JIS特級　[K8905]]</t>
  </si>
  <si>
    <t>ｶﾞﾗｽ繊維ろ紙 GB-100R 47φ</t>
  </si>
  <si>
    <t>北川式検知管 ｷｼﾚﾝ 143SA</t>
  </si>
  <si>
    <t>ｶﾞﾗｽ ﾛｰﾄ並型 口径30mm 見積H26.1.29</t>
  </si>
  <si>
    <t>総発熱量</t>
  </si>
  <si>
    <t>ｲﾌﾟﾛｼﾞｵﾝ</t>
  </si>
  <si>
    <t>培地注入筒（ｱﾝﾌﾟﾙ培地注入専用針付）容量最大1ml</t>
  </si>
  <si>
    <t>SiC研磨紙 φ200mm #1000</t>
  </si>
  <si>
    <t>電源ﾀｯﾌﾟ4個口(3P･5m)抜止め　ﾏｸﾞﾈｯﾄ付　ｽｲﾝｸﾞﾌﾟﾗｸﾞ　絶縁ｷｬｯﾌﾟ付</t>
  </si>
  <si>
    <t>塩化ﾅﾄﾘｳﾑ[ﾌﾀﾙ酸ｴｽﾃﾙ試験用]</t>
  </si>
  <si>
    <t xml:space="preserve">50％硫酸 </t>
  </si>
  <si>
    <t>一酸化炭素標準ｶﾞｽ 5,000ppm /N2ﾊﾞﾗﾝｽ</t>
  </si>
  <si>
    <t>TEPRA PRO　ﾃｰﾌﾟｶｰﾄﾘｯｼﾞ　青ﾗﾍﾞﾙ(ﾊﾟｽﾃﾙ)　黒文字　8m巻　幅18mm</t>
  </si>
  <si>
    <t>FT/IR-550用ﾚｰｻﾞｰﾌﾞﾛｯｸ</t>
  </si>
  <si>
    <t>ﾒｺﾌﾟﾛｯﾌﾟ標準液　10mg/L in acetonitrile[残留農薬試験用]</t>
  </si>
  <si>
    <t>宇宙の種水(1本単位)</t>
  </si>
  <si>
    <t>木下式ｶﾞﾗｽﾎﾞｰﾙﾌｨﾙﾀｰ 502G 球径15mm 管径7mm 管長250mm</t>
  </si>
  <si>
    <t>EPSONﾌﾟﾘﾝﾀLP-1400,LP-S100用ﾄﾅｰｶｰﾄﾘｯｼﾞ　黒</t>
  </si>
  <si>
    <t>ｽｸｴｱﾄｰﾄ(ﾏﾁ付)　不織布　社名入り特注品　色:水色　100枚単位発注</t>
  </si>
  <si>
    <t>ﾜｸﾞﾆｯﾄ GU-Y（交換電極）：BOD測定用DOﾒ-ﾀ- B-103S用</t>
  </si>
  <si>
    <t>有機体窒素</t>
  </si>
  <si>
    <t>ﾕﾒｸﾘｰﾝ1200(ｴｱｿﾞｰﾙﾀｲﾌﾟ)</t>
  </si>
  <si>
    <t>検電･配線ﾁｪｯｶｰ　(ﾁｪｯｶｰ本体､送信器､ｸﾘｯﾌﾟ付電源ｺｰﾄﾞ)</t>
  </si>
  <si>
    <t>TEPRA PRO　ﾃｰﾌﾟｶｰﾄﾘｯｼﾞ　黄ﾗﾍﾞﾙ(ﾊﾟｽﾃﾙ)　黒文字　8m巻　幅9mm</t>
  </si>
  <si>
    <t>ﾌｪﾉｰﾙ標準液(2mL×5)</t>
  </si>
  <si>
    <t>点眼瓶　5mℓ　ｷｬｯﾌﾟ白色</t>
  </si>
  <si>
    <t>PPｻﾝﾌﾟﾗﾎﾞﾄﾙ 広口 1L　目盛付</t>
  </si>
  <si>
    <t>ICP-MSｸｵﾘﾃｨｰｺﾝﾄﾛｰﾙｻﾝﾌﾟﾙ1(9種)[水質試験用]</t>
  </si>
  <si>
    <t>ﾀﾞｲｵｷｼﾝｻﾝﾌﾟﾗ-Ⅱ型ｲﾝﾋﾟﾝｼﾞｬ-1000mL</t>
  </si>
  <si>
    <t>広口ｽｸﾘｭｰﾄｯﾌﾟｶﾞﾗｽ製ﾊﾞｲｱﾙ　2mℓ　茶色　ﾗﾍﾞﾙ付　5182-0716　100個入</t>
  </si>
  <si>
    <t>業務・作業委託</t>
  </si>
  <si>
    <t>ﾀﾞﾌﾆｰ　ﾒｶﾆｯｸｵｲﾙ　#150　4L</t>
  </si>
  <si>
    <t>PROXXONﾐﾆﾙｰﾀｰ用ｺﾚｯﾄﾁｬｯｸφ2.35mm</t>
  </si>
  <si>
    <t>酢酸ﾌﾞﾁﾙ (酢酸n-ﾌﾞﾁﾙ)[JIS特級　[K8377]]</t>
  </si>
  <si>
    <t>Ni Skimmer Cone 0.5 Insert-Version</t>
  </si>
  <si>
    <t>t-ﾌﾞﾁﾙﾒﾙｶﾌﾟﾀﾝ（2-ﾒﾁﾙ-2ﾌﾟﾛﾊﾟﾝﾁｵｰﾙ）2,000μg/ml</t>
  </si>
  <si>
    <t>ｱﾜｸﾘｰﾝ1030</t>
  </si>
  <si>
    <t>2016/03/03</t>
  </si>
  <si>
    <t>J16-010003</t>
  </si>
  <si>
    <t>ものづくり支援技術部 技術管理課</t>
  </si>
  <si>
    <t>アイシン機工株式会社</t>
  </si>
  <si>
    <t>分析方法００３</t>
  </si>
  <si>
    <t>試料種類３</t>
  </si>
  <si>
    <t>JMS700Dｲﾝﾀｰﾌｪｰｽ用　Oリング　JISB 2401 P204D</t>
  </si>
  <si>
    <t>1,2-ｼﾞｸﾛﾛｴﾁﾚﾝ</t>
  </si>
  <si>
    <t>XRF用　PROLENE FILM ﾛｰﾙ形　76mm×91.4m</t>
  </si>
  <si>
    <t>ﾀﾞｲﾔﾓﾝﾄﾞｶｯﾀｰ</t>
  </si>
  <si>
    <t>酢酸ﾒﾁﾙ[JIS特級　[K8382]]</t>
  </si>
  <si>
    <t>0.25mm i.d.(green)1/4-28fitting,FAST valve-&gt;Tee-&gt;</t>
  </si>
  <si>
    <t>ﾌｪﾉｶﾙﾌﾞ標準品[残留農薬試験用]</t>
  </si>
  <si>
    <t>ｱﾛﾝｸﾘﾝ</t>
  </si>
  <si>
    <t>TEL</t>
    <phoneticPr fontId="2"/>
  </si>
  <si>
    <t>FAX</t>
    <phoneticPr fontId="2"/>
  </si>
  <si>
    <t>E-MAIL</t>
    <phoneticPr fontId="2"/>
  </si>
  <si>
    <t>SELECT W_BUN_REPORT_BAT.SELECT_FLG
      ,W_BUN_REPORT_BAT.W_ROW
      ,W_BUN_REPORT_BAT.BUNSEKI_STS_MEI
      ,W_BUN_REPORT_BAT.JUCHU_KBN_MEI
      ,W_BUN_REPORT_BAT.JURI_NO
      ,W_BUN_REPORT_BAT.KEISHIKI_KBN_MEI
      ,W_BUN_REPORT_BAT.EIGYO_TANTO_MEI
      ,W_BUN_REPORT_BAT.NYURYOKUSHA_MEI
      ,W_BUN_REPORT_BAT.KENMEI
      ,W_BUN_REPORT_BAT.IRAI_DATE
      ,W_BUN_REPORT_BAT.CHUKAN_DATE_1
      ,W_BUN_REPORT_BAT.CHUKAN_DATE_2
      ,W_BUN_REPORT_BAT.CHUKAN_DATE_3
      ,W_BUN_REPORT_BAT.KANSEI_DATE
      ,W_BUN_REPORT_BAT.NOHIN_DATE
      ,W_BUN_REPORT_BAT.ATENA_CD
      ,W_BUN_REPORT_BAT.ATENA
      ,W_BUN_REPORT_BAT.SEIKYU_CD
      ,W_BUN_REPORT_BAT.SEIKYU_MEI
      ,W_BUN_REPORT_BAT.MITSU_NO
      ,W_BUN_REPORT_BAT.NYURYOKU_DATETIME
      ,W_BUN_REPORT_BAT.BUNSEKI_STS
      ,W_BUN_REPORT_BAT.JUCHU_KBN
      ,W_BUN_REPORT_BAT.KEISHIKI_KBN
      ,W_BUN_REPORT_BAT.EIGYO_TANTO_CD
      ,W_BUN_REPORT_BAT.NYURYOKUSHA_CD
      ,W_BUN_REPORT_BAT.FREEWD
  FROM W_BUN_REPORT_BAT
WHERE (1 = 1)</t>
    <phoneticPr fontId="2"/>
  </si>
  <si>
    <t>SELECT W_BUN_REPORT_BAT.W_USER_ID
      ,W_BUN_REPORT_BAT.W_SERIAL
      ,W_BUN_REPORT_BAT.W_ROW
      ,W_BUN_REPORT_BAT.W_MODE
      ,W_BUN_REPORT_BAT.SELECT_FLG
      ,W_BUN_REPORT_BAT.BUNSEKI_STS_MEI
      ,W_BUN_REPORT_BAT.JUCHU_KBN_MEI
      ,W_BUN_REPORT_BAT.JURI_NO
      ,W_BUN_REPORT_BAT.KEISHIKI_KBN_MEI
      ,W_BUN_REPORT_BAT.EIGYO_TANTO_MEI
      ,W_BUN_REPORT_BAT.NYURYOKUSHA_MEI
      ,W_BUN_REPORT_BAT.KENMEI
      ,W_BUN_REPORT_BAT.IRAI_DATE
      ,W_BUN_REPORT_BAT.CHUKAN_DATE_1
      ,W_BUN_REPORT_BAT.CHUKAN_DATE_2
      ,W_BUN_REPORT_BAT.CHUKAN_DATE_3
      ,W_BUN_REPORT_BAT.KANSEI_DATE
      ,W_BUN_REPORT_BAT.NOHIN_DATE
      ,W_BUN_REPORT_BAT.ATENA_CD
      ,W_BUN_REPORT_BAT.ATENA
      ,W_BUN_REPORT_BAT.SEIKYU_CD
      ,W_BUN_REPORT_BAT.SEIKYU_MEI
      ,W_BUN_REPORT_BAT.MITSU_NO
      ,W_BUN_REPORT_BAT.NYURYOKU_DATETIME
      ,W_BUN_REPORT_BAT.BUNSEKI_STS
      ,W_BUN_REPORT_BAT.JUCHU_KBN
      ,W_BUN_REPORT_BAT.KEISHIKI_KBN
      ,W_BUN_REPORT_BAT.EIGYO_TANTO_CD
      ,W_BUN_REPORT_BAT.NYURYOKUSHA_CD
      ,W_BUN_REPORT_BAT.FREEWD
      ,W_BUN_REPORT_BAT.DBS_STATUS
      ,W_BUN_REPORT_BAT.DBS_CREATE_USER
      ,W_BUN_REPORT_BAT.DBS_CREATE_DATE
      ,W_BUN_REPORT_BAT.DBS_UPDATE_USER
      ,W_BUN_REPORT_BAT.DBS_UPDATE_DATE
  FROM W_BUN_REPORT_BAT
WHERE (1 = 1)</t>
    <phoneticPr fontId="2"/>
  </si>
  <si>
    <t>SELECT W_BUN_LABEL_BAT.SELECT_FLG
      ,W_BUN_LABEL_BAT.W_ROW
      ,W_BUN_LABEL_BAT.BUNSEKI_STS_MEI
      ,W_BUN_LABEL_BAT.JUCHU_KBN_MEI
      ,W_BUN_LABEL_BAT.JURI_NO
      ,W_BUN_LABEL_BAT.JURI_EDA_NO
      ,W_BUN_LABEL_BAT.KEISHIKI_KBN_MEI
      ,W_BUN_LABEL_BAT.EIGYO_TANTO_MEI
      ,W_BUN_LABEL_BAT.NYURYOKUSHA_MEI
      ,W_BUN_LABEL_BAT.IRAI_DATE
      ,W_BUN_LABEL_BAT.CHUKAN_DATE_1
      ,W_BUN_LABEL_BAT.CHUKAN_DATE_2
      ,W_BUN_LABEL_BAT.CHUKAN_DATE_3
      ,W_BUN_LABEL_BAT.KANSEI_DATE
      ,W_BUN_LABEL_BAT.NOHIN_DATE
      ,W_BUN_LABEL_BAT.ATENA_CD
      ,W_BUN_LABEL_BAT.ATENA
      ,W_BUN_LABEL_BAT.SEIKYU_CD
      ,W_BUN_LABEL_BAT.SEIKYU_MEI
      ,W_BUN_LABEL_BAT.MITSU_NO
      ,W_BUN_LABEL_BAT.SHIRYO_SHURUI
      ,W_BUN_LABEL_BAT.SHIRYO_MEI
      ,W_BUN_LABEL_BAT.NYURYOKU_DATETIME
      ,W_BUN_LABEL_BAT.BUNSEKI_STS
      ,W_BUN_LABEL_BAT.JUCHU_KBN
      ,W_BUN_LABEL_BAT.KEISHIKI_KBN
      ,W_BUN_LABEL_BAT.EIGYO_TANTO_CD
      ,W_BUN_LABEL_BAT.NYURYOKUSHA_CD
      ,W_BUN_LABEL_BAT.FREEWD
  FROM W_BUN_LABEL_BAT
WHERE (1 = 1)</t>
    <phoneticPr fontId="2"/>
  </si>
  <si>
    <t xml:space="preserve">SELECT W_BUN_LABEL_BAT.W_USER_ID
      ,W_BUN_LABEL_BAT.W_SERIAL
      ,W_BUN_LABEL_BAT.W_ROW
      ,W_BUN_LABEL_BAT.W_MODE
      ,W_BUN_LABEL_BAT.SELECT_FLG
      ,W_BUN_LABEL_BAT.BUNSEKI_STS_MEI
      ,W_BUN_LABEL_BAT.JUCHU_KBN_MEI
      ,W_BUN_LABEL_BAT.JURI_NO
      ,W_BUN_LABEL_BAT.JURI_EDA_NO
      ,W_BUN_LABEL_BAT.KEISHIKI_KBN_MEI
      ,W_BUN_LABEL_BAT.EIGYO_TANTO_MEI
      ,W_BUN_LABEL_BAT.NYURYOKUSHA_MEI
      ,W_BUN_LABEL_BAT.IRAI_DATE
      ,W_BUN_LABEL_BAT.CHUKAN_DATE_1
      ,W_BUN_LABEL_BAT.CHUKAN_DATE_2
      ,W_BUN_LABEL_BAT.CHUKAN_DATE_3
      ,W_BUN_LABEL_BAT.KANSEI_DATE
      ,W_BUN_LABEL_BAT.NOHIN_DATE
      ,W_BUN_LABEL_BAT.ATENA_CD
      ,W_BUN_LABEL_BAT.ATENA
      ,W_BUN_LABEL_BAT.SEIKYU_CD
      ,W_BUN_LABEL_BAT.SEIKYU_MEI
      ,W_BUN_LABEL_BAT.MITSU_NO
      ,W_BUN_LABEL_BAT.SHIRYO_SHURUI
      ,W_BUN_LABEL_BAT.SHIRYO_MEI
      ,W_BUN_LABEL_BAT.NYURYOKU_DATETIME
      ,W_BUN_LABEL_BAT.BUNSEKI_STS
      ,W_BUN_LABEL_BAT.JUCHU_KBN
      ,W_BUN_LABEL_BAT.KEISHIKI_KBN
      ,W_BUN_LABEL_BAT.EIGYO_TANTO_CD
      ,W_BUN_LABEL_BAT.NYURYOKUSHA_CD
      ,W_BUN_LABEL_BAT.FREEWD
      ,W_BUN_LABEL_BAT.DBS_STATUS
      ,W_BUN_LABEL_BAT.DBS_CREATE_USER
      ,W_BUN_LABEL_BAT.DBS_CREATE_DATE
      ,W_BUN_LABEL_BAT.DBS_UPDATE_USER
      ,W_BUN_LABEL_BAT.DBS_UPDATE_DATE
  FROM W_BUN_LABEL_BAT
WHERE (1 = 1)
</t>
    <phoneticPr fontId="2"/>
  </si>
  <si>
    <t xml:space="preserve">SELECT DISTINCT
       T_BUN_JUCHU_B.SHIRYO_SHURUI      AS 試料種類
  FROM T_BUN_JUCHU_B
 WHERE T_BUN_JUCHU_B.SHIRYO_SHURUI &lt;&gt; ''
   AND T_BUN_JUCHU_B.DEL_FLG = 'False'
</t>
    <phoneticPr fontId="2"/>
  </si>
  <si>
    <t>正常:1 / エラー:2</t>
    <rPh sb="0" eb="2">
      <t>セイジョウ</t>
    </rPh>
    <phoneticPr fontId="2"/>
  </si>
  <si>
    <t>正常:1 / エラー:2</t>
    <phoneticPr fontId="2"/>
  </si>
  <si>
    <t>UNJC1030_IF_W_MODE</t>
    <phoneticPr fontId="2"/>
  </si>
  <si>
    <t>UNJC0030_LABEL_IF_COPY_MOTO_GYO</t>
    <phoneticPr fontId="2"/>
  </si>
  <si>
    <t>印刷範囲</t>
    <rPh sb="0" eb="2">
      <t>インサツ</t>
    </rPh>
    <rPh sb="2" eb="4">
      <t>ハンイ</t>
    </rPh>
    <phoneticPr fontId="2"/>
  </si>
  <si>
    <t>UNJC0030_REPORT_PRINT_AREA</t>
    <phoneticPr fontId="2"/>
  </si>
  <si>
    <t>UNJC0030_LABEL_IF_PRINT_AREA</t>
    <phoneticPr fontId="2"/>
  </si>
  <si>
    <t>【ステータス変更用】</t>
    <rPh sb="6" eb="9">
      <t>ヘンコウヨウ</t>
    </rPh>
    <phoneticPr fontId="2"/>
  </si>
  <si>
    <t>ユーザーID</t>
    <phoneticPr fontId="2"/>
  </si>
  <si>
    <t>SELECT M_MEISHO_B.DATA_2   AS ORDER句
   FROM M_MEISHO_B
 WHERE M_MEISHO_B.MEISHO_KBN = 'O301'
   AND M_MEISHO_B.MEISHO_CD='2'</t>
    <rPh sb="35" eb="36">
      <t>ク</t>
    </rPh>
    <phoneticPr fontId="2"/>
  </si>
  <si>
    <t>UNJC0020_IF_USER_ID</t>
    <phoneticPr fontId="2"/>
  </si>
  <si>
    <t>ステータス変更位置</t>
    <rPh sb="5" eb="7">
      <t>ヘンコウ</t>
    </rPh>
    <rPh sb="7" eb="9">
      <t>イチ</t>
    </rPh>
    <phoneticPr fontId="2"/>
  </si>
  <si>
    <t>UNJC0020_B_SELECT_STS</t>
    <phoneticPr fontId="2"/>
  </si>
  <si>
    <t>■ポップアップ</t>
    <phoneticPr fontId="2"/>
  </si>
  <si>
    <t>UNJC0020_SQL_STS_SEARCH</t>
    <phoneticPr fontId="2"/>
  </si>
  <si>
    <t>変更後ステータスCD</t>
    <rPh sb="0" eb="2">
      <t>ヘンコウ</t>
    </rPh>
    <rPh sb="2" eb="3">
      <t>ゴ</t>
    </rPh>
    <phoneticPr fontId="2"/>
  </si>
  <si>
    <t>UNJC0020_IF_SET_STS_CD</t>
    <phoneticPr fontId="2"/>
  </si>
  <si>
    <t>技術確認</t>
    <rPh sb="0" eb="2">
      <t>ギジュツ</t>
    </rPh>
    <rPh sb="2" eb="4">
      <t>カクニン</t>
    </rPh>
    <phoneticPr fontId="2"/>
  </si>
  <si>
    <t>技術確認</t>
    <phoneticPr fontId="2"/>
  </si>
  <si>
    <t>受付確認未</t>
    <rPh sb="0" eb="2">
      <t>ウケツケ</t>
    </rPh>
    <rPh sb="2" eb="4">
      <t>カクニン</t>
    </rPh>
    <rPh sb="4" eb="5">
      <t>ミ</t>
    </rPh>
    <phoneticPr fontId="2"/>
  </si>
  <si>
    <t>印刷プリンタ</t>
    <rPh sb="0" eb="2">
      <t>インサツ</t>
    </rPh>
    <phoneticPr fontId="2"/>
  </si>
  <si>
    <t>UNJC0030_LABEL_IF_PRINTER</t>
    <phoneticPr fontId="2"/>
  </si>
  <si>
    <t>SATO ﾚｽﾌﾟﾘT8-R8&lt;&lt;SATO_LAN_192.168.1.170_192.168.1.170&gt;&gt;</t>
    <phoneticPr fontId="2"/>
  </si>
  <si>
    <t>行挿入後セル位置</t>
    <rPh sb="0" eb="1">
      <t>ギョウ</t>
    </rPh>
    <rPh sb="1" eb="3">
      <t>ソウニュウ</t>
    </rPh>
    <rPh sb="3" eb="4">
      <t>ゴ</t>
    </rPh>
    <rPh sb="6" eb="8">
      <t>イチ</t>
    </rPh>
    <phoneticPr fontId="2"/>
  </si>
  <si>
    <t>UNJC1030_B_LIST_INSERT_SELECT_CELL</t>
    <phoneticPr fontId="2"/>
  </si>
  <si>
    <t>行挿入後セル位置</t>
    <rPh sb="0" eb="1">
      <t>ギョウ</t>
    </rPh>
    <rPh sb="1" eb="3">
      <t>ソウニュウ</t>
    </rPh>
    <rPh sb="3" eb="4">
      <t>ゴ</t>
    </rPh>
    <rPh sb="6" eb="8">
      <t>イチ</t>
    </rPh>
    <phoneticPr fontId="2"/>
  </si>
  <si>
    <t>UNJC0030_B_GYO_INSERT_SELECT_CELL</t>
    <phoneticPr fontId="2"/>
  </si>
  <si>
    <t xml:space="preserve">SELECT M_MEISHO_B.MEISHO_CD             AS ステータスCD
      ,M_MEISHO_B.DATA_1                AS ステータス名
      ,M_SHAIN.SHIMEI                   AS 更新者名
      ,MAX_BUN_STS_R.MOD_DATE_TIME      AS 更新日時
  FROM M_MEISHO_B
</t>
    <phoneticPr fontId="2"/>
  </si>
  <si>
    <t xml:space="preserve">  WHERE M_MEISHO_B.MEISHO_KBN = 'S003'
  ORDER BY
        M_MEISHO_B.SORT_NO ASC
       ,CAST(M_MEISHO_B.MEISHO_CD AS INT) ASC
</t>
    <phoneticPr fontId="2"/>
  </si>
  <si>
    <t>WHERE/ORDER BY</t>
    <phoneticPr fontId="2"/>
  </si>
  <si>
    <t>項目別サンプルリスト入力</t>
    <rPh sb="0" eb="2">
      <t>コウモク</t>
    </rPh>
    <rPh sb="2" eb="3">
      <t>ベツ</t>
    </rPh>
    <rPh sb="10" eb="12">
      <t>ニュウリョク</t>
    </rPh>
    <phoneticPr fontId="2"/>
  </si>
  <si>
    <t>保存値セルのセル名</t>
    <rPh sb="0" eb="2">
      <t>ホゾン</t>
    </rPh>
    <rPh sb="2" eb="3">
      <t>チ</t>
    </rPh>
    <rPh sb="8" eb="9">
      <t>メイ</t>
    </rPh>
    <phoneticPr fontId="2"/>
  </si>
  <si>
    <t>商品分類区分▼</t>
    <rPh sb="0" eb="4">
      <t>ショウヒンブンルイ</t>
    </rPh>
    <rPh sb="4" eb="6">
      <t>クブン</t>
    </rPh>
    <phoneticPr fontId="2"/>
  </si>
  <si>
    <t>商品分類区分</t>
    <phoneticPr fontId="2"/>
  </si>
  <si>
    <t>UNJC0190_H_SYOUHIN_BUNRUI_CD_S</t>
    <phoneticPr fontId="2"/>
  </si>
  <si>
    <t>商品分類区分名</t>
    <phoneticPr fontId="2"/>
  </si>
  <si>
    <t>UNJC0190_H_SYOUHIN_BUNRUI_MEI_S</t>
    <phoneticPr fontId="2"/>
  </si>
  <si>
    <t>UNJC0190_H_BUNSEKI_KOMOKU_CD_S</t>
    <phoneticPr fontId="2"/>
  </si>
  <si>
    <t>UNJC0190_H_BUNSEKI_KOMOKU_MEI_S</t>
    <phoneticPr fontId="2"/>
  </si>
  <si>
    <t>状態▼</t>
    <rPh sb="0" eb="2">
      <t>ジョウタイ</t>
    </rPh>
    <phoneticPr fontId="2"/>
  </si>
  <si>
    <t>UNJC0190_H_JURI_NO_S</t>
    <phoneticPr fontId="2"/>
  </si>
  <si>
    <t>UNJC0190_H_EDA_S</t>
    <phoneticPr fontId="2"/>
  </si>
  <si>
    <t>UNJC0190_H_BUSHO_CD_S</t>
    <phoneticPr fontId="2"/>
  </si>
  <si>
    <t>担当部署名</t>
    <rPh sb="0" eb="2">
      <t>タントウ</t>
    </rPh>
    <rPh sb="2" eb="4">
      <t>ブショ</t>
    </rPh>
    <phoneticPr fontId="2"/>
  </si>
  <si>
    <t>UNJC0190_H_BUSHO_MEI_S</t>
    <phoneticPr fontId="2"/>
  </si>
  <si>
    <t>測定者名▼</t>
    <rPh sb="0" eb="2">
      <t>ソクテイ</t>
    </rPh>
    <rPh sb="2" eb="3">
      <t>シャ</t>
    </rPh>
    <rPh sb="3" eb="4">
      <t>メイ</t>
    </rPh>
    <phoneticPr fontId="2"/>
  </si>
  <si>
    <t>UNJC0190_H_BUNSEKI_HOHO_S</t>
    <phoneticPr fontId="2"/>
  </si>
  <si>
    <t>UNJC0190_H_SIRYO_SHURUI_S</t>
    <phoneticPr fontId="2"/>
  </si>
  <si>
    <t>UNJC0190_H_NYURYOKU_DATE_START_S</t>
    <phoneticPr fontId="2"/>
  </si>
  <si>
    <t>入力日・エンド</t>
    <phoneticPr fontId="2"/>
  </si>
  <si>
    <t>UNJC0190_H_NYURYOKU_DATE_END_S</t>
    <phoneticPr fontId="2"/>
  </si>
  <si>
    <t>UNJC0190_H_IRAI_DATE_START_S</t>
    <phoneticPr fontId="2"/>
  </si>
  <si>
    <t>AND</t>
    <phoneticPr fontId="2"/>
  </si>
  <si>
    <t>依頼日/受付日・エンド</t>
    <phoneticPr fontId="2"/>
  </si>
  <si>
    <t>UNJC0190_H_IRAI_DATE_END_S</t>
    <phoneticPr fontId="2"/>
  </si>
  <si>
    <t>分析完了日・スタート</t>
    <rPh sb="0" eb="2">
      <t>ブンセキ</t>
    </rPh>
    <rPh sb="2" eb="4">
      <t>カンリョウ</t>
    </rPh>
    <phoneticPr fontId="2"/>
  </si>
  <si>
    <t>UNJC0190_H_KANRYO_DATE_START_S</t>
    <phoneticPr fontId="2"/>
  </si>
  <si>
    <t>UNJC0190_H_KANRYO_DATE_END_S</t>
    <phoneticPr fontId="2"/>
  </si>
  <si>
    <t>UNJC0190_H_JOTAI_S</t>
    <phoneticPr fontId="2"/>
  </si>
  <si>
    <t>UNJC0190_H_SIRYO_MEI_S</t>
    <phoneticPr fontId="2"/>
  </si>
  <si>
    <t>測定者CD</t>
    <rPh sb="0" eb="2">
      <t>ソクテイ</t>
    </rPh>
    <rPh sb="2" eb="3">
      <t>シャ</t>
    </rPh>
    <phoneticPr fontId="2"/>
  </si>
  <si>
    <t>UNJC0190_H_SOKUTEI_SHA_CD_S</t>
    <phoneticPr fontId="2"/>
  </si>
  <si>
    <t>測定者名</t>
    <rPh sb="0" eb="2">
      <t>ソクテイ</t>
    </rPh>
    <rPh sb="2" eb="3">
      <t>シャ</t>
    </rPh>
    <phoneticPr fontId="2"/>
  </si>
  <si>
    <t>UNJC0190_H_SOKUTEI_SHA_MEI_S</t>
    <phoneticPr fontId="2"/>
  </si>
  <si>
    <t>測定日・スタート</t>
    <rPh sb="0" eb="2">
      <t>ソクテイ</t>
    </rPh>
    <phoneticPr fontId="2"/>
  </si>
  <si>
    <t>UNJC0190_H_SOKUTEI_DATE_START_S</t>
    <phoneticPr fontId="2"/>
  </si>
  <si>
    <t>測定日・エンド</t>
    <phoneticPr fontId="2"/>
  </si>
  <si>
    <t>UNJC0190_H_SOKUTEI_DATE_END_S</t>
    <phoneticPr fontId="2"/>
  </si>
  <si>
    <t>UNJC0190_H_ATENA_CD_S</t>
    <phoneticPr fontId="2"/>
  </si>
  <si>
    <t>UNJC0190_H_ATENA_S</t>
    <phoneticPr fontId="2"/>
  </si>
  <si>
    <t>フリーワード１</t>
    <phoneticPr fontId="2"/>
  </si>
  <si>
    <t>UNJC0190_H_FREEWD_1_S</t>
    <phoneticPr fontId="2"/>
  </si>
  <si>
    <t>UNJC0190_H_FREEWD_2_S</t>
    <phoneticPr fontId="2"/>
  </si>
  <si>
    <t>UNJC0190_H_FREEWD_3_S</t>
    <phoneticPr fontId="2"/>
  </si>
  <si>
    <t>項目名</t>
    <phoneticPr fontId="2"/>
  </si>
  <si>
    <t>設定値</t>
    <phoneticPr fontId="2"/>
  </si>
  <si>
    <t>非表示列指定</t>
    <phoneticPr fontId="2"/>
  </si>
  <si>
    <t>UNJC0190_H_HIDE_COLUMN</t>
    <phoneticPr fontId="2"/>
  </si>
  <si>
    <t>入力チェック</t>
    <rPh sb="0" eb="2">
      <t>ニュウリョク</t>
    </rPh>
    <phoneticPr fontId="2"/>
  </si>
  <si>
    <t>UNJC0190_H_INPUT_CHECK</t>
    <phoneticPr fontId="2"/>
  </si>
  <si>
    <t>↑0：必須入力エラー、1:必須入力OK</t>
    <phoneticPr fontId="2"/>
  </si>
  <si>
    <t>項目名</t>
    <phoneticPr fontId="2"/>
  </si>
  <si>
    <t>設定値</t>
    <phoneticPr fontId="2"/>
  </si>
  <si>
    <t>セル名</t>
    <phoneticPr fontId="2"/>
  </si>
  <si>
    <t>非表示列指定</t>
    <phoneticPr fontId="2"/>
  </si>
  <si>
    <t>UNJC0190_B_HIDE_COLUMN</t>
    <phoneticPr fontId="2"/>
  </si>
  <si>
    <t>非表示行指定</t>
    <phoneticPr fontId="2"/>
  </si>
  <si>
    <t>UNJC0190_B_HIDE_ROW</t>
    <phoneticPr fontId="2"/>
  </si>
  <si>
    <t>商品分類区分：</t>
    <rPh sb="0" eb="4">
      <t>ショウヒンブンルイ</t>
    </rPh>
    <rPh sb="4" eb="6">
      <t>クブン</t>
    </rPh>
    <phoneticPr fontId="2"/>
  </si>
  <si>
    <t>受理No.件数：</t>
    <rPh sb="0" eb="2">
      <t>ジュリ</t>
    </rPh>
    <rPh sb="5" eb="7">
      <t>ケンスウ</t>
    </rPh>
    <phoneticPr fontId="2"/>
  </si>
  <si>
    <t>試料件数：</t>
    <rPh sb="0" eb="2">
      <t>シリョウ</t>
    </rPh>
    <rPh sb="2" eb="4">
      <t>ケンスウ</t>
    </rPh>
    <phoneticPr fontId="2"/>
  </si>
  <si>
    <t>非表示列指定開始</t>
  </si>
  <si>
    <t>UNJC0190_B_HIDE_COLUMN_START</t>
    <phoneticPr fontId="2"/>
  </si>
  <si>
    <t>非表示列指定終了</t>
    <phoneticPr fontId="2"/>
  </si>
  <si>
    <t>UNJC0190_B_HIDE_COLUMN_END</t>
    <phoneticPr fontId="2"/>
  </si>
  <si>
    <t>隠</t>
    <rPh sb="0" eb="1">
      <t>カク</t>
    </rPh>
    <phoneticPr fontId="2"/>
  </si>
  <si>
    <t>隠</t>
    <phoneticPr fontId="2"/>
  </si>
  <si>
    <t>枝番
行</t>
    <rPh sb="0" eb="2">
      <t>エダバン</t>
    </rPh>
    <rPh sb="3" eb="4">
      <t>ギョウ</t>
    </rPh>
    <phoneticPr fontId="2"/>
  </si>
  <si>
    <t>担当部署名</t>
    <rPh sb="0" eb="2">
      <t>タントウ</t>
    </rPh>
    <rPh sb="2" eb="4">
      <t>ブショ</t>
    </rPh>
    <rPh sb="4" eb="5">
      <t>メイ</t>
    </rPh>
    <phoneticPr fontId="2"/>
  </si>
  <si>
    <t>データ</t>
    <phoneticPr fontId="2"/>
  </si>
  <si>
    <t>状態(区分)</t>
    <rPh sb="0" eb="2">
      <t>ジョウタイ</t>
    </rPh>
    <rPh sb="3" eb="5">
      <t>クブン</t>
    </rPh>
    <phoneticPr fontId="2"/>
  </si>
  <si>
    <t>非表示列指定２</t>
    <phoneticPr fontId="2"/>
  </si>
  <si>
    <t>UNJC0190_B_HIDE_COLUMN_2</t>
    <phoneticPr fontId="2"/>
  </si>
  <si>
    <t>非表示列指定３開始</t>
    <rPh sb="7" eb="9">
      <t>カイシ</t>
    </rPh>
    <phoneticPr fontId="2"/>
  </si>
  <si>
    <t>UNJC0190_B_HIDE_COLUMN_3_START</t>
    <phoneticPr fontId="2"/>
  </si>
  <si>
    <t>非表示列指定３終了</t>
    <rPh sb="7" eb="9">
      <t>シュウリョウ</t>
    </rPh>
    <phoneticPr fontId="2"/>
  </si>
  <si>
    <t>UNJC0190_B_HIDE_COLUMN_3_END</t>
    <phoneticPr fontId="2"/>
  </si>
  <si>
    <t>行クリア用選択シート</t>
    <rPh sb="0" eb="1">
      <t>ギョウ</t>
    </rPh>
    <rPh sb="4" eb="5">
      <t>ヨウ</t>
    </rPh>
    <rPh sb="5" eb="7">
      <t>センタク</t>
    </rPh>
    <phoneticPr fontId="2"/>
  </si>
  <si>
    <t>UNJC0190_B_ROWCLEAR_SHEETNAME</t>
    <phoneticPr fontId="2"/>
  </si>
  <si>
    <t>行クリア用選択行</t>
    <rPh sb="0" eb="1">
      <t>ギョウ</t>
    </rPh>
    <rPh sb="4" eb="5">
      <t>ヨウ</t>
    </rPh>
    <rPh sb="5" eb="7">
      <t>センタク</t>
    </rPh>
    <rPh sb="7" eb="8">
      <t>ギョウ</t>
    </rPh>
    <phoneticPr fontId="2"/>
  </si>
  <si>
    <t>UNJC0190_B_ROWCLEAR</t>
    <phoneticPr fontId="2"/>
  </si>
  <si>
    <t>ウィンドウ固定位置</t>
  </si>
  <si>
    <t>UNJC0190_B_SCROLL_LOCK</t>
    <phoneticPr fontId="2"/>
  </si>
  <si>
    <t>測定日展開位置</t>
    <rPh sb="0" eb="2">
      <t>ソクテイ</t>
    </rPh>
    <rPh sb="2" eb="3">
      <t>ビ</t>
    </rPh>
    <rPh sb="3" eb="5">
      <t>テンカイ</t>
    </rPh>
    <rPh sb="5" eb="7">
      <t>イチ</t>
    </rPh>
    <phoneticPr fontId="2"/>
  </si>
  <si>
    <t>UNJC0190_B_SOKUTEI_DATE</t>
    <phoneticPr fontId="2"/>
  </si>
  <si>
    <t>測定者CD展開位置</t>
    <rPh sb="0" eb="2">
      <t>ソクテイ</t>
    </rPh>
    <rPh sb="2" eb="3">
      <t>シャ</t>
    </rPh>
    <rPh sb="5" eb="7">
      <t>テンカイ</t>
    </rPh>
    <rPh sb="7" eb="9">
      <t>イチ</t>
    </rPh>
    <phoneticPr fontId="2"/>
  </si>
  <si>
    <t>UNJC0190_B_SOKUTEISHA_CD</t>
    <phoneticPr fontId="2"/>
  </si>
  <si>
    <t>測定者名展開位置</t>
    <rPh sb="0" eb="2">
      <t>ソクテイ</t>
    </rPh>
    <rPh sb="2" eb="3">
      <t>シャ</t>
    </rPh>
    <rPh sb="3" eb="4">
      <t>メイ</t>
    </rPh>
    <rPh sb="4" eb="6">
      <t>テンカイ</t>
    </rPh>
    <rPh sb="6" eb="8">
      <t>イチ</t>
    </rPh>
    <phoneticPr fontId="2"/>
  </si>
  <si>
    <t>UNJC0190_B_SOKUTEISHA_MEI</t>
    <phoneticPr fontId="2"/>
  </si>
  <si>
    <t>項目別サンプル値マスタ（データは印刷と共通）</t>
    <rPh sb="0" eb="3">
      <t>コウモクベツ</t>
    </rPh>
    <rPh sb="7" eb="8">
      <t>チ</t>
    </rPh>
    <rPh sb="16" eb="18">
      <t>インサツ</t>
    </rPh>
    <rPh sb="19" eb="21">
      <t>キョウツウ</t>
    </rPh>
    <phoneticPr fontId="2"/>
  </si>
  <si>
    <t>NYURYOKU_DATETIME</t>
  </si>
  <si>
    <t>BUNSEKI_HOHO</t>
    <phoneticPr fontId="2"/>
  </si>
  <si>
    <t>M_BIKO</t>
    <phoneticPr fontId="2"/>
  </si>
  <si>
    <t>BUNSEKI_TANI</t>
  </si>
  <si>
    <t>BUNSEKI_DATA</t>
  </si>
  <si>
    <t>BUNSEKI_NO</t>
  </si>
  <si>
    <t>STATE_KBN</t>
    <phoneticPr fontId="2"/>
  </si>
  <si>
    <t>SOKUTEISHA_CD</t>
    <phoneticPr fontId="2"/>
  </si>
  <si>
    <t>ON:1 OFF:1以外
UNJC0190_IF_DATA_SEARCH_FLG</t>
    <phoneticPr fontId="2"/>
  </si>
  <si>
    <t>レイアウトスタート</t>
    <phoneticPr fontId="2"/>
  </si>
  <si>
    <t>ループ部分開始</t>
    <rPh sb="3" eb="5">
      <t>ブブン</t>
    </rPh>
    <rPh sb="5" eb="7">
      <t>カイシ</t>
    </rPh>
    <phoneticPr fontId="2"/>
  </si>
  <si>
    <t>処理モード</t>
    <rPh sb="0" eb="2">
      <t>ショリ</t>
    </rPh>
    <phoneticPr fontId="1"/>
  </si>
  <si>
    <t>修正:2 参照:0
UNJC0190_IF_MODE</t>
    <rPh sb="0" eb="2">
      <t>シュウセイ</t>
    </rPh>
    <rPh sb="5" eb="7">
      <t>サンショウ</t>
    </rPh>
    <phoneticPr fontId="2"/>
  </si>
  <si>
    <t>項番</t>
  </si>
  <si>
    <t>名称</t>
  </si>
  <si>
    <t>入力方法</t>
  </si>
  <si>
    <t>列の型</t>
  </si>
  <si>
    <t>全桁数</t>
  </si>
  <si>
    <t>小数桁数</t>
  </si>
  <si>
    <t>設定値</t>
  </si>
  <si>
    <t>分析方法</t>
    <phoneticPr fontId="2"/>
  </si>
  <si>
    <t>次処理モード</t>
    <rPh sb="0" eb="1">
      <t>ツギ</t>
    </rPh>
    <rPh sb="1" eb="3">
      <t>ショリ</t>
    </rPh>
    <phoneticPr fontId="1"/>
  </si>
  <si>
    <t>UNJC0190_IF_NEXTMODE</t>
    <phoneticPr fontId="2"/>
  </si>
  <si>
    <t>数式・書式</t>
    <rPh sb="0" eb="2">
      <t>スウシキ</t>
    </rPh>
    <rPh sb="3" eb="5">
      <t>ショシキ</t>
    </rPh>
    <phoneticPr fontId="2"/>
  </si>
  <si>
    <t>UNJC0190_IF_INIT_HEADER_COPY_MOTO</t>
    <phoneticPr fontId="2"/>
  </si>
  <si>
    <t>列幅</t>
    <rPh sb="0" eb="1">
      <t>レツ</t>
    </rPh>
    <rPh sb="1" eb="2">
      <t>ハバ</t>
    </rPh>
    <phoneticPr fontId="2"/>
  </si>
  <si>
    <t>STATE_MEI</t>
  </si>
  <si>
    <t>K_BIKO</t>
    <phoneticPr fontId="2"/>
  </si>
  <si>
    <t>SOKUTEI_DATE</t>
  </si>
  <si>
    <t>SOKUTEISHA_MEI</t>
  </si>
  <si>
    <t>UNJC0190_IF_ACTIVE_SHEET</t>
    <phoneticPr fontId="2"/>
  </si>
  <si>
    <t>レイアウトループ部</t>
    <rPh sb="8" eb="9">
      <t>ブ</t>
    </rPh>
    <phoneticPr fontId="2"/>
  </si>
  <si>
    <t>UNJC0190_IF_ACTIVE_ROW</t>
    <phoneticPr fontId="2"/>
  </si>
  <si>
    <t>Loop</t>
    <phoneticPr fontId="2"/>
  </si>
  <si>
    <t>状態</t>
    <rPh sb="0" eb="1">
      <t>ジョウ</t>
    </rPh>
    <rPh sb="1" eb="2">
      <t>ワザ</t>
    </rPh>
    <phoneticPr fontId="2"/>
  </si>
  <si>
    <t>測定日</t>
    <rPh sb="0" eb="2">
      <t>ソクテイ</t>
    </rPh>
    <rPh sb="2" eb="3">
      <t>ビ</t>
    </rPh>
    <phoneticPr fontId="2"/>
  </si>
  <si>
    <t>測定者</t>
    <rPh sb="0" eb="2">
      <t>ソクテイ</t>
    </rPh>
    <rPh sb="2" eb="3">
      <t>シャ</t>
    </rPh>
    <phoneticPr fontId="2"/>
  </si>
  <si>
    <t>UNJC0190_IF_ACTIVE_COLUMN</t>
    <phoneticPr fontId="2"/>
  </si>
  <si>
    <t>UNJC0190_IF_ACTIVE_CELL_NAME</t>
    <phoneticPr fontId="2"/>
  </si>
  <si>
    <t>列幅</t>
    <rPh sb="0" eb="2">
      <t>レツハバ</t>
    </rPh>
    <phoneticPr fontId="2"/>
  </si>
  <si>
    <t>↑可変</t>
    <rPh sb="1" eb="3">
      <t>カヘン</t>
    </rPh>
    <phoneticPr fontId="2"/>
  </si>
  <si>
    <t>ページネーション系</t>
    <rPh sb="8" eb="9">
      <t>ケイ</t>
    </rPh>
    <phoneticPr fontId="2"/>
  </si>
  <si>
    <t>文字の場合：最小5(3文字)、最大35(20文字)</t>
    <rPh sb="0" eb="2">
      <t>モジ</t>
    </rPh>
    <rPh sb="3" eb="5">
      <t>バアイ</t>
    </rPh>
    <rPh sb="6" eb="8">
      <t>サイショウ</t>
    </rPh>
    <rPh sb="11" eb="13">
      <t>モジ</t>
    </rPh>
    <rPh sb="15" eb="17">
      <t>サイダイ</t>
    </rPh>
    <rPh sb="22" eb="24">
      <t>モジ</t>
    </rPh>
    <phoneticPr fontId="2"/>
  </si>
  <si>
    <t>UNJC0190_B_CTRL_HYOJI_GYO_SU</t>
    <phoneticPr fontId="2"/>
  </si>
  <si>
    <t>数値の場合：最小5(5桁)、最大13(10桁)</t>
    <rPh sb="0" eb="2">
      <t>スウチ</t>
    </rPh>
    <rPh sb="3" eb="5">
      <t>バアイ</t>
    </rPh>
    <rPh sb="6" eb="8">
      <t>サイショウ</t>
    </rPh>
    <rPh sb="11" eb="12">
      <t>ケタ</t>
    </rPh>
    <rPh sb="21" eb="22">
      <t>ケタ</t>
    </rPh>
    <phoneticPr fontId="2"/>
  </si>
  <si>
    <t>UNJC0190_B_KENSAKU_KENSU</t>
    <phoneticPr fontId="2"/>
  </si>
  <si>
    <t>文字は左揃え、数値は右揃え</t>
    <rPh sb="0" eb="2">
      <t>モジ</t>
    </rPh>
    <rPh sb="3" eb="5">
      <t>ヒダリゾロ</t>
    </rPh>
    <rPh sb="7" eb="9">
      <t>スウチ</t>
    </rPh>
    <rPh sb="10" eb="12">
      <t>ミギゾロ</t>
    </rPh>
    <phoneticPr fontId="2"/>
  </si>
  <si>
    <t>UNJC0190_B_PAGE_NO</t>
    <phoneticPr fontId="2"/>
  </si>
  <si>
    <t>UNJC0190_IF_StatusList</t>
    <phoneticPr fontId="2"/>
  </si>
  <si>
    <t>UNJC0190_B_ALL_PAGE_SU</t>
    <phoneticPr fontId="2"/>
  </si>
  <si>
    <t>↓今後数が変わる可能性も考慮し、ここへリスト化しておく</t>
    <rPh sb="1" eb="3">
      <t>コンゴ</t>
    </rPh>
    <rPh sb="3" eb="4">
      <t>カズ</t>
    </rPh>
    <rPh sb="5" eb="6">
      <t>カ</t>
    </rPh>
    <rPh sb="8" eb="11">
      <t>カノウセイ</t>
    </rPh>
    <rPh sb="12" eb="14">
      <t>コウリョ</t>
    </rPh>
    <rPh sb="22" eb="23">
      <t>カ</t>
    </rPh>
    <phoneticPr fontId="2"/>
  </si>
  <si>
    <t>UNJC0190_IF_StatusList_NameToCode</t>
    <phoneticPr fontId="2"/>
  </si>
  <si>
    <t>表示件数</t>
    <rPh sb="0" eb="4">
      <t>ヒョウジケンスウ</t>
    </rPh>
    <phoneticPr fontId="2"/>
  </si>
  <si>
    <t>UNJC0190_B_HYOJI_KENSU</t>
    <phoneticPr fontId="2"/>
  </si>
  <si>
    <t>項目カラム名リスト</t>
    <rPh sb="0" eb="2">
      <t>コウモク</t>
    </rPh>
    <rPh sb="5" eb="6">
      <t>メイ</t>
    </rPh>
    <phoneticPr fontId="2"/>
  </si>
  <si>
    <t>状態リスト</t>
    <phoneticPr fontId="2"/>
  </si>
  <si>
    <t>↓UNJC0190_IF_StatusMasterData_Count</t>
    <phoneticPr fontId="2"/>
  </si>
  <si>
    <t>次ページボタン表示判定</t>
    <rPh sb="0" eb="1">
      <t>ツギ</t>
    </rPh>
    <rPh sb="7" eb="9">
      <t>ヒョウジ</t>
    </rPh>
    <rPh sb="9" eb="11">
      <t>ハンテイ</t>
    </rPh>
    <phoneticPr fontId="2"/>
  </si>
  <si>
    <t>UNJC0190_B_DECISION_NEXT_PAGE</t>
    <phoneticPr fontId="2"/>
  </si>
  <si>
    <t>COLUMN_01</t>
    <phoneticPr fontId="2"/>
  </si>
  <si>
    <t>前ページボタン表示判定</t>
    <rPh sb="0" eb="1">
      <t>マエ</t>
    </rPh>
    <rPh sb="7" eb="9">
      <t>ヒョウジ</t>
    </rPh>
    <rPh sb="9" eb="11">
      <t>ハンテイ</t>
    </rPh>
    <phoneticPr fontId="2"/>
  </si>
  <si>
    <t>UNJC0190_B_DECISION_PREV_PAGE</t>
    <phoneticPr fontId="2"/>
  </si>
  <si>
    <t>COLUMN_02</t>
    <phoneticPr fontId="2"/>
  </si>
  <si>
    <t>分析待ち</t>
  </si>
  <si>
    <t>UNJC0190_B_NEXT_PAGE_NO</t>
    <phoneticPr fontId="2"/>
  </si>
  <si>
    <t>COLUMN_03</t>
    <phoneticPr fontId="2"/>
  </si>
  <si>
    <t>分析中</t>
  </si>
  <si>
    <t>UNJC0190_B_PREV_PAGE_NO</t>
    <phoneticPr fontId="2"/>
  </si>
  <si>
    <t>UNJC0190_IF_INIT_JOTAI</t>
    <phoneticPr fontId="2"/>
  </si>
  <si>
    <t>COLUMN_04</t>
    <phoneticPr fontId="2"/>
  </si>
  <si>
    <t>データ入力済</t>
  </si>
  <si>
    <t>COLUMN_05</t>
  </si>
  <si>
    <t>保留</t>
  </si>
  <si>
    <t>リスト書式コピー先</t>
    <phoneticPr fontId="2"/>
  </si>
  <si>
    <t>UNJC0190_B_COPY_SAKI</t>
  </si>
  <si>
    <t>COLUMN_06</t>
    <phoneticPr fontId="2"/>
  </si>
  <si>
    <t>中止</t>
  </si>
  <si>
    <t>検索件数0時のエラー回避用</t>
    <phoneticPr fontId="2"/>
  </si>
  <si>
    <t>UNJC0190_B_FORMAT_COPY_FLG</t>
    <phoneticPr fontId="2"/>
  </si>
  <si>
    <t>1:件数1以上 / 2:件数0</t>
    <phoneticPr fontId="2"/>
  </si>
  <si>
    <t>COLUMN_07</t>
  </si>
  <si>
    <t>COLUMN_08</t>
  </si>
  <si>
    <t>COLUMN_09</t>
  </si>
  <si>
    <t>ユーザーID</t>
    <phoneticPr fontId="2"/>
  </si>
  <si>
    <t>UNJC0190_IF_W_USER_ID</t>
  </si>
  <si>
    <t>COLUMN_10</t>
  </si>
  <si>
    <t>シリアル</t>
    <phoneticPr fontId="2"/>
  </si>
  <si>
    <t>UNJC0190_IF_W_SERIAL</t>
    <phoneticPr fontId="2"/>
  </si>
  <si>
    <t>COLUMN_11</t>
  </si>
  <si>
    <t>シリアル作成</t>
    <rPh sb="4" eb="6">
      <t>サクセイ</t>
    </rPh>
    <phoneticPr fontId="2"/>
  </si>
  <si>
    <t>UNJC0190_IF_W_SERIAL_CREATE</t>
  </si>
  <si>
    <t>COLUMN_12</t>
  </si>
  <si>
    <t>COLUMN_13</t>
  </si>
  <si>
    <t>【ボタン名】</t>
    <phoneticPr fontId="2"/>
  </si>
  <si>
    <t>2:修正</t>
    <rPh sb="2" eb="4">
      <t>シュウセイ</t>
    </rPh>
    <phoneticPr fontId="2"/>
  </si>
  <si>
    <t>0:参照</t>
    <rPh sb="2" eb="4">
      <t>サンショウ</t>
    </rPh>
    <phoneticPr fontId="2"/>
  </si>
  <si>
    <t>COLUMN_14</t>
  </si>
  <si>
    <t>修正/参照ボタン</t>
  </si>
  <si>
    <t>UNJC0190_IF_BUTTON_06_NAME</t>
    <phoneticPr fontId="2"/>
  </si>
  <si>
    <t>参照</t>
    <phoneticPr fontId="2"/>
  </si>
  <si>
    <t>修正</t>
    <phoneticPr fontId="2"/>
  </si>
  <si>
    <t>COLUMN_15</t>
  </si>
  <si>
    <t>保存ボタン</t>
  </si>
  <si>
    <t>UNJC0190_IF_BUTTON_10_NAME</t>
    <phoneticPr fontId="2"/>
  </si>
  <si>
    <t>-</t>
  </si>
  <si>
    <t>COLUMN_16</t>
  </si>
  <si>
    <t>COLUMN_17</t>
  </si>
  <si>
    <t>【ボタン表示制御】</t>
    <phoneticPr fontId="2"/>
  </si>
  <si>
    <t>COLUMN_18</t>
  </si>
  <si>
    <t>修正/参照ボタン</t>
    <phoneticPr fontId="2"/>
  </si>
  <si>
    <t>UNJC0190_IF_BUTTON_06_HYOJI</t>
    <phoneticPr fontId="2"/>
  </si>
  <si>
    <t>←件数が0の場合、無効(2)</t>
    <phoneticPr fontId="2"/>
  </si>
  <si>
    <t>COLUMN_19</t>
  </si>
  <si>
    <t>行クリアボタン</t>
  </si>
  <si>
    <t>UNJC0190_IF_BUTTON_07_HYOJI</t>
  </si>
  <si>
    <t>COLUMN_20</t>
  </si>
  <si>
    <t>UNJC0190_IF_BUTTON_10_HYOJI</t>
    <phoneticPr fontId="2"/>
  </si>
  <si>
    <t>COLUMN_21</t>
  </si>
  <si>
    <t>サンプルリスト発行ボタン</t>
  </si>
  <si>
    <t>UNJC0190_IF_BUTTON_19_HYOJI</t>
    <phoneticPr fontId="2"/>
  </si>
  <si>
    <t>COLUMN_22</t>
  </si>
  <si>
    <t>EXCEL出力ボタン</t>
  </si>
  <si>
    <t>UNJC0190_IF_BUTTON_20_HYOJI</t>
    <phoneticPr fontId="2"/>
  </si>
  <si>
    <t>COLUMN_23</t>
  </si>
  <si>
    <t>COLUMN_24</t>
  </si>
  <si>
    <t>【検索実行時】</t>
    <rPh sb="1" eb="3">
      <t>ケンサク</t>
    </rPh>
    <rPh sb="3" eb="5">
      <t>ジッコウ</t>
    </rPh>
    <rPh sb="5" eb="6">
      <t>ジ</t>
    </rPh>
    <phoneticPr fontId="2"/>
  </si>
  <si>
    <t>COLUMN_25</t>
  </si>
  <si>
    <t>検索実行タスク実行判定フラグ</t>
    <rPh sb="0" eb="2">
      <t>ケンサク</t>
    </rPh>
    <rPh sb="2" eb="4">
      <t>ジッコウ</t>
    </rPh>
    <rPh sb="7" eb="9">
      <t>ジッコウ</t>
    </rPh>
    <rPh sb="9" eb="11">
      <t>ハンテイ</t>
    </rPh>
    <phoneticPr fontId="2"/>
  </si>
  <si>
    <t>UNJC0190_IF_KENSAKU_FLG</t>
    <phoneticPr fontId="2"/>
  </si>
  <si>
    <t>←初期値「1:有効」、保存時「２:無効」設定(「検索条件を保持」を行わない)</t>
    <rPh sb="11" eb="13">
      <t>ホゾン</t>
    </rPh>
    <rPh sb="13" eb="14">
      <t>ジ</t>
    </rPh>
    <rPh sb="17" eb="19">
      <t>ムコウ</t>
    </rPh>
    <rPh sb="20" eb="22">
      <t>セッテイ</t>
    </rPh>
    <phoneticPr fontId="2"/>
  </si>
  <si>
    <t>COLUMN_26</t>
  </si>
  <si>
    <t>UNJC0190_IF_EXCEL_DATA_CNT</t>
    <phoneticPr fontId="2"/>
  </si>
  <si>
    <t>UNJC0190_IF_EXCEL_LIST_START</t>
    <phoneticPr fontId="2"/>
  </si>
  <si>
    <t>UNJC0190_IF_EXCEL_COPY_SAKI</t>
    <phoneticPr fontId="2"/>
  </si>
  <si>
    <t>UNJC0190_IF_EXCEL_FILE_NAME</t>
    <phoneticPr fontId="2"/>
  </si>
  <si>
    <t>UNJC0190_IF_EXCEL_HIDE_COLUMN_START</t>
    <phoneticPr fontId="2"/>
  </si>
  <si>
    <t>UNJC0190_IF_EXCEL_HIDE_COLUMN_END</t>
    <phoneticPr fontId="2"/>
  </si>
  <si>
    <t>UNJC0190_IF_EXCEL_HIDE_COLUMN_2</t>
    <phoneticPr fontId="2"/>
  </si>
  <si>
    <t>UNJC0190_IF_EXCEL_HIDE_COLUMN_3_START</t>
    <phoneticPr fontId="2"/>
  </si>
  <si>
    <t>UNJC0190_IF_EXCEL_HIDE_COLUMN_3_END</t>
    <phoneticPr fontId="2"/>
  </si>
  <si>
    <t>項目別サンプル値マスターSQL</t>
    <phoneticPr fontId="2"/>
  </si>
  <si>
    <t>メイン</t>
    <phoneticPr fontId="2"/>
  </si>
  <si>
    <t>UNJC0190_SQL_GetItemizedSampleMaster</t>
    <phoneticPr fontId="2"/>
  </si>
  <si>
    <t xml:space="preserve"> SELECT_x000D_
    SHOHIN_BUNRUI_x000D_
  , KOBAN_x000D_
  , MEISHO
  , NYURYOKU_x000D_
  , KATA_x000D_
  , ALL_KETA
  , SHOSU_KETA_x000D_
  , SETTEICHI _x000D_
</t>
  </si>
  <si>
    <t xml:space="preserve"> FROM M_KOMOKU_SAMPLE 
</t>
    <phoneticPr fontId="2"/>
  </si>
  <si>
    <t>名称マスタ状態リストSQL</t>
    <rPh sb="0" eb="2">
      <t>メイショウ</t>
    </rPh>
    <rPh sb="5" eb="7">
      <t>ジョウタイ</t>
    </rPh>
    <phoneticPr fontId="2"/>
  </si>
  <si>
    <t>メイン</t>
    <phoneticPr fontId="2"/>
  </si>
  <si>
    <t>UNJC0190_SQL_GetStatusMaster</t>
    <phoneticPr fontId="2"/>
  </si>
  <si>
    <t>SELECT MEISHO_CD, DATA_1</t>
    <phoneticPr fontId="2"/>
  </si>
  <si>
    <t>FROM</t>
    <phoneticPr fontId="2"/>
  </si>
  <si>
    <t xml:space="preserve"> FROM M_MEISHO_B</t>
    <phoneticPr fontId="2"/>
  </si>
  <si>
    <t>WHERE</t>
    <phoneticPr fontId="2"/>
  </si>
  <si>
    <t xml:space="preserve"> WHERE MEISHO_KBN = 'K019'</t>
    <phoneticPr fontId="2"/>
  </si>
  <si>
    <t>検索結果総数SQL</t>
    <rPh sb="0" eb="2">
      <t>ケンサク</t>
    </rPh>
    <rPh sb="2" eb="4">
      <t>ケッカ</t>
    </rPh>
    <rPh sb="4" eb="6">
      <t>ソウスウ</t>
    </rPh>
    <phoneticPr fontId="2"/>
  </si>
  <si>
    <t>UNJC0190_SQL_DataCount</t>
    <phoneticPr fontId="2"/>
  </si>
  <si>
    <t>検索結果受理No.件数SQL</t>
    <rPh sb="0" eb="2">
      <t>ケンサク</t>
    </rPh>
    <rPh sb="2" eb="4">
      <t>ケッカ</t>
    </rPh>
    <phoneticPr fontId="2"/>
  </si>
  <si>
    <t>UNJC0190_SQL_JuriCount</t>
    <phoneticPr fontId="2"/>
  </si>
  <si>
    <t>データ取得SQL</t>
  </si>
  <si>
    <t>ワークからページ毎にデータを取得</t>
    <rPh sb="8" eb="9">
      <t>ゴト</t>
    </rPh>
    <rPh sb="14" eb="16">
      <t>シュトク</t>
    </rPh>
    <phoneticPr fontId="2"/>
  </si>
  <si>
    <t>UNJC0190_SQL_DataSearch_PageView</t>
    <phoneticPr fontId="2"/>
  </si>
  <si>
    <t>印刷用データ取得SQL</t>
    <phoneticPr fontId="2"/>
  </si>
  <si>
    <t>ワークから全データを取得</t>
    <rPh sb="10" eb="12">
      <t>シュトク</t>
    </rPh>
    <phoneticPr fontId="2"/>
  </si>
  <si>
    <t>UNJC0190_SQL_DataSearch_Print</t>
    <phoneticPr fontId="2"/>
  </si>
  <si>
    <t>Excel用データ取得SQL</t>
    <phoneticPr fontId="2"/>
  </si>
  <si>
    <t>UNJC0190_SQL_DataSearch_Excel</t>
    <phoneticPr fontId="2"/>
  </si>
  <si>
    <t>SELECT COUNT(*) AS CNT</t>
    <phoneticPr fontId="2"/>
  </si>
  <si>
    <t>SELECT COUNT(DISTINCT JURI_NO) AS CNT</t>
    <phoneticPr fontId="2"/>
  </si>
  <si>
    <t>受理No.件数</t>
    <phoneticPr fontId="2"/>
  </si>
  <si>
    <t>画面データ取得
Excel用データ取得</t>
    <rPh sb="5" eb="7">
      <t>シュトク</t>
    </rPh>
    <phoneticPr fontId="2"/>
  </si>
  <si>
    <t>印刷用データ取得</t>
    <phoneticPr fontId="2"/>
  </si>
  <si>
    <t>可変前</t>
    <rPh sb="0" eb="2">
      <t>カヘン</t>
    </rPh>
    <rPh sb="2" eb="3">
      <t>マエ</t>
    </rPh>
    <phoneticPr fontId="2"/>
  </si>
  <si>
    <t xml:space="preserve">    W_ROW_x000D_
  , W_USER_ID_x000D_
  , W_SERIAL_x000D_
  , W_BUN_KOMOKU_SAMPLE_LIST.DBS_STATUS_x000D_
  , W_BUN_KOMOKU_SAMPLE_LIST.DBS_CREATE_USER_x000D_
  , W_BUN_KOMOKU_SAMPLE_LIST.DBS_CREATE_DATE_x000D_
  , W_BUN_KOMOKU_SAMPLE_LIST.DBS_UPDATE_USER_x000D_
  , W_BUN_KOMOKU_SAMPLE_LIST.DBS_UPDATE_DATE_x000D_
  , KANRYO_DATE_x000D_
  , IRAI_DATE_x000D_
  , NYURYOKU_DATETIME_x000D_
  , JURI_NO_x000D_
  , JURI_EDA_NO_x000D_
  , SEQ_x000D_
  , BUSHO_MEI_x000D_
  , ATENA_x000D_
  , SHIRYO_SHURUI_x000D_
  , SHIRYO_MEI_x000D_
  , BUNSEKI_HOHO_x000D_
  , M_BIKO
  , BUNSEKI_TANI_x000D_
  , BUNSEKI_DATA_x000D_
  , BUNSEKI_NO_x000D_
  , STATE_KBN_x000D_
  , SOKUTEISHA_CD
</t>
    <phoneticPr fontId="2"/>
  </si>
  <si>
    <t xml:space="preserve">    W_ROW_x000D_
  , KANRYO_DATE_x000D_
  , NYURYOKU_DATETIME_x000D_
  , JURI_NO_x000D_
  , JURI_EDA_NO_x000D_
  , ATENA_x000D_
  , SHIRYO_MEI_x000D_
  , BUNSEKI_HOHO_x000D_
  , M_BIKO
</t>
    <phoneticPr fontId="2"/>
  </si>
  <si>
    <t>可変項目</t>
    <phoneticPr fontId="2"/>
  </si>
  <si>
    <t>, COLUMN_01, COLUMN_02, COLUMN_03, COLUMN_04, COLUMN_05, COLUMN_06, COLUMN_07, COLUMN_08</t>
    <phoneticPr fontId="2"/>
  </si>
  <si>
    <t>UNJC0190_SQL_GetAnalysisOrdersData_VariableItem</t>
    <phoneticPr fontId="2"/>
  </si>
  <si>
    <t>可変後</t>
    <rPh sb="0" eb="2">
      <t>カヘン</t>
    </rPh>
    <rPh sb="2" eb="3">
      <t>アト</t>
    </rPh>
    <phoneticPr fontId="2"/>
  </si>
  <si>
    <t xml:space="preserve">
  , M_MEISHO_B.DATA_1  AS  STATE_MEI
  , SOKUTEI_DATE
  , SOKUTEISHA_MEI</t>
  </si>
  <si>
    <t xml:space="preserve">
 FROM W_BUN_KOMOKU_SAMPLE_LIST
</t>
    <phoneticPr fontId="2"/>
  </si>
  <si>
    <t xml:space="preserve"> LEFT JOIN
      M_MEISHO_B
   ON M_MEISHO_B.MEISHO_KBN =  'K019'
  AND M_MEISHO_B.MEISHO_CD  =  W_BUN_KOMOKU_SAMPLE_LIST.STATE_KBN
</t>
    <phoneticPr fontId="2"/>
  </si>
  <si>
    <t>データワークテーブル作成SQL</t>
  </si>
  <si>
    <t>検索結果をワークへ保存</t>
    <rPh sb="0" eb="2">
      <t>ケンサク</t>
    </rPh>
    <rPh sb="2" eb="4">
      <t>ケッカ</t>
    </rPh>
    <rPh sb="9" eb="11">
      <t>ホゾン</t>
    </rPh>
    <phoneticPr fontId="2"/>
  </si>
  <si>
    <t>UNJC0190_SQL_GetAnalysisOrdersData</t>
    <phoneticPr fontId="2"/>
  </si>
  <si>
    <t>↑処理モード：0(読込)</t>
    <phoneticPr fontId="2"/>
  </si>
  <si>
    <t>商品分類区分</t>
    <rPh sb="0" eb="4">
      <t>ショウヒンブンルイ</t>
    </rPh>
    <rPh sb="4" eb="6">
      <t>クブン</t>
    </rPh>
    <phoneticPr fontId="2"/>
  </si>
  <si>
    <t>必須</t>
    <phoneticPr fontId="2"/>
  </si>
  <si>
    <t>UNJC0190_H_JURI_NO_S</t>
    <phoneticPr fontId="2"/>
  </si>
  <si>
    <t>UNJC0190_H_BUSHO_CD_S・UNJC0190_H_BUSHO_MEI_S</t>
    <phoneticPr fontId="2"/>
  </si>
  <si>
    <t>入力日・スタート</t>
    <phoneticPr fontId="2"/>
  </si>
  <si>
    <t>UNJC0190_H_NYURYOKU_DATE_START_S</t>
    <phoneticPr fontId="2"/>
  </si>
  <si>
    <t>入力日・エンド</t>
    <phoneticPr fontId="2"/>
  </si>
  <si>
    <t>依頼日/受付日・スタート</t>
    <phoneticPr fontId="2"/>
  </si>
  <si>
    <t>UNJC0190_H_KANRYO_DATE_START_S</t>
    <phoneticPr fontId="2"/>
  </si>
  <si>
    <t>分析完了日・エンド</t>
    <phoneticPr fontId="2"/>
  </si>
  <si>
    <t>状態・スタート</t>
    <rPh sb="0" eb="2">
      <t>ジョウタイ</t>
    </rPh>
    <phoneticPr fontId="2"/>
  </si>
  <si>
    <t>UNJC0190_H_JOTAI_S</t>
  </si>
  <si>
    <t>UNJC0190_H_SIRYO_MEI_S</t>
    <phoneticPr fontId="2"/>
  </si>
  <si>
    <t>UNJC0190_H_SOKUTEI_SHA_CD_S・UNJC0190_H_SOKUTEI_SHA_MEI_S</t>
    <phoneticPr fontId="2"/>
  </si>
  <si>
    <t>測定日・スタート</t>
    <phoneticPr fontId="2"/>
  </si>
  <si>
    <t>UNJC0190_H_FREEWD_1_S</t>
    <phoneticPr fontId="2"/>
  </si>
  <si>
    <t>フリーワード２</t>
    <phoneticPr fontId="2"/>
  </si>
  <si>
    <t>フリーワード３</t>
    <phoneticPr fontId="2"/>
  </si>
  <si>
    <t>UNJC0190_H_FREEWD_3_S</t>
    <phoneticPr fontId="2"/>
  </si>
  <si>
    <t>UNJC0190_SQL_SaveAnalysisOrdersData</t>
    <phoneticPr fontId="2"/>
  </si>
  <si>
    <t>↑処理モード：1(保存)</t>
    <rPh sb="9" eb="11">
      <t>ホゾン</t>
    </rPh>
    <phoneticPr fontId="2"/>
  </si>
  <si>
    <t>項目別サンプルリスト</t>
    <rPh sb="0" eb="2">
      <t>コウモク</t>
    </rPh>
    <rPh sb="2" eb="3">
      <t>ベツ</t>
    </rPh>
    <phoneticPr fontId="2"/>
  </si>
  <si>
    <t>商品分類名：</t>
    <phoneticPr fontId="2"/>
  </si>
  <si>
    <t>入力日：</t>
    <rPh sb="0" eb="2">
      <t>ニュウリョク</t>
    </rPh>
    <rPh sb="2" eb="3">
      <t>ビ</t>
    </rPh>
    <phoneticPr fontId="2"/>
  </si>
  <si>
    <t>受理№件数：</t>
    <rPh sb="0" eb="2">
      <t>ジュリ</t>
    </rPh>
    <rPh sb="3" eb="5">
      <t>ケンスウ</t>
    </rPh>
    <phoneticPr fontId="2"/>
  </si>
  <si>
    <t>試料件数：</t>
    <phoneticPr fontId="2"/>
  </si>
  <si>
    <t>UNJC0190_PRINT_IF_HYOJI_KENSU</t>
    <phoneticPr fontId="2"/>
  </si>
  <si>
    <t>UNJC0190_PRINT_IF_COPY_SAKI</t>
    <phoneticPr fontId="2"/>
  </si>
  <si>
    <t>ループ連結</t>
    <rPh sb="3" eb="5">
      <t>レンケツ</t>
    </rPh>
    <phoneticPr fontId="2"/>
  </si>
  <si>
    <t>完了日</t>
  </si>
  <si>
    <t>入力日</t>
  </si>
  <si>
    <t>分析項目名</t>
    <rPh sb="0" eb="2">
      <t>ブンセキ</t>
    </rPh>
    <phoneticPr fontId="2"/>
  </si>
  <si>
    <t>状態</t>
  </si>
  <si>
    <t>測定日</t>
  </si>
  <si>
    <t>測定者</t>
  </si>
  <si>
    <t>報告書形式CD</t>
    <rPh sb="0" eb="3">
      <t>ホウコクショ</t>
    </rPh>
    <rPh sb="3" eb="5">
      <t>ケイシキ</t>
    </rPh>
    <phoneticPr fontId="2"/>
  </si>
  <si>
    <t>分析ステータス区分CD</t>
    <rPh sb="0" eb="2">
      <t>ブンセキ</t>
    </rPh>
    <rPh sb="7" eb="9">
      <t>クブン</t>
    </rPh>
    <phoneticPr fontId="2"/>
  </si>
  <si>
    <t xml:space="preserve"> WHERE 1 = 1
</t>
    <phoneticPr fontId="2"/>
  </si>
  <si>
    <t>1</t>
    <phoneticPr fontId="2"/>
  </si>
  <si>
    <t>2</t>
    <phoneticPr fontId="2"/>
  </si>
  <si>
    <t>3</t>
    <phoneticPr fontId="2"/>
  </si>
  <si>
    <t>営業</t>
    <phoneticPr fontId="2"/>
  </si>
  <si>
    <t>宅配・郵送</t>
    <phoneticPr fontId="2"/>
  </si>
  <si>
    <t>来社渡し</t>
    <phoneticPr fontId="2"/>
  </si>
  <si>
    <t>ﾕﾆｹﾐｰ標準</t>
    <phoneticPr fontId="2"/>
  </si>
  <si>
    <t>1</t>
    <phoneticPr fontId="2"/>
  </si>
  <si>
    <t>ﾁｭｰﾌﾞﾌｧｲﾙ</t>
    <phoneticPr fontId="2"/>
  </si>
  <si>
    <t>2</t>
    <phoneticPr fontId="2"/>
  </si>
  <si>
    <t>ﾌｧｲﾙ等不要</t>
    <phoneticPr fontId="2"/>
  </si>
  <si>
    <t>3</t>
    <phoneticPr fontId="2"/>
  </si>
  <si>
    <t>黒表紙金文字箔押製本</t>
    <phoneticPr fontId="2"/>
  </si>
  <si>
    <t>4</t>
    <phoneticPr fontId="2"/>
  </si>
  <si>
    <t>ｸﾘｱﾌｧｲﾙ</t>
    <phoneticPr fontId="2"/>
  </si>
  <si>
    <t>5</t>
    <phoneticPr fontId="2"/>
  </si>
  <si>
    <t>ｸﾘｯﾌﾟﾌｧｲﾙ</t>
    <phoneticPr fontId="2"/>
  </si>
  <si>
    <t>6</t>
    <phoneticPr fontId="2"/>
  </si>
  <si>
    <t>ﾚﾊﾞｰﾌｧｲﾙ</t>
    <phoneticPr fontId="2"/>
  </si>
  <si>
    <t>7</t>
    <phoneticPr fontId="2"/>
  </si>
  <si>
    <t>ﾎｯﾁｷｽ綴じ</t>
    <phoneticPr fontId="2"/>
  </si>
  <si>
    <t>8</t>
    <phoneticPr fontId="2"/>
  </si>
  <si>
    <t>持込</t>
    <phoneticPr fontId="2"/>
  </si>
  <si>
    <t>1</t>
    <phoneticPr fontId="2"/>
  </si>
  <si>
    <t>出張採取</t>
    <phoneticPr fontId="2"/>
  </si>
  <si>
    <t>2</t>
    <phoneticPr fontId="2"/>
  </si>
  <si>
    <t>出張受取</t>
    <phoneticPr fontId="2"/>
  </si>
  <si>
    <t>3</t>
    <phoneticPr fontId="2"/>
  </si>
  <si>
    <t>宅配・郵送</t>
    <phoneticPr fontId="2"/>
  </si>
  <si>
    <t>4</t>
    <phoneticPr fontId="2"/>
  </si>
  <si>
    <t>返却手順に従う</t>
    <phoneticPr fontId="2"/>
  </si>
  <si>
    <t>返却無</t>
    <phoneticPr fontId="2"/>
  </si>
  <si>
    <t>要試料返却</t>
    <phoneticPr fontId="2"/>
  </si>
  <si>
    <t>要容器返却</t>
    <phoneticPr fontId="2"/>
  </si>
  <si>
    <t>依頼分析</t>
    <phoneticPr fontId="2"/>
  </si>
  <si>
    <t>精度管理</t>
    <phoneticPr fontId="2"/>
  </si>
  <si>
    <t>無償分析・社内用</t>
    <phoneticPr fontId="2"/>
  </si>
  <si>
    <t>未発行</t>
    <phoneticPr fontId="2"/>
  </si>
  <si>
    <t>発行済</t>
    <phoneticPr fontId="2"/>
  </si>
  <si>
    <t>試験報告書</t>
    <phoneticPr fontId="2"/>
  </si>
  <si>
    <t>計量証明書</t>
    <phoneticPr fontId="2"/>
  </si>
  <si>
    <t>検査報告書</t>
    <phoneticPr fontId="2"/>
  </si>
  <si>
    <t>作業環境</t>
    <phoneticPr fontId="2"/>
  </si>
  <si>
    <t>飲料水</t>
    <phoneticPr fontId="2"/>
  </si>
  <si>
    <t>5</t>
    <phoneticPr fontId="2"/>
  </si>
  <si>
    <t>臭気測定結果報告書</t>
    <phoneticPr fontId="2"/>
  </si>
  <si>
    <t>6</t>
    <phoneticPr fontId="2"/>
  </si>
  <si>
    <t>石油類分析試験</t>
    <phoneticPr fontId="2"/>
  </si>
  <si>
    <t>7</t>
    <phoneticPr fontId="2"/>
  </si>
  <si>
    <t>金属材料検査</t>
    <phoneticPr fontId="2"/>
  </si>
  <si>
    <t>8</t>
    <phoneticPr fontId="2"/>
  </si>
  <si>
    <t>石綿</t>
    <phoneticPr fontId="2"/>
  </si>
  <si>
    <t>9</t>
    <phoneticPr fontId="2"/>
  </si>
  <si>
    <t>(技術指示)</t>
    <phoneticPr fontId="2"/>
  </si>
  <si>
    <t>10</t>
    <phoneticPr fontId="2"/>
  </si>
  <si>
    <t>(後日営業指示)</t>
    <phoneticPr fontId="2"/>
  </si>
  <si>
    <t>11</t>
    <phoneticPr fontId="2"/>
  </si>
  <si>
    <t>(不要)</t>
    <phoneticPr fontId="2"/>
  </si>
  <si>
    <t>12</t>
    <phoneticPr fontId="2"/>
  </si>
  <si>
    <t>計量証明書+試験報告書</t>
    <phoneticPr fontId="2"/>
  </si>
  <si>
    <t>13</t>
    <phoneticPr fontId="2"/>
  </si>
  <si>
    <t>検査報告書+試験報告書</t>
    <phoneticPr fontId="2"/>
  </si>
  <si>
    <t>14</t>
    <phoneticPr fontId="2"/>
  </si>
  <si>
    <t>計量証明書+検査報告書</t>
    <phoneticPr fontId="2"/>
  </si>
  <si>
    <t>15</t>
    <phoneticPr fontId="2"/>
  </si>
  <si>
    <t>不要</t>
    <phoneticPr fontId="2"/>
  </si>
  <si>
    <t>TEL</t>
    <phoneticPr fontId="2"/>
  </si>
  <si>
    <t>FAX</t>
    <phoneticPr fontId="2"/>
  </si>
  <si>
    <t>メール</t>
    <phoneticPr fontId="2"/>
  </si>
  <si>
    <t>諸経費</t>
    <rPh sb="0" eb="3">
      <t>ショケイヒ</t>
    </rPh>
    <phoneticPr fontId="2"/>
  </si>
  <si>
    <t>UNJC0210_H_INIT_HEADER_FLG_COPY_SAKI</t>
    <phoneticPr fontId="2"/>
  </si>
  <si>
    <t>裏書ラベル検索</t>
    <rPh sb="0" eb="2">
      <t>ウラガキ</t>
    </rPh>
    <rPh sb="5" eb="7">
      <t>ケンサク</t>
    </rPh>
    <phoneticPr fontId="2"/>
  </si>
  <si>
    <t>商品分類区分CD</t>
    <phoneticPr fontId="2"/>
  </si>
  <si>
    <t>UNJC0210_H_SYOUHIN_BUNRUI_CD_S</t>
    <phoneticPr fontId="2"/>
  </si>
  <si>
    <t>商品分類CD</t>
    <rPh sb="0" eb="2">
      <t>ショウヒン</t>
    </rPh>
    <rPh sb="2" eb="4">
      <t>ブンルイ</t>
    </rPh>
    <phoneticPr fontId="2"/>
  </si>
  <si>
    <t>UNJC0210_H_SYOUHIN_BUNRUI_CD</t>
    <phoneticPr fontId="2"/>
  </si>
  <si>
    <t>入力済</t>
    <rPh sb="0" eb="2">
      <t>ニュウリョク</t>
    </rPh>
    <rPh sb="2" eb="3">
      <t>ス</t>
    </rPh>
    <phoneticPr fontId="2"/>
  </si>
  <si>
    <t>UNJC0210_H_SYOUHIN_BUNRUI_MEI_S</t>
    <phoneticPr fontId="2"/>
  </si>
  <si>
    <t>UNJC0210_H_FREEWD_KBN</t>
    <phoneticPr fontId="2"/>
  </si>
  <si>
    <t>UNJC0210_H_JURI_NO_S</t>
    <phoneticPr fontId="2"/>
  </si>
  <si>
    <t>印刷済表示フラグ</t>
    <rPh sb="0" eb="2">
      <t>インサツ</t>
    </rPh>
    <rPh sb="2" eb="3">
      <t>ス</t>
    </rPh>
    <rPh sb="3" eb="5">
      <t>ヒョウジ</t>
    </rPh>
    <phoneticPr fontId="2"/>
  </si>
  <si>
    <t>UNJC0210_H_PRINT_VIEW</t>
    <phoneticPr fontId="2"/>
  </si>
  <si>
    <t>UNJC0210_H_EDA_S</t>
    <phoneticPr fontId="2"/>
  </si>
  <si>
    <t>UNJC0210_H_BUSHO_CD</t>
    <phoneticPr fontId="2"/>
  </si>
  <si>
    <t>担当部署名CD</t>
    <phoneticPr fontId="2"/>
  </si>
  <si>
    <t>UNJC0210_H_BUSHO_CD_S</t>
    <phoneticPr fontId="2"/>
  </si>
  <si>
    <t>UNJC0210_H_BUSHO_MEI_S</t>
    <phoneticPr fontId="2"/>
  </si>
  <si>
    <t>UNJC0210_H_SEIKYU_MEI</t>
    <phoneticPr fontId="2"/>
  </si>
  <si>
    <t>分析項目名CD</t>
    <phoneticPr fontId="2"/>
  </si>
  <si>
    <t>UNJC0210_H_BUNSEKI_KOMOKU_CD_S</t>
    <phoneticPr fontId="2"/>
  </si>
  <si>
    <t>UNJC0210_H_SOKUTEI_SHA_CD</t>
    <phoneticPr fontId="2"/>
  </si>
  <si>
    <t>UNJC0210_H_BUNSEKI_KOMOKU_MEI_S</t>
    <phoneticPr fontId="2"/>
  </si>
  <si>
    <t>UNJC0210_H_BUNSEKI_HOHO_S</t>
    <phoneticPr fontId="2"/>
  </si>
  <si>
    <t>UNJC0210_H_SIRYO_SHURUI_S</t>
    <phoneticPr fontId="2"/>
  </si>
  <si>
    <t>UNJC0210_H_SIRYO_MEI_S</t>
    <phoneticPr fontId="2"/>
  </si>
  <si>
    <t>UNJC0210_H_NYURYOKU_DATE_START_S</t>
    <phoneticPr fontId="2"/>
  </si>
  <si>
    <t>状態CD</t>
    <rPh sb="0" eb="2">
      <t>ジョウタイ</t>
    </rPh>
    <phoneticPr fontId="2"/>
  </si>
  <si>
    <t>UNJC0210_H_JOTAI_START_CD</t>
    <phoneticPr fontId="2"/>
  </si>
  <si>
    <t>UNJC0210_H_NYURYOKU_DATE_END_S</t>
    <phoneticPr fontId="2"/>
  </si>
  <si>
    <t>UNJC0210_H_IRAI_DATE_START_S</t>
  </si>
  <si>
    <t>依頼日/受付日・エンド</t>
    <rPh sb="0" eb="2">
      <t>イライ</t>
    </rPh>
    <rPh sb="2" eb="3">
      <t>ビ</t>
    </rPh>
    <rPh sb="4" eb="6">
      <t>ウケツケ</t>
    </rPh>
    <phoneticPr fontId="2"/>
  </si>
  <si>
    <t>UNJC0210_H_IRAI_DATE_END_S</t>
  </si>
  <si>
    <t>非表示行指定</t>
    <rPh sb="0" eb="3">
      <t>ヒヒョウジ</t>
    </rPh>
    <rPh sb="3" eb="4">
      <t>ギョウ</t>
    </rPh>
    <rPh sb="4" eb="6">
      <t>シテイ</t>
    </rPh>
    <phoneticPr fontId="2"/>
  </si>
  <si>
    <t>UNJC0210_H_HIDE_ROW</t>
    <phoneticPr fontId="2"/>
  </si>
  <si>
    <t>UNJC0210_H_KANRYO_DATE_START_S</t>
    <phoneticPr fontId="2"/>
  </si>
  <si>
    <t>UNJC0210_H_HIDE_COLUMN</t>
    <phoneticPr fontId="2"/>
  </si>
  <si>
    <t>分析完了日・エンド</t>
    <rPh sb="0" eb="2">
      <t>ブンセキ</t>
    </rPh>
    <rPh sb="2" eb="4">
      <t>カンリョウ</t>
    </rPh>
    <phoneticPr fontId="2"/>
  </si>
  <si>
    <t>UNJC0210_H_KANRYO_DATE_END_S</t>
    <phoneticPr fontId="2"/>
  </si>
  <si>
    <t>中間報告日・スタート</t>
    <rPh sb="0" eb="2">
      <t>チュウカン</t>
    </rPh>
    <rPh sb="2" eb="4">
      <t>ホウコク</t>
    </rPh>
    <phoneticPr fontId="2"/>
  </si>
  <si>
    <t>UNJC0210_H_HOUKOKU_DATE_START_S</t>
    <phoneticPr fontId="2"/>
  </si>
  <si>
    <t>中間報告日・エンド</t>
    <rPh sb="0" eb="2">
      <t>チュウカン</t>
    </rPh>
    <rPh sb="2" eb="4">
      <t>ホウコク</t>
    </rPh>
    <phoneticPr fontId="2"/>
  </si>
  <si>
    <t>UNJC0210_H_HOUKOKU_DATE_END_S</t>
    <phoneticPr fontId="2"/>
  </si>
  <si>
    <t>UNJC0210_H_SOKUHOU_DATE_START_S</t>
    <phoneticPr fontId="2"/>
  </si>
  <si>
    <t>報告書完成日/速報日・エンド</t>
    <rPh sb="0" eb="3">
      <t>ホウコクショ</t>
    </rPh>
    <rPh sb="3" eb="5">
      <t>カンセイ</t>
    </rPh>
    <rPh sb="7" eb="9">
      <t>ソクホウ</t>
    </rPh>
    <rPh sb="9" eb="10">
      <t>ビ</t>
    </rPh>
    <phoneticPr fontId="2"/>
  </si>
  <si>
    <t>UNJC0210_H_SOKUHOU_DATE_END_S</t>
    <phoneticPr fontId="2"/>
  </si>
  <si>
    <t>UNJC0210_H_NOUHIN_DATE_START_S</t>
    <phoneticPr fontId="2"/>
  </si>
  <si>
    <t>納品日・エンド</t>
    <phoneticPr fontId="2"/>
  </si>
  <si>
    <t>UNJC0210_H_NOUHIN_DATE_END_S</t>
    <phoneticPr fontId="2"/>
  </si>
  <si>
    <t>測定者CD</t>
    <phoneticPr fontId="2"/>
  </si>
  <si>
    <t>UNJC0210_H_SOKUTEI_SHA_CD_S</t>
    <phoneticPr fontId="2"/>
  </si>
  <si>
    <t>測定者名</t>
    <rPh sb="0" eb="2">
      <t>ソクテイ</t>
    </rPh>
    <rPh sb="2" eb="3">
      <t>シャ</t>
    </rPh>
    <rPh sb="3" eb="4">
      <t>メイ</t>
    </rPh>
    <phoneticPr fontId="2"/>
  </si>
  <si>
    <t>UNJC0210_H_SOKUTEI_SHA_MEI_S</t>
    <phoneticPr fontId="2"/>
  </si>
  <si>
    <t>UNJC0210_H_SOKUTEI_DATE_START_S</t>
    <phoneticPr fontId="2"/>
  </si>
  <si>
    <t>測定日・エンド</t>
    <rPh sb="0" eb="2">
      <t>ソクテイ</t>
    </rPh>
    <phoneticPr fontId="2"/>
  </si>
  <si>
    <t>UNJC0210_H_SOKUTEI_DATE_END_S</t>
    <phoneticPr fontId="2"/>
  </si>
  <si>
    <t>UNJC0210_H_JOTAI_START_S</t>
  </si>
  <si>
    <t>状態・スタートCD</t>
    <rPh sb="0" eb="2">
      <t>ジョウタイ</t>
    </rPh>
    <phoneticPr fontId="2"/>
  </si>
  <si>
    <t>UNJC0210_H_JOTAI_START_CD_S</t>
    <phoneticPr fontId="2"/>
  </si>
  <si>
    <t>状態・エンド</t>
    <phoneticPr fontId="2"/>
  </si>
  <si>
    <t>UNJC0210_H_JOTAI_END_S</t>
  </si>
  <si>
    <t>報告書宛CD</t>
    <rPh sb="0" eb="2">
      <t>ホウコク</t>
    </rPh>
    <rPh sb="2" eb="3">
      <t>ショ</t>
    </rPh>
    <rPh sb="3" eb="4">
      <t>アテ</t>
    </rPh>
    <phoneticPr fontId="2"/>
  </si>
  <si>
    <t>UNJC0210_H_ATENA_CD_S</t>
    <phoneticPr fontId="2"/>
  </si>
  <si>
    <t>UNJC0210_H_ATENA_S</t>
    <phoneticPr fontId="2"/>
  </si>
  <si>
    <t>UNJC0210_H_SEIKYU_CD_S</t>
    <phoneticPr fontId="2"/>
  </si>
  <si>
    <t>請求先名</t>
    <rPh sb="3" eb="4">
      <t>メイ</t>
    </rPh>
    <phoneticPr fontId="2"/>
  </si>
  <si>
    <t>UNJC0210_H_SEIKYU_MEI_S</t>
    <phoneticPr fontId="2"/>
  </si>
  <si>
    <t>UNJC0210_H_FREEWD_1_S</t>
    <phoneticPr fontId="2"/>
  </si>
  <si>
    <t>UNJC0210_H_FREEWD_2_S</t>
  </si>
  <si>
    <t>UNJC0210_H_FREEWD_3_S</t>
    <phoneticPr fontId="2"/>
  </si>
  <si>
    <t>印刷済判定セル</t>
    <phoneticPr fontId="2"/>
  </si>
  <si>
    <t>UNJC0210_H_PRINT_VIEW_S</t>
    <phoneticPr fontId="2"/>
  </si>
  <si>
    <t>フリー検索結合条件</t>
    <phoneticPr fontId="2"/>
  </si>
  <si>
    <t>UNJC0210_H_FREEWD_KBN_S</t>
    <phoneticPr fontId="2"/>
  </si>
  <si>
    <t>W_USER_ID</t>
    <phoneticPr fontId="2"/>
  </si>
  <si>
    <t>W_SERIAL</t>
    <phoneticPr fontId="2"/>
  </si>
  <si>
    <t>W_ROW</t>
    <phoneticPr fontId="2"/>
  </si>
  <si>
    <t>URAGAKI_PRINT_DISP</t>
  </si>
  <si>
    <t>BUNSEKI_MEI</t>
  </si>
  <si>
    <t>K_BIKO</t>
  </si>
  <si>
    <t>選択フラグ</t>
    <rPh sb="0" eb="2">
      <t>センタク</t>
    </rPh>
    <phoneticPr fontId="2"/>
  </si>
  <si>
    <t>行No.</t>
    <rPh sb="0" eb="1">
      <t>ギョウ</t>
    </rPh>
    <phoneticPr fontId="2"/>
  </si>
  <si>
    <t>印刷</t>
    <rPh sb="0" eb="2">
      <t>インサツ</t>
    </rPh>
    <phoneticPr fontId="2"/>
  </si>
  <si>
    <t>ページ処理</t>
    <rPh sb="3" eb="5">
      <t>ショリ</t>
    </rPh>
    <phoneticPr fontId="2"/>
  </si>
  <si>
    <t>１ページ表示可能件数</t>
    <rPh sb="4" eb="6">
      <t>ヒョウジ</t>
    </rPh>
    <rPh sb="6" eb="8">
      <t>カノウ</t>
    </rPh>
    <rPh sb="8" eb="10">
      <t>ケンスウ</t>
    </rPh>
    <phoneticPr fontId="2"/>
  </si>
  <si>
    <t>UNJC0210_B_PAGE_MAXVIEWNUM</t>
    <phoneticPr fontId="2"/>
  </si>
  <si>
    <t>検索件数</t>
    <rPh sb="0" eb="2">
      <t>ケンサク</t>
    </rPh>
    <rPh sb="2" eb="4">
      <t>ケンスウ</t>
    </rPh>
    <phoneticPr fontId="24"/>
  </si>
  <si>
    <t>UNJC0210_B_SEARCH_NUM</t>
    <phoneticPr fontId="2"/>
  </si>
  <si>
    <t>総件数</t>
    <rPh sb="0" eb="3">
      <t>ソウケンスウ</t>
    </rPh>
    <phoneticPr fontId="2"/>
  </si>
  <si>
    <t>ページ番号</t>
    <rPh sb="3" eb="5">
      <t>バンゴウ</t>
    </rPh>
    <phoneticPr fontId="24"/>
  </si>
  <si>
    <t>UNJC0210_B_PAGE_NO</t>
    <phoneticPr fontId="2"/>
  </si>
  <si>
    <t>総ページ数</t>
    <rPh sb="0" eb="1">
      <t>ソウ</t>
    </rPh>
    <rPh sb="4" eb="5">
      <t>スウ</t>
    </rPh>
    <phoneticPr fontId="24"/>
  </si>
  <si>
    <t>UNJC0210_B_ALL_PAGE_NUM</t>
    <phoneticPr fontId="2"/>
  </si>
  <si>
    <t>表示件数</t>
    <rPh sb="0" eb="2">
      <t>ヒョウジ</t>
    </rPh>
    <rPh sb="2" eb="4">
      <t>ケンスウ</t>
    </rPh>
    <phoneticPr fontId="24"/>
  </si>
  <si>
    <t>UNJC0210_B_VIEW_NUM</t>
    <phoneticPr fontId="2"/>
  </si>
  <si>
    <t>リスト表示件数</t>
    <rPh sb="3" eb="5">
      <t>ヒョウジ</t>
    </rPh>
    <rPh sb="5" eb="7">
      <t>ケンスウ</t>
    </rPh>
    <phoneticPr fontId="2"/>
  </si>
  <si>
    <t>次ページ番号</t>
    <rPh sb="0" eb="1">
      <t>ツギ</t>
    </rPh>
    <rPh sb="4" eb="6">
      <t>バンゴウ</t>
    </rPh>
    <phoneticPr fontId="24"/>
  </si>
  <si>
    <t>UNJC0210_B_NEXT_PAGE_NO</t>
    <phoneticPr fontId="2"/>
  </si>
  <si>
    <t>前ページ番号</t>
    <rPh sb="0" eb="1">
      <t>マエ</t>
    </rPh>
    <rPh sb="4" eb="6">
      <t>バンゴウ</t>
    </rPh>
    <phoneticPr fontId="24"/>
  </si>
  <si>
    <t>UNJC0210_B_PREV_PAGE_NO</t>
    <phoneticPr fontId="2"/>
  </si>
  <si>
    <t>SQL</t>
    <phoneticPr fontId="2"/>
  </si>
  <si>
    <t>データ展開開始位置</t>
    <rPh sb="3" eb="5">
      <t>テンカイ</t>
    </rPh>
    <rPh sb="5" eb="7">
      <t>カイシ</t>
    </rPh>
    <rPh sb="7" eb="9">
      <t>イチ</t>
    </rPh>
    <phoneticPr fontId="24"/>
  </si>
  <si>
    <t>UNJC0210_B_DATA_START</t>
    <phoneticPr fontId="2"/>
  </si>
  <si>
    <t>マクロ用</t>
    <rPh sb="3" eb="4">
      <t>ヨウ</t>
    </rPh>
    <phoneticPr fontId="2"/>
  </si>
  <si>
    <t>非表示行</t>
    <rPh sb="0" eb="3">
      <t>ヒヒョウジ</t>
    </rPh>
    <rPh sb="3" eb="4">
      <t>ギョウ</t>
    </rPh>
    <phoneticPr fontId="24"/>
  </si>
  <si>
    <t>UNJC0210_B_HIDE_ROW</t>
    <phoneticPr fontId="2"/>
  </si>
  <si>
    <t>非表示列</t>
    <rPh sb="0" eb="3">
      <t>ヒヒョウジ</t>
    </rPh>
    <rPh sb="3" eb="4">
      <t>レツ</t>
    </rPh>
    <phoneticPr fontId="24"/>
  </si>
  <si>
    <t>UNJC0210_B_HIDE_COLUMN</t>
    <phoneticPr fontId="2"/>
  </si>
  <si>
    <t>ウィンドウ固定位置</t>
    <rPh sb="5" eb="7">
      <t>コテイ</t>
    </rPh>
    <rPh sb="7" eb="9">
      <t>イチ</t>
    </rPh>
    <phoneticPr fontId="24"/>
  </si>
  <si>
    <t>UNJC0210_B_SCROLL_LOCK</t>
    <phoneticPr fontId="2"/>
  </si>
  <si>
    <t>書式コピー</t>
    <rPh sb="0" eb="2">
      <t>ショシキ</t>
    </rPh>
    <phoneticPr fontId="2"/>
  </si>
  <si>
    <t>書式コピー先</t>
    <rPh sb="0" eb="2">
      <t>ショシキ</t>
    </rPh>
    <rPh sb="5" eb="6">
      <t>サキ</t>
    </rPh>
    <phoneticPr fontId="24"/>
  </si>
  <si>
    <t>UNJC0210_B_BODY_COPY_SAKI</t>
    <phoneticPr fontId="2"/>
  </si>
  <si>
    <t>チェックボックスコピー先</t>
    <rPh sb="11" eb="12">
      <t>サキ</t>
    </rPh>
    <phoneticPr fontId="24"/>
  </si>
  <si>
    <t>UNJC0210_B_BODY_CHECK_COPY_SAKI</t>
    <phoneticPr fontId="2"/>
  </si>
  <si>
    <t>ボタン制御</t>
    <rPh sb="3" eb="5">
      <t>セイギョ</t>
    </rPh>
    <phoneticPr fontId="2"/>
  </si>
  <si>
    <t>次ページ移動判断</t>
  </si>
  <si>
    <t>UNJC0210_B_EXIST_NEXT_PAGE</t>
    <phoneticPr fontId="2"/>
  </si>
  <si>
    <t>前ページ移動判断</t>
  </si>
  <si>
    <t>UNJC0210_B_EXIST_PREV_PAGE</t>
    <phoneticPr fontId="2"/>
  </si>
  <si>
    <t>【処理用】</t>
    <rPh sb="1" eb="3">
      <t>ショリ</t>
    </rPh>
    <rPh sb="3" eb="4">
      <t>ヨウ</t>
    </rPh>
    <phoneticPr fontId="2"/>
  </si>
  <si>
    <t>【ヘッダコピー元書式】</t>
    <rPh sb="7" eb="8">
      <t>モト</t>
    </rPh>
    <rPh sb="8" eb="10">
      <t>ショシキ</t>
    </rPh>
    <phoneticPr fontId="2"/>
  </si>
  <si>
    <t>UNJC0210_IF_EXCEL_LIST_COPY_MOTO</t>
    <phoneticPr fontId="2"/>
  </si>
  <si>
    <t>UNJC0210_IF_BODY_COPY_MOTO</t>
    <phoneticPr fontId="2"/>
  </si>
  <si>
    <t>UNJC0210_IF_INIT_HEADER_COPY_MOTO</t>
    <phoneticPr fontId="2"/>
  </si>
  <si>
    <t>UNJC0210_IF_BODY_CHECK_COPY_MOTO</t>
    <phoneticPr fontId="2"/>
  </si>
  <si>
    <t>UNJC0210_IF_EXCEL_DATA_CNT</t>
  </si>
  <si>
    <t>UNJC0210_IF_EXCEL_LIST_START</t>
    <phoneticPr fontId="2"/>
  </si>
  <si>
    <t>UNJC0210_IF_ACTIVE_SHEET</t>
    <phoneticPr fontId="2"/>
  </si>
  <si>
    <t>UNJC0210_IF_EXCEL_COPY_SAKI</t>
    <phoneticPr fontId="2"/>
  </si>
  <si>
    <t>UNJC0210_IF_ACTIVE_ROW</t>
    <phoneticPr fontId="2"/>
  </si>
  <si>
    <t>UNJC0210_IF_INIT_HEADER_FLG_COPY_MOTO</t>
    <phoneticPr fontId="2"/>
  </si>
  <si>
    <t>UNJC0210_IF_EXCEL_FILE_NAME</t>
    <phoneticPr fontId="2"/>
  </si>
  <si>
    <t>UNJC0210_IF_ACTIVE_COLUMN</t>
    <phoneticPr fontId="2"/>
  </si>
  <si>
    <t>UNJC0210_IF_ACTIVE_CELL_NAME</t>
    <phoneticPr fontId="2"/>
  </si>
  <si>
    <t>【処理判定】</t>
    <rPh sb="1" eb="3">
      <t>ショリ</t>
    </rPh>
    <rPh sb="3" eb="5">
      <t>ハンテイ</t>
    </rPh>
    <phoneticPr fontId="24"/>
  </si>
  <si>
    <t>ON:1 OFF:1以外</t>
    <phoneticPr fontId="2"/>
  </si>
  <si>
    <t>UNJC0210_IF_DATA_SEARCH_FLG</t>
    <phoneticPr fontId="2"/>
  </si>
  <si>
    <t>検索時必須チェック</t>
    <rPh sb="0" eb="2">
      <t>ケンサク</t>
    </rPh>
    <rPh sb="2" eb="3">
      <t>ジ</t>
    </rPh>
    <rPh sb="3" eb="5">
      <t>ヒッス</t>
    </rPh>
    <phoneticPr fontId="2"/>
  </si>
  <si>
    <t>UNJC0210_IF_SEARCH_CHECK</t>
    <phoneticPr fontId="2"/>
  </si>
  <si>
    <t>UNJC0210_IF_W_USER_ID</t>
    <phoneticPr fontId="2"/>
  </si>
  <si>
    <t>UNJC0210_IF_W_SERIAL</t>
    <phoneticPr fontId="2"/>
  </si>
  <si>
    <t>UNJC0210_IF_W_SERIAL_CREATE</t>
    <phoneticPr fontId="2"/>
  </si>
  <si>
    <t>UNJC0210_IF_W_MODE</t>
    <phoneticPr fontId="2"/>
  </si>
  <si>
    <t>【コンボボックス】</t>
    <phoneticPr fontId="2"/>
  </si>
  <si>
    <t>UNJC0210_IF_LIST_JOTAI_KENSU</t>
    <phoneticPr fontId="2"/>
  </si>
  <si>
    <t>UNJC0210_IF_LIST_JOTAI</t>
    <phoneticPr fontId="2"/>
  </si>
  <si>
    <t>「=OFFSET(UNJC0210_IF_LIST_JOTAI_TENKAIICHI,,,IF(UNJC0210_IF_LIST_JOTAI_KENSU=0,1,UNJC0210_IF_LIST_JOTAI_KENSU),1)」</t>
    <phoneticPr fontId="2"/>
  </si>
  <si>
    <t>UNJC0210_IF_LIST_JOTAI_TENKAIICHI</t>
    <phoneticPr fontId="2"/>
  </si>
  <si>
    <t>未入力</t>
    <rPh sb="0" eb="3">
      <t>ミニュウリョク</t>
    </rPh>
    <phoneticPr fontId="2"/>
  </si>
  <si>
    <t>表示用SQL</t>
    <rPh sb="0" eb="2">
      <t>ヒョウジ</t>
    </rPh>
    <rPh sb="2" eb="3">
      <t>ヨウ</t>
    </rPh>
    <phoneticPr fontId="2"/>
  </si>
  <si>
    <t>SQL文(全件カウント)</t>
    <rPh sb="3" eb="4">
      <t>ブン</t>
    </rPh>
    <rPh sb="5" eb="6">
      <t>ゼン</t>
    </rPh>
    <rPh sb="6" eb="7">
      <t>ケン</t>
    </rPh>
    <phoneticPr fontId="2"/>
  </si>
  <si>
    <t>UNJC0210_SQL_COUNT</t>
    <phoneticPr fontId="2"/>
  </si>
  <si>
    <t>SELECT(全件カウント)</t>
    <phoneticPr fontId="2"/>
  </si>
  <si>
    <t>SELECT COUNT(*)</t>
    <phoneticPr fontId="2"/>
  </si>
  <si>
    <t>SQL文(テーブル更新用)</t>
    <rPh sb="3" eb="4">
      <t>ブン</t>
    </rPh>
    <phoneticPr fontId="2"/>
  </si>
  <si>
    <t>UNJC0210_SQL_TABLE_UPDATE</t>
    <phoneticPr fontId="2"/>
  </si>
  <si>
    <t>SELECT(テーブル更新用)</t>
    <rPh sb="11" eb="13">
      <t>コウシン</t>
    </rPh>
    <rPh sb="13" eb="14">
      <t>ヨウ</t>
    </rPh>
    <phoneticPr fontId="2"/>
  </si>
  <si>
    <t>SELECT *</t>
    <phoneticPr fontId="2"/>
  </si>
  <si>
    <t>SQL文(表示用)</t>
    <rPh sb="3" eb="4">
      <t>ブン</t>
    </rPh>
    <phoneticPr fontId="2"/>
  </si>
  <si>
    <t>UNJC0210_SQL_DISP_LIST</t>
    <phoneticPr fontId="2"/>
  </si>
  <si>
    <t>SELECT(表示用)</t>
    <rPh sb="7" eb="9">
      <t>ヒョウジ</t>
    </rPh>
    <rPh sb="9" eb="10">
      <t>ヨウ</t>
    </rPh>
    <phoneticPr fontId="2"/>
  </si>
  <si>
    <t xml:space="preserve">SELECT SELECT_FLG
      ,W_USER_ID
      ,W_SERIAL
      ,W_ROW
      ,URAGAKI_PRINT_DISP
      ,IRAI_DATE
      ,KANRYO_DATE
      ,CHUKAN_DATE_1
      ,KANSEI_DATE
      ,NOHIN_DATE
      ,JURI_NO
      ,JURI_EDA_NO
      ,BUSHO_MEI
      ,ATENA
      ,SEIKYU_MEI
      ,BUNSEKI_HOHO
      ,SHIRYO_SHURUI
      ,SHIRYO_MEI
      ,BUNSEKI_MEI
      ,STATE_MEI
      ,SOKUTEI_DATE
      ,SOKUTEISHA_MEI
      ,K_BIKO
</t>
    <phoneticPr fontId="2"/>
  </si>
  <si>
    <t>SQL文(Excel出力用)</t>
    <rPh sb="3" eb="4">
      <t>ブン</t>
    </rPh>
    <rPh sb="10" eb="12">
      <t>シュツリョク</t>
    </rPh>
    <rPh sb="12" eb="13">
      <t>ヨウ</t>
    </rPh>
    <phoneticPr fontId="2"/>
  </si>
  <si>
    <t>UNJC0210_SQL_EXCEL_LOAD</t>
    <phoneticPr fontId="2"/>
  </si>
  <si>
    <t>SELECT(Excel出力用)</t>
    <phoneticPr fontId="2"/>
  </si>
  <si>
    <t xml:space="preserve">SELECT SELECT_FLG
      ,URAGAKI_PRINT_DISP
      ,IRAI_DATE
      ,KANRYO_DATE
      ,CHUKAN_DATE_1
      ,KANSEI_DATE
      ,NOHIN_DATE
      ,JURI_NO
      ,JURI_EDA_NO
      ,BUSHO_MEI
      ,ATENA
      ,SEIKYU_MEI
      ,BUNSEKI_HOHO
      ,SHIRYO_SHURUI
      ,SHIRYO_MEI
      ,BUNSEKI_MEI
      ,STATE_MEI
      ,SOKUTEI_DATE
      ,SOKUTEISHA_MEI
      ,K_BIKO
</t>
    <phoneticPr fontId="2"/>
  </si>
  <si>
    <t>帳票出力用</t>
    <rPh sb="0" eb="2">
      <t>チョウヒョウ</t>
    </rPh>
    <rPh sb="2" eb="4">
      <t>シュツリョク</t>
    </rPh>
    <rPh sb="4" eb="5">
      <t>ヨウ</t>
    </rPh>
    <phoneticPr fontId="2"/>
  </si>
  <si>
    <t>SQL文(帳票出力用)</t>
    <rPh sb="3" eb="4">
      <t>ブン</t>
    </rPh>
    <rPh sb="5" eb="7">
      <t>チョウヒョウ</t>
    </rPh>
    <rPh sb="7" eb="9">
      <t>シュツリョク</t>
    </rPh>
    <rPh sb="9" eb="10">
      <t>ヨウ</t>
    </rPh>
    <phoneticPr fontId="2"/>
  </si>
  <si>
    <t>UNJC0210_SQL_PRINT_LOAD</t>
    <phoneticPr fontId="2"/>
  </si>
  <si>
    <t xml:space="preserve">
  LEFT JOIN
       T_KOMOKU_SAMPLE
    ON T_KOMOKU_SAMPLE.JURI_NO = W_URAGAKI_LABEL.JURI_NO
   AND T_KOMOKU_SAMPLE.JURI_EDA_NO = W_URAGAKI_LABEL.JURI_EDA_NO
   AND T_KOMOKU_SAMPLE.SEQ = W_URAGAKI_LABEL.SEQ</t>
    <phoneticPr fontId="2"/>
  </si>
  <si>
    <t>SQL文(項目別サンプルマスタ登録値)</t>
    <rPh sb="3" eb="4">
      <t>ブン</t>
    </rPh>
    <rPh sb="5" eb="7">
      <t>コウモク</t>
    </rPh>
    <rPh sb="7" eb="8">
      <t>ベツ</t>
    </rPh>
    <rPh sb="15" eb="17">
      <t>トウロク</t>
    </rPh>
    <rPh sb="17" eb="18">
      <t>アタイ</t>
    </rPh>
    <phoneticPr fontId="2"/>
  </si>
  <si>
    <t>UNJC0210_SQL_PRINT_SAMPLE_DATA</t>
    <phoneticPr fontId="2"/>
  </si>
  <si>
    <t xml:space="preserve">
  FROM M_KOMOKU_SAMPLE</t>
    <phoneticPr fontId="2"/>
  </si>
  <si>
    <t>SQL文(選択数カウント)</t>
    <rPh sb="3" eb="4">
      <t>ブン</t>
    </rPh>
    <rPh sb="5" eb="7">
      <t>センタク</t>
    </rPh>
    <rPh sb="7" eb="8">
      <t>スウ</t>
    </rPh>
    <phoneticPr fontId="2"/>
  </si>
  <si>
    <t>UNJC0210_SQL_PRINT_COUNT</t>
    <phoneticPr fontId="2"/>
  </si>
  <si>
    <t>SELECT(選択数カウント)</t>
    <rPh sb="7" eb="9">
      <t>センタク</t>
    </rPh>
    <rPh sb="9" eb="10">
      <t>スウ</t>
    </rPh>
    <phoneticPr fontId="2"/>
  </si>
  <si>
    <t>共通項目</t>
    <rPh sb="0" eb="2">
      <t>キョウツウ</t>
    </rPh>
    <rPh sb="2" eb="4">
      <t>コウモク</t>
    </rPh>
    <phoneticPr fontId="2"/>
  </si>
  <si>
    <t xml:space="preserve">
  FROM W_URAGAKI_LABEL</t>
    <phoneticPr fontId="2"/>
  </si>
  <si>
    <t xml:space="preserve"> ORDER BY JURI_NO ASC ,JURI_EDA_NO ASC</t>
    <phoneticPr fontId="2"/>
  </si>
  <si>
    <t>UNJC0210_SQL_SORT</t>
    <phoneticPr fontId="2"/>
  </si>
  <si>
    <t>PAGE</t>
    <phoneticPr fontId="2"/>
  </si>
  <si>
    <t>ワークへデータ設定</t>
    <rPh sb="7" eb="9">
      <t>セッテイ</t>
    </rPh>
    <phoneticPr fontId="2"/>
  </si>
  <si>
    <t>SQL文(読込ストアド)</t>
    <rPh sb="3" eb="4">
      <t>ブン</t>
    </rPh>
    <rPh sb="5" eb="7">
      <t>ヨミコミ</t>
    </rPh>
    <phoneticPr fontId="2"/>
  </si>
  <si>
    <t>UNJC0210_SQL_SEARCH_LOAD</t>
    <phoneticPr fontId="2"/>
  </si>
  <si>
    <t>商品分類区分CD</t>
  </si>
  <si>
    <t>UNJC0210_H_SYOUHIN_BUNRUI_CD_S・UNJC0210_H_SYOUHIN_BUNRUI_MEI_S</t>
    <phoneticPr fontId="2"/>
  </si>
  <si>
    <t>状態・エンド</t>
  </si>
  <si>
    <t>印刷済フラグ</t>
    <rPh sb="0" eb="2">
      <t>インサツ</t>
    </rPh>
    <rPh sb="2" eb="3">
      <t>ス</t>
    </rPh>
    <phoneticPr fontId="2"/>
  </si>
  <si>
    <t>UNJC0210_H_PRINT_VIEW_S</t>
  </si>
  <si>
    <t>UNJC0210_H_JURI_NO_S</t>
  </si>
  <si>
    <t>UNJC0210_H_EDA_S</t>
  </si>
  <si>
    <t>担当部署名CD</t>
  </si>
  <si>
    <t>UNJC0210_H_BUSHO_CD_S・UNJC0210_H_BUSHO_MEI_S</t>
    <phoneticPr fontId="2"/>
  </si>
  <si>
    <t>分析項目名CD</t>
  </si>
  <si>
    <t>UNJC0210_H_BUNSEKI_HOHO_S</t>
  </si>
  <si>
    <t>UNJC0210_H_SIRYO_SHURUI_S</t>
  </si>
  <si>
    <t>UNJC0210_H_SIRYO_MEI_S</t>
  </si>
  <si>
    <t>UNJC0210_H_NYURYOKU_DATE_START_S</t>
  </si>
  <si>
    <t>UNJC0210_H_NYURYOKU_DATE_END_S</t>
  </si>
  <si>
    <t>UNJC0210_H_KANRYO_DATE_START_S</t>
  </si>
  <si>
    <t>UNJC0210_H_KANRYO_DATE_END_S</t>
  </si>
  <si>
    <t>UNJC0210_H_HOUKOKU_DATE_START_S</t>
  </si>
  <si>
    <t>UNJC0210_H_HOUKOKU_DATE_END_S</t>
  </si>
  <si>
    <t>UNJC0210_H_SOKUHOU_DATE_START_S</t>
  </si>
  <si>
    <t>UNJC0210_H_SOKUHOU_DATE_END_S</t>
  </si>
  <si>
    <t>納品日・スタート</t>
  </si>
  <si>
    <t>UNJC0210_H_NOUHIN_DATE_START_S</t>
  </si>
  <si>
    <t>納品日・エンド</t>
  </si>
  <si>
    <t>UNJC0210_H_NOUHIN_DATE_END_S</t>
  </si>
  <si>
    <t>測定者CD</t>
  </si>
  <si>
    <t>UNJC0210_H_SOKUTEI_SHA_CD_S・UNJC0210_H_SOKUTEI_SHA_MEI_S</t>
    <phoneticPr fontId="2"/>
  </si>
  <si>
    <t>UNJC0210_H_SOKUTEI_DATE_START_S</t>
  </si>
  <si>
    <t>UNJC0210_H_SOKUTEI_DATE_END_S</t>
  </si>
  <si>
    <t>UNJC0210_H_ATENA_CD_S</t>
  </si>
  <si>
    <t>UNJC0210_H_ATENA_S</t>
  </si>
  <si>
    <t>UNJC0210_H_SEIKYU_CD_S・UNJC0210_H_SEIKYU_MEI_S</t>
    <phoneticPr fontId="2"/>
  </si>
  <si>
    <t>UNJC0210_H_FREEWD_KBN_S</t>
  </si>
  <si>
    <t>UNJC0210_H_FREEWD_1_S</t>
  </si>
  <si>
    <t>UNJC0210_H_FREEWD_3_S</t>
  </si>
  <si>
    <t>フリーワード条件</t>
    <rPh sb="6" eb="8">
      <t>ジョウケン</t>
    </rPh>
    <phoneticPr fontId="2"/>
  </si>
  <si>
    <t>ポップアップ用</t>
    <rPh sb="6" eb="7">
      <t>ヨウ</t>
    </rPh>
    <phoneticPr fontId="2"/>
  </si>
  <si>
    <t>並べ替え選択</t>
    <rPh sb="0" eb="1">
      <t>ナラ</t>
    </rPh>
    <rPh sb="2" eb="3">
      <t>カ</t>
    </rPh>
    <rPh sb="4" eb="6">
      <t>センタク</t>
    </rPh>
    <phoneticPr fontId="2"/>
  </si>
  <si>
    <t>SELECT M_MEISHO_B.DATA_1        AS 並べ替え
      ,M_MEISHO_B.DATA_2        AS ORDER句
  FROM M_MEISHO_B
 WHERE MEISHO_KBN = 'O306'
 ORDER BY M_MEISHO_B.SORT_NO ASC
      ,CAST(M_MEISHO_B.MEISHO_CD AS INT) ASC</t>
    <phoneticPr fontId="2"/>
  </si>
  <si>
    <t>UNJC0210_SQL_SORT_SEARCH</t>
    <phoneticPr fontId="2"/>
  </si>
  <si>
    <t>商品分類区分選択</t>
    <rPh sb="0" eb="2">
      <t>ショウヒン</t>
    </rPh>
    <rPh sb="2" eb="4">
      <t>ブンルイ</t>
    </rPh>
    <rPh sb="4" eb="6">
      <t>クブン</t>
    </rPh>
    <rPh sb="6" eb="8">
      <t>センタク</t>
    </rPh>
    <phoneticPr fontId="2"/>
  </si>
  <si>
    <t>UNJC0210_SQL_SHOHIN_BUNRUI_SEARCH</t>
    <phoneticPr fontId="2"/>
  </si>
  <si>
    <t>その他</t>
    <rPh sb="2" eb="3">
      <t>タ</t>
    </rPh>
    <phoneticPr fontId="2"/>
  </si>
  <si>
    <t>初期ORDER句</t>
    <rPh sb="0" eb="2">
      <t>ショキ</t>
    </rPh>
    <rPh sb="7" eb="8">
      <t>ク</t>
    </rPh>
    <phoneticPr fontId="2"/>
  </si>
  <si>
    <t>SELECT DATA_2   AS ORDER句
  FROM M_MEISHO_B
 WHERE MEISHO_KBN = 'O306'
   AND MEISHO_CD  = '2'</t>
    <phoneticPr fontId="2"/>
  </si>
  <si>
    <t>UNJC0210_SQL_INIT_SORT</t>
    <phoneticPr fontId="2"/>
  </si>
  <si>
    <t>状態区分取得</t>
    <rPh sb="0" eb="2">
      <t>ジョウタイ</t>
    </rPh>
    <rPh sb="2" eb="4">
      <t>クブン</t>
    </rPh>
    <rPh sb="4" eb="6">
      <t>シュトク</t>
    </rPh>
    <phoneticPr fontId="2"/>
  </si>
  <si>
    <t>SELECT DATA_1
      ,MEISHO_CD
  FROM M_MEISHO_B
 WHERE MEISHO_KBN = 'K019'
 ORDER BY
       SORT_NO ASC
      ,CAST(MEISHO_CD AS INT)</t>
    <phoneticPr fontId="2"/>
  </si>
  <si>
    <t>UNJC0210_SQL_JOTAI_LIST</t>
    <phoneticPr fontId="2"/>
  </si>
  <si>
    <t>状態初期値取得</t>
    <rPh sb="0" eb="2">
      <t>ジョウタイ</t>
    </rPh>
    <rPh sb="2" eb="5">
      <t>ショキチ</t>
    </rPh>
    <rPh sb="5" eb="7">
      <t>シュトク</t>
    </rPh>
    <phoneticPr fontId="2"/>
  </si>
  <si>
    <t xml:space="preserve">SELECT DATA_1
  FROM M_MEISHO_B
 WHERE MEISHO_KBN = 'K019'
   AND MEISHO_CD  = '2'
</t>
    <phoneticPr fontId="2"/>
  </si>
  <si>
    <t>UNJC0210_SQL_DEFAULT_JOTAI</t>
    <phoneticPr fontId="2"/>
  </si>
  <si>
    <t>※参考表示、以下のセルはマクロでもdbSCでも使用しない</t>
    <rPh sb="1" eb="3">
      <t>サンコウ</t>
    </rPh>
    <rPh sb="3" eb="5">
      <t>ヒョウジ</t>
    </rPh>
    <rPh sb="6" eb="8">
      <t>イカ</t>
    </rPh>
    <rPh sb="23" eb="25">
      <t>シヨウ</t>
    </rPh>
    <phoneticPr fontId="2"/>
  </si>
  <si>
    <t>測定日：</t>
    <rPh sb="0" eb="2">
      <t>ソクテイ</t>
    </rPh>
    <rPh sb="2" eb="3">
      <t>ヒ</t>
    </rPh>
    <phoneticPr fontId="2"/>
  </si>
  <si>
    <t>YYYY/MM/DD</t>
    <phoneticPr fontId="2"/>
  </si>
  <si>
    <t>以降ループデータ</t>
    <phoneticPr fontId="2"/>
  </si>
  <si>
    <t>UNJC0210_PRINT_IF_COPY_AREA</t>
    <phoneticPr fontId="2"/>
  </si>
  <si>
    <t>測定者：</t>
    <rPh sb="0" eb="2">
      <t>ソクテイ</t>
    </rPh>
    <rPh sb="2" eb="3">
      <t>シャ</t>
    </rPh>
    <phoneticPr fontId="2"/>
  </si>
  <si>
    <t>商品分類コード</t>
    <rPh sb="0" eb="2">
      <t>ショウヒン</t>
    </rPh>
    <rPh sb="2" eb="4">
      <t>ブンルイ</t>
    </rPh>
    <phoneticPr fontId="2"/>
  </si>
  <si>
    <t>測定日</t>
    <rPh sb="0" eb="3">
      <t>ソクテイビ</t>
    </rPh>
    <phoneticPr fontId="2"/>
  </si>
  <si>
    <t>分析フロー</t>
    <rPh sb="0" eb="2">
      <t>ブンセキ</t>
    </rPh>
    <phoneticPr fontId="2"/>
  </si>
  <si>
    <t>請求先</t>
    <rPh sb="0" eb="3">
      <t>セイキュウサキ</t>
    </rPh>
    <phoneticPr fontId="2"/>
  </si>
  <si>
    <t>UNJC0210_PRINT_IF_COPY_AREA_SUB</t>
    <phoneticPr fontId="2"/>
  </si>
  <si>
    <t>：</t>
    <phoneticPr fontId="2"/>
  </si>
  <si>
    <t>A</t>
  </si>
  <si>
    <t>容器No</t>
    <rPh sb="0" eb="2">
      <t>ヨウキ</t>
    </rPh>
    <phoneticPr fontId="2"/>
  </si>
  <si>
    <t>テスト太郎</t>
    <rPh sb="3" eb="5">
      <t>タロウ</t>
    </rPh>
    <phoneticPr fontId="2"/>
  </si>
  <si>
    <t>分析項目名１</t>
    <rPh sb="0" eb="2">
      <t>ブンセキ</t>
    </rPh>
    <rPh sb="2" eb="4">
      <t>コウモク</t>
    </rPh>
    <rPh sb="4" eb="5">
      <t>メイ</t>
    </rPh>
    <phoneticPr fontId="2"/>
  </si>
  <si>
    <t>フロー１</t>
    <phoneticPr fontId="2"/>
  </si>
  <si>
    <t>宛名１</t>
    <rPh sb="0" eb="2">
      <t>アテナ</t>
    </rPh>
    <phoneticPr fontId="2"/>
  </si>
  <si>
    <t>請求先１</t>
    <rPh sb="0" eb="3">
      <t>セイキュウサキ</t>
    </rPh>
    <phoneticPr fontId="2"/>
  </si>
  <si>
    <t>テスト試料名１</t>
    <rPh sb="3" eb="5">
      <t>シリョウ</t>
    </rPh>
    <rPh sb="5" eb="6">
      <t>メイ</t>
    </rPh>
    <phoneticPr fontId="2"/>
  </si>
  <si>
    <t>山本</t>
    <rPh sb="0" eb="2">
      <t>ヤマモト</t>
    </rPh>
    <phoneticPr fontId="2"/>
  </si>
  <si>
    <t>UNJC0210_PRINT_IF_PASTE_AREA</t>
    <phoneticPr fontId="2"/>
  </si>
  <si>
    <t>Ｘ（３０）ＸＸＸＸＸＸＸＸＸＸＸＸＸＸＸＸＸＸＸＸＸ</t>
    <phoneticPr fontId="2"/>
  </si>
  <si>
    <t>B</t>
  </si>
  <si>
    <t>水温(℃)</t>
    <rPh sb="0" eb="2">
      <t>スイオン</t>
    </rPh>
    <phoneticPr fontId="2"/>
  </si>
  <si>
    <t>分析項目名２</t>
    <rPh sb="0" eb="2">
      <t>ブンセキ</t>
    </rPh>
    <rPh sb="2" eb="4">
      <t>コウモク</t>
    </rPh>
    <rPh sb="4" eb="5">
      <t>メイ</t>
    </rPh>
    <phoneticPr fontId="2"/>
  </si>
  <si>
    <t>フロー２</t>
  </si>
  <si>
    <t>宛名２</t>
    <rPh sb="0" eb="2">
      <t>アテナ</t>
    </rPh>
    <phoneticPr fontId="2"/>
  </si>
  <si>
    <t>請求先２</t>
    <rPh sb="0" eb="3">
      <t>セイキュウサキ</t>
    </rPh>
    <phoneticPr fontId="2"/>
  </si>
  <si>
    <t>テスト試料名２</t>
    <rPh sb="3" eb="5">
      <t>シリョウ</t>
    </rPh>
    <rPh sb="5" eb="6">
      <t>メイ</t>
    </rPh>
    <phoneticPr fontId="2"/>
  </si>
  <si>
    <t>UNJC0210_PRINT_IF_PASTE_AREA_SUB</t>
    <phoneticPr fontId="2"/>
  </si>
  <si>
    <t>C</t>
  </si>
  <si>
    <t>測定値1回目</t>
    <rPh sb="0" eb="3">
      <t>ソクテイチ</t>
    </rPh>
    <rPh sb="4" eb="5">
      <t>カイ</t>
    </rPh>
    <rPh sb="5" eb="6">
      <t>メ</t>
    </rPh>
    <phoneticPr fontId="2"/>
  </si>
  <si>
    <t>JYY-MM9999</t>
  </si>
  <si>
    <t>分析項目名３</t>
    <rPh sb="0" eb="2">
      <t>ブンセキ</t>
    </rPh>
    <rPh sb="2" eb="4">
      <t>コウモク</t>
    </rPh>
    <rPh sb="4" eb="5">
      <t>メイ</t>
    </rPh>
    <phoneticPr fontId="2"/>
  </si>
  <si>
    <t>フロー３</t>
  </si>
  <si>
    <t>宛名３</t>
    <rPh sb="0" eb="2">
      <t>アテナ</t>
    </rPh>
    <phoneticPr fontId="2"/>
  </si>
  <si>
    <t>請求先３</t>
    <rPh sb="0" eb="3">
      <t>セイキュウサキ</t>
    </rPh>
    <phoneticPr fontId="2"/>
  </si>
  <si>
    <t>テスト試料名３</t>
    <rPh sb="3" eb="5">
      <t>シリョウ</t>
    </rPh>
    <rPh sb="5" eb="6">
      <t>メイ</t>
    </rPh>
    <phoneticPr fontId="2"/>
  </si>
  <si>
    <t>D</t>
  </si>
  <si>
    <t>測定値2回目</t>
    <rPh sb="0" eb="3">
      <t>ソクテイチ</t>
    </rPh>
    <rPh sb="4" eb="6">
      <t>カイメ</t>
    </rPh>
    <phoneticPr fontId="2"/>
  </si>
  <si>
    <t>分析項目名４</t>
    <rPh sb="0" eb="2">
      <t>ブンセキ</t>
    </rPh>
    <rPh sb="2" eb="4">
      <t>コウモク</t>
    </rPh>
    <rPh sb="4" eb="5">
      <t>メイ</t>
    </rPh>
    <phoneticPr fontId="2"/>
  </si>
  <si>
    <t>フロー４</t>
  </si>
  <si>
    <t>宛名４</t>
    <rPh sb="0" eb="2">
      <t>アテナ</t>
    </rPh>
    <phoneticPr fontId="2"/>
  </si>
  <si>
    <t>請求先４</t>
    <rPh sb="0" eb="3">
      <t>セイキュウサキ</t>
    </rPh>
    <phoneticPr fontId="2"/>
  </si>
  <si>
    <t>テスト試料名４</t>
    <rPh sb="3" eb="5">
      <t>シリョウ</t>
    </rPh>
    <rPh sb="5" eb="6">
      <t>メイ</t>
    </rPh>
    <phoneticPr fontId="2"/>
  </si>
  <si>
    <t>マスタリストクリア範囲</t>
    <rPh sb="9" eb="11">
      <t>ハンイ</t>
    </rPh>
    <phoneticPr fontId="1"/>
  </si>
  <si>
    <t>UNJC0210_PRINT_IF_MASTER_LIST_CLEAR</t>
    <phoneticPr fontId="2"/>
  </si>
  <si>
    <t>E</t>
  </si>
  <si>
    <t>測定値3回目</t>
    <rPh sb="0" eb="3">
      <t>ソクテイチ</t>
    </rPh>
    <rPh sb="4" eb="6">
      <t>カイメ</t>
    </rPh>
    <phoneticPr fontId="2"/>
  </si>
  <si>
    <t>分析項目名５</t>
    <rPh sb="0" eb="2">
      <t>ブンセキ</t>
    </rPh>
    <rPh sb="2" eb="4">
      <t>コウモク</t>
    </rPh>
    <rPh sb="4" eb="5">
      <t>メイ</t>
    </rPh>
    <phoneticPr fontId="2"/>
  </si>
  <si>
    <t>フロー５</t>
  </si>
  <si>
    <t>宛名５</t>
    <rPh sb="0" eb="2">
      <t>アテナ</t>
    </rPh>
    <phoneticPr fontId="2"/>
  </si>
  <si>
    <t>請求先５</t>
    <rPh sb="0" eb="3">
      <t>セイキュウサキ</t>
    </rPh>
    <phoneticPr fontId="2"/>
  </si>
  <si>
    <t>テスト試料名５</t>
    <rPh sb="3" eb="5">
      <t>シリョウ</t>
    </rPh>
    <rPh sb="5" eb="6">
      <t>メイ</t>
    </rPh>
    <phoneticPr fontId="2"/>
  </si>
  <si>
    <t>データリストクリア範囲</t>
    <rPh sb="9" eb="11">
      <t>ハンイ</t>
    </rPh>
    <phoneticPr fontId="1"/>
  </si>
  <si>
    <t>UNJC0210_PRINT_IF_DATA_LIST_CLEAR</t>
    <phoneticPr fontId="2"/>
  </si>
  <si>
    <t>F</t>
  </si>
  <si>
    <t>計算値pH'</t>
    <rPh sb="0" eb="3">
      <t>ケイサンチ</t>
    </rPh>
    <phoneticPr fontId="2"/>
  </si>
  <si>
    <t>([C]+[D]+[E])/3</t>
  </si>
  <si>
    <t>分析項目名６</t>
    <rPh sb="0" eb="2">
      <t>ブンセキ</t>
    </rPh>
    <rPh sb="2" eb="4">
      <t>コウモク</t>
    </rPh>
    <rPh sb="4" eb="5">
      <t>メイ</t>
    </rPh>
    <phoneticPr fontId="2"/>
  </si>
  <si>
    <t>フロー６</t>
  </si>
  <si>
    <t>宛名６</t>
    <rPh sb="0" eb="2">
      <t>アテナ</t>
    </rPh>
    <phoneticPr fontId="2"/>
  </si>
  <si>
    <t>請求先６</t>
    <rPh sb="0" eb="3">
      <t>セイキュウサキ</t>
    </rPh>
    <phoneticPr fontId="2"/>
  </si>
  <si>
    <t>テスト試料名６</t>
    <rPh sb="3" eb="5">
      <t>シリョウ</t>
    </rPh>
    <rPh sb="5" eb="6">
      <t>メイ</t>
    </rPh>
    <phoneticPr fontId="2"/>
  </si>
  <si>
    <t>G</t>
  </si>
  <si>
    <t>結果pH</t>
    <rPh sb="0" eb="2">
      <t>ケッカ</t>
    </rPh>
    <phoneticPr fontId="2"/>
  </si>
  <si>
    <t>ROUND([F],1)</t>
  </si>
  <si>
    <t>分析項目名７</t>
    <rPh sb="0" eb="2">
      <t>ブンセキ</t>
    </rPh>
    <rPh sb="2" eb="4">
      <t>コウモク</t>
    </rPh>
    <rPh sb="4" eb="5">
      <t>メイ</t>
    </rPh>
    <phoneticPr fontId="2"/>
  </si>
  <si>
    <t>フロー７</t>
  </si>
  <si>
    <t>宛名７</t>
    <rPh sb="0" eb="2">
      <t>アテナ</t>
    </rPh>
    <phoneticPr fontId="2"/>
  </si>
  <si>
    <t>請求先７</t>
    <rPh sb="0" eb="3">
      <t>セイキュウサキ</t>
    </rPh>
    <phoneticPr fontId="2"/>
  </si>
  <si>
    <t>テスト試料名７</t>
    <rPh sb="3" eb="5">
      <t>シリョウ</t>
    </rPh>
    <rPh sb="5" eb="6">
      <t>メイ</t>
    </rPh>
    <phoneticPr fontId="2"/>
  </si>
  <si>
    <t>選択データ数</t>
    <rPh sb="0" eb="2">
      <t>センタク</t>
    </rPh>
    <rPh sb="5" eb="6">
      <t>スウ</t>
    </rPh>
    <phoneticPr fontId="2"/>
  </si>
  <si>
    <t>UNJC0210_PRINT_IF_PRINT_COUNT</t>
    <phoneticPr fontId="2"/>
  </si>
  <si>
    <t>H</t>
  </si>
  <si>
    <t>検査責任者</t>
    <rPh sb="0" eb="2">
      <t>ケンサ</t>
    </rPh>
    <rPh sb="2" eb="5">
      <t>セキニンシャ</t>
    </rPh>
    <phoneticPr fontId="2"/>
  </si>
  <si>
    <t>山本</t>
    <rPh sb="0" eb="2">
      <t>ヤマモト</t>
    </rPh>
    <phoneticPr fontId="26"/>
  </si>
  <si>
    <t>分析項目名８</t>
    <rPh sb="0" eb="2">
      <t>ブンセキ</t>
    </rPh>
    <rPh sb="2" eb="4">
      <t>コウモク</t>
    </rPh>
    <rPh sb="4" eb="5">
      <t>メイ</t>
    </rPh>
    <phoneticPr fontId="2"/>
  </si>
  <si>
    <t>フロー８</t>
  </si>
  <si>
    <t>宛名８</t>
    <rPh sb="0" eb="2">
      <t>アテナ</t>
    </rPh>
    <phoneticPr fontId="2"/>
  </si>
  <si>
    <t>請求先８</t>
    <rPh sb="0" eb="3">
      <t>セイキュウサキ</t>
    </rPh>
    <phoneticPr fontId="2"/>
  </si>
  <si>
    <t>テスト試料名８</t>
    <rPh sb="3" eb="5">
      <t>シリョウ</t>
    </rPh>
    <rPh sb="5" eb="6">
      <t>メイ</t>
    </rPh>
    <phoneticPr fontId="2"/>
  </si>
  <si>
    <t>分析項目名９</t>
    <rPh sb="0" eb="2">
      <t>ブンセキ</t>
    </rPh>
    <rPh sb="2" eb="4">
      <t>コウモク</t>
    </rPh>
    <rPh sb="4" eb="5">
      <t>メイ</t>
    </rPh>
    <phoneticPr fontId="2"/>
  </si>
  <si>
    <t>フロー９</t>
  </si>
  <si>
    <t>宛名９</t>
    <rPh sb="0" eb="2">
      <t>アテナ</t>
    </rPh>
    <phoneticPr fontId="2"/>
  </si>
  <si>
    <t>請求先９</t>
    <rPh sb="0" eb="3">
      <t>セイキュウサキ</t>
    </rPh>
    <phoneticPr fontId="2"/>
  </si>
  <si>
    <t>テスト試料名９</t>
    <rPh sb="3" eb="5">
      <t>シリョウ</t>
    </rPh>
    <rPh sb="5" eb="6">
      <t>メイ</t>
    </rPh>
    <phoneticPr fontId="2"/>
  </si>
  <si>
    <t>分析項目名１０</t>
    <rPh sb="0" eb="2">
      <t>ブンセキ</t>
    </rPh>
    <rPh sb="2" eb="4">
      <t>コウモク</t>
    </rPh>
    <rPh sb="4" eb="5">
      <t>メイ</t>
    </rPh>
    <phoneticPr fontId="2"/>
  </si>
  <si>
    <t>フロー１０</t>
  </si>
  <si>
    <t>宛名１０</t>
    <rPh sb="0" eb="2">
      <t>アテナ</t>
    </rPh>
    <phoneticPr fontId="2"/>
  </si>
  <si>
    <t>請求先１０</t>
    <rPh sb="0" eb="3">
      <t>セイキュウサキ</t>
    </rPh>
    <phoneticPr fontId="2"/>
  </si>
  <si>
    <t>テスト試料名１０</t>
    <rPh sb="3" eb="5">
      <t>シリョウ</t>
    </rPh>
    <rPh sb="5" eb="6">
      <t>メイ</t>
    </rPh>
    <phoneticPr fontId="2"/>
  </si>
  <si>
    <t>分析項目名１１</t>
    <rPh sb="0" eb="2">
      <t>ブンセキ</t>
    </rPh>
    <rPh sb="2" eb="4">
      <t>コウモク</t>
    </rPh>
    <rPh sb="4" eb="5">
      <t>メイ</t>
    </rPh>
    <phoneticPr fontId="2"/>
  </si>
  <si>
    <t>フロー１１</t>
  </si>
  <si>
    <t>宛名１１</t>
    <rPh sb="0" eb="2">
      <t>アテナ</t>
    </rPh>
    <phoneticPr fontId="2"/>
  </si>
  <si>
    <t>請求先１１</t>
    <rPh sb="0" eb="3">
      <t>セイキュウサキ</t>
    </rPh>
    <phoneticPr fontId="2"/>
  </si>
  <si>
    <t>テスト試料名１１</t>
    <rPh sb="3" eb="5">
      <t>シリョウ</t>
    </rPh>
    <rPh sb="5" eb="6">
      <t>メイ</t>
    </rPh>
    <phoneticPr fontId="2"/>
  </si>
  <si>
    <t>分析項目名１２</t>
    <rPh sb="0" eb="2">
      <t>ブンセキ</t>
    </rPh>
    <rPh sb="2" eb="4">
      <t>コウモク</t>
    </rPh>
    <rPh sb="4" eb="5">
      <t>メイ</t>
    </rPh>
    <phoneticPr fontId="2"/>
  </si>
  <si>
    <t>フロー１２</t>
  </si>
  <si>
    <t>宛名１２</t>
    <rPh sb="0" eb="2">
      <t>アテナ</t>
    </rPh>
    <phoneticPr fontId="2"/>
  </si>
  <si>
    <t>請求先１２</t>
    <rPh sb="0" eb="3">
      <t>セイキュウサキ</t>
    </rPh>
    <phoneticPr fontId="2"/>
  </si>
  <si>
    <t>テスト試料名１２</t>
    <rPh sb="3" eb="5">
      <t>シリョウ</t>
    </rPh>
    <rPh sb="5" eb="6">
      <t>メイ</t>
    </rPh>
    <phoneticPr fontId="2"/>
  </si>
  <si>
    <t>分析項目名１３</t>
    <rPh sb="0" eb="2">
      <t>ブンセキ</t>
    </rPh>
    <rPh sb="2" eb="4">
      <t>コウモク</t>
    </rPh>
    <rPh sb="4" eb="5">
      <t>メイ</t>
    </rPh>
    <phoneticPr fontId="2"/>
  </si>
  <si>
    <t>フロー１３</t>
  </si>
  <si>
    <t>宛名１３</t>
    <rPh sb="0" eb="2">
      <t>アテナ</t>
    </rPh>
    <phoneticPr fontId="2"/>
  </si>
  <si>
    <t>請求先１３</t>
    <rPh sb="0" eb="3">
      <t>セイキュウサキ</t>
    </rPh>
    <phoneticPr fontId="2"/>
  </si>
  <si>
    <t>テスト試料名１３</t>
    <rPh sb="3" eb="5">
      <t>シリョウ</t>
    </rPh>
    <rPh sb="5" eb="6">
      <t>メイ</t>
    </rPh>
    <phoneticPr fontId="2"/>
  </si>
  <si>
    <t>分析項目名１４</t>
    <rPh sb="0" eb="2">
      <t>ブンセキ</t>
    </rPh>
    <rPh sb="2" eb="4">
      <t>コウモク</t>
    </rPh>
    <rPh sb="4" eb="5">
      <t>メイ</t>
    </rPh>
    <phoneticPr fontId="2"/>
  </si>
  <si>
    <t>フロー１４</t>
  </si>
  <si>
    <t>宛名１４</t>
    <rPh sb="0" eb="2">
      <t>アテナ</t>
    </rPh>
    <phoneticPr fontId="2"/>
  </si>
  <si>
    <t>請求先１４</t>
    <rPh sb="0" eb="3">
      <t>セイキュウサキ</t>
    </rPh>
    <phoneticPr fontId="2"/>
  </si>
  <si>
    <t>テスト試料名１４</t>
    <rPh sb="3" eb="5">
      <t>シリョウ</t>
    </rPh>
    <rPh sb="5" eb="6">
      <t>メイ</t>
    </rPh>
    <phoneticPr fontId="2"/>
  </si>
  <si>
    <t>分析項目名１５</t>
    <rPh sb="0" eb="2">
      <t>ブンセキ</t>
    </rPh>
    <rPh sb="2" eb="4">
      <t>コウモク</t>
    </rPh>
    <rPh sb="4" eb="5">
      <t>メイ</t>
    </rPh>
    <phoneticPr fontId="2"/>
  </si>
  <si>
    <t>フロー１５</t>
  </si>
  <si>
    <t>宛名１５</t>
    <rPh sb="0" eb="2">
      <t>アテナ</t>
    </rPh>
    <phoneticPr fontId="2"/>
  </si>
  <si>
    <t>請求先１５</t>
    <rPh sb="0" eb="3">
      <t>セイキュウサキ</t>
    </rPh>
    <phoneticPr fontId="2"/>
  </si>
  <si>
    <t>テスト試料名１５</t>
    <rPh sb="3" eb="5">
      <t>シリョウ</t>
    </rPh>
    <rPh sb="5" eb="6">
      <t>メイ</t>
    </rPh>
    <phoneticPr fontId="2"/>
  </si>
  <si>
    <t>JYY-MM0001</t>
    <phoneticPr fontId="2"/>
  </si>
  <si>
    <t>テスト次郎</t>
    <rPh sb="3" eb="5">
      <t>ジロウ</t>
    </rPh>
    <phoneticPr fontId="2"/>
  </si>
  <si>
    <t>分析項目名１</t>
    <phoneticPr fontId="2"/>
  </si>
  <si>
    <t>JYY-MM0002</t>
    <phoneticPr fontId="2"/>
  </si>
  <si>
    <t>テスト三郎</t>
    <rPh sb="3" eb="5">
      <t>サブロウ</t>
    </rPh>
    <phoneticPr fontId="2"/>
  </si>
  <si>
    <t>フロー１</t>
  </si>
  <si>
    <t>COLUMN_19</t>
    <phoneticPr fontId="2"/>
  </si>
  <si>
    <t>↓ベース作成、これをコピペして使用する</t>
    <rPh sb="4" eb="6">
      <t>サクセイ</t>
    </rPh>
    <rPh sb="15" eb="17">
      <t>シヨウ</t>
    </rPh>
    <phoneticPr fontId="2"/>
  </si>
  <si>
    <t>UNJC0190</t>
    <phoneticPr fontId="2"/>
  </si>
  <si>
    <t>UNJC0190_IF_MODE</t>
    <phoneticPr fontId="2"/>
  </si>
  <si>
    <t>UNJC0190_SQL_SYOHINBUNRUIKBN_SEARCH</t>
    <phoneticPr fontId="2"/>
  </si>
  <si>
    <t>コード検索用</t>
    <rPh sb="3" eb="5">
      <t>ケンサク</t>
    </rPh>
    <rPh sb="5" eb="6">
      <t>ヨウ</t>
    </rPh>
    <phoneticPr fontId="2"/>
  </si>
  <si>
    <t>商品分類区分取得SQL</t>
    <rPh sb="0" eb="2">
      <t>ショウヒン</t>
    </rPh>
    <rPh sb="2" eb="4">
      <t>ブンルイ</t>
    </rPh>
    <rPh sb="4" eb="6">
      <t>クブン</t>
    </rPh>
    <rPh sb="6" eb="8">
      <t>シュトク</t>
    </rPh>
    <phoneticPr fontId="2"/>
  </si>
  <si>
    <t>SELECT MEISHO_CD
      ,DATA_1     AS 商品分類区分名
  FROM M_MEISHO_B
 WHERE MEISHO_KBN = 'K025'
   AND MEISHO_CD  BETWEEN '</t>
    <phoneticPr fontId="2"/>
  </si>
  <si>
    <t>項目別サンプルリスト用の商品分類コード：最大値</t>
    <rPh sb="0" eb="2">
      <t>コウモク</t>
    </rPh>
    <rPh sb="2" eb="3">
      <t>ベツ</t>
    </rPh>
    <rPh sb="10" eb="11">
      <t>ヨウ</t>
    </rPh>
    <rPh sb="12" eb="14">
      <t>ショウヒン</t>
    </rPh>
    <rPh sb="14" eb="16">
      <t>ブンルイ</t>
    </rPh>
    <rPh sb="20" eb="23">
      <t>サイダイチ</t>
    </rPh>
    <phoneticPr fontId="2"/>
  </si>
  <si>
    <t>項目別サンプルリスト用の商品分類コード：最小値</t>
    <rPh sb="0" eb="2">
      <t>コウモク</t>
    </rPh>
    <rPh sb="2" eb="3">
      <t>ベツ</t>
    </rPh>
    <rPh sb="10" eb="11">
      <t>ヨウ</t>
    </rPh>
    <rPh sb="12" eb="14">
      <t>ショウヒン</t>
    </rPh>
    <rPh sb="14" eb="16">
      <t>ブンルイ</t>
    </rPh>
    <rPh sb="20" eb="23">
      <t>サイショウチ</t>
    </rPh>
    <phoneticPr fontId="2"/>
  </si>
  <si>
    <t>' AND '</t>
    <phoneticPr fontId="2"/>
  </si>
  <si>
    <t>UNJC0190_SQL_KOMOKU_SEARCH</t>
    <phoneticPr fontId="2"/>
  </si>
  <si>
    <t xml:space="preserve">'
</t>
    <phoneticPr fontId="2"/>
  </si>
  <si>
    <t xml:space="preserve"> ORDER BY
       SORT_NO ASC
      ,CAST(MEISHO_CD AS INT) ASC</t>
    <phoneticPr fontId="2"/>
  </si>
  <si>
    <t xml:space="preserve">   AND MEISHO_CD = M_SHOHIN.SHOHIN_BUNRUI
)
 ORDER BY
       M_SHOHIN.SHOHIN_CD
</t>
    <phoneticPr fontId="2"/>
  </si>
  <si>
    <t xml:space="preserve">SELECT M_SHOHIN.SHOHIN_CD    AS 分析項目CD
      ,M_SHOHIN.SHOHIN_MEI   AS 分析項目
      ,M_SHOHIN.BUNSEKI_TANI AS 単位
      ,M_SHOHIN.BUNSEKI_FLOW AS 分析フロー
  FROM M_SHOHIN
 WHERE M_SHOHIN.BUNSEKI_FLG  =  'True'
   AND M_SHOHIN.SHOKEIHI_FLG &lt;&gt; 'True'
   AND EXISTS
(
</t>
    <phoneticPr fontId="2"/>
  </si>
  <si>
    <t>JYY-MM0003</t>
  </si>
  <si>
    <t>JYY-MM0004</t>
  </si>
  <si>
    <t>JYY-MM0005</t>
  </si>
  <si>
    <t>JYY-MM0006</t>
  </si>
  <si>
    <t>JYY-MM0007</t>
  </si>
  <si>
    <t>JYY-MM0008</t>
  </si>
  <si>
    <t>入力済</t>
    <phoneticPr fontId="2"/>
  </si>
  <si>
    <t xml:space="preserve">SELECT M_SHAIN.SHAIN_CD     AS 社員CD
      ,M_MEISHO_B.DATA_1    AS 所属部署
      ,M_SHAIN.SHIMEI       AS 氏名
  FROM M_SHAIN
  LEFT JOIN
       M_MEISHO_B
    ON M_MEISHO_B.MEISHO_KBN = 'M001'
   AND M_MEISHO_B.MEISHO_CD  = M_SHAIN.BUSHO_CD
 WHERE M_SHAIN.MISHIYO_FLG = 'False'
 ORDER BY
       CAST(M_SHAIN.SHAIN_CD AS INT) ASC
</t>
    <phoneticPr fontId="2"/>
  </si>
  <si>
    <t>参照元受理No.：</t>
  </si>
  <si>
    <t>参照元受理No.：</t>
    <phoneticPr fontId="2"/>
  </si>
  <si>
    <t>削除(20160510)</t>
    <rPh sb="0" eb="2">
      <t>サクジョ</t>
    </rPh>
    <phoneticPr fontId="2"/>
  </si>
  <si>
    <t>製造(在庫有)フラグ</t>
  </si>
  <si>
    <t>UNJC1020_H_ZAIKO_ARI_FLG</t>
  </si>
  <si>
    <t>製造(在庫無)フラグ</t>
  </si>
  <si>
    <t>UNJC1020_H_ZAIKO_NASHI_FLG</t>
  </si>
  <si>
    <t>OEM・代理店フラグ</t>
  </si>
  <si>
    <t>UNJC1020_H_OEM_DAIRITEN_FLG</t>
  </si>
  <si>
    <t>工事フラグ</t>
  </si>
  <si>
    <t>UNJC1020_H_KOJI_FLG</t>
  </si>
  <si>
    <t>機械フラグ</t>
  </si>
  <si>
    <t>UNJC1020_H_KIKAI_FLG</t>
  </si>
  <si>
    <t>処理未フラグ</t>
  </si>
  <si>
    <t>UNJC1020_H_SHORIMI_FLG</t>
  </si>
  <si>
    <t>出荷準備完了フラグ</t>
  </si>
  <si>
    <t>UNJC1020_H_SHUKKA_FLG</t>
  </si>
  <si>
    <t>UNJC1020_H_DOKUGEKI_FLG</t>
  </si>
  <si>
    <t>UNJC1020_H_SAKUJO_FLG</t>
  </si>
  <si>
    <t>UNJC1020_H_EIGYO_TANTO_CD</t>
  </si>
  <si>
    <t>UNJC1020_H_NYURYOKU_CD</t>
  </si>
  <si>
    <t>UNJC1020_H_FREEWD_KBN</t>
  </si>
  <si>
    <t>不要(20160510)</t>
    <rPh sb="0" eb="2">
      <t>フヨウ</t>
    </rPh>
    <phoneticPr fontId="2"/>
  </si>
  <si>
    <t>報告先会社名</t>
    <rPh sb="0" eb="2">
      <t>ホウコク</t>
    </rPh>
    <rPh sb="2" eb="3">
      <t>サキ</t>
    </rPh>
    <rPh sb="3" eb="6">
      <t>カイシャメイ</t>
    </rPh>
    <phoneticPr fontId="2"/>
  </si>
  <si>
    <t xml:space="preserve">SELECT M_MEISHO_B.DATA_2   AS ORDER句
  FROM M_MEISHO_B
 WHERE M_MEISHO_B.MEISHO_KBN = 'O309'
   AND M_MEISHO_B.MEISHO_CD = '2'
</t>
    <phoneticPr fontId="2"/>
  </si>
  <si>
    <t>客先納期</t>
    <rPh sb="0" eb="2">
      <t>キャクサキ</t>
    </rPh>
    <rPh sb="2" eb="4">
      <t>ノウキ</t>
    </rPh>
    <phoneticPr fontId="2"/>
  </si>
  <si>
    <t>採取方法,採取場所,天候,気温,水温,採取日,採取時間,試料種類,試料名,一括記載m,一括記載n,分析項目郡CD,SEQ,行No.,分析項目CD</t>
    <phoneticPr fontId="2"/>
  </si>
  <si>
    <t>保存チェック開始位置</t>
    <rPh sb="0" eb="2">
      <t>ホゾン</t>
    </rPh>
    <rPh sb="6" eb="8">
      <t>カイシ</t>
    </rPh>
    <rPh sb="8" eb="10">
      <t>イチ</t>
    </rPh>
    <phoneticPr fontId="2"/>
  </si>
  <si>
    <t>工数</t>
    <rPh sb="0" eb="2">
      <t>コウスウ</t>
    </rPh>
    <phoneticPr fontId="2"/>
  </si>
  <si>
    <t>工数：</t>
    <rPh sb="0" eb="2">
      <t>コウスウ</t>
    </rPh>
    <phoneticPr fontId="2"/>
  </si>
  <si>
    <t>工数</t>
    <rPh sb="0" eb="2">
      <t>コウスウ</t>
    </rPh>
    <phoneticPr fontId="2"/>
  </si>
  <si>
    <t>分析項目名</t>
    <rPh sb="0" eb="2">
      <t>ブンセキ</t>
    </rPh>
    <rPh sb="2" eb="4">
      <t>コウモク</t>
    </rPh>
    <rPh sb="4" eb="5">
      <t>メイ</t>
    </rPh>
    <phoneticPr fontId="2"/>
  </si>
  <si>
    <t>納品方法実績</t>
    <rPh sb="0" eb="2">
      <t>ノウヒン</t>
    </rPh>
    <rPh sb="2" eb="4">
      <t>ホウホウ</t>
    </rPh>
    <rPh sb="4" eb="6">
      <t>ジッセキ</t>
    </rPh>
    <phoneticPr fontId="2"/>
  </si>
  <si>
    <t>工数</t>
    <rPh sb="0" eb="2">
      <t>コウスウ</t>
    </rPh>
    <phoneticPr fontId="2"/>
  </si>
  <si>
    <t>分析項目名</t>
    <phoneticPr fontId="2"/>
  </si>
  <si>
    <t>UNJC0180_H_BUNSEKI_KOMOKU_MEI</t>
    <phoneticPr fontId="2"/>
  </si>
  <si>
    <r>
      <t>UNJC0180_H_BUNSEKI_KOMOKU_CD_S</t>
    </r>
    <r>
      <rPr>
        <strike/>
        <sz val="11"/>
        <color theme="1"/>
        <rFont val="ＭＳ Ｐゴシック"/>
        <family val="3"/>
        <charset val="128"/>
        <scheme val="minor"/>
      </rPr>
      <t>・UNJC0180_H_BUNSEKI_KOMOKU_MEI_S</t>
    </r>
    <phoneticPr fontId="2"/>
  </si>
  <si>
    <r>
      <t>UNJC0190_H_BUNSEKI_KOMOKU_CD_S</t>
    </r>
    <r>
      <rPr>
        <strike/>
        <sz val="11"/>
        <color theme="1"/>
        <rFont val="ＭＳ Ｐゴシック"/>
        <family val="3"/>
        <charset val="128"/>
        <scheme val="minor"/>
      </rPr>
      <t>・UNJC0190_H_BUNSEKI_KOMOKU_MEI_S</t>
    </r>
    <phoneticPr fontId="2"/>
  </si>
  <si>
    <t>UNJC0210_H_BUNSEKI_KOMOKU_MEI</t>
    <phoneticPr fontId="2"/>
  </si>
  <si>
    <t>分析項目名</t>
    <phoneticPr fontId="2"/>
  </si>
  <si>
    <r>
      <t>UNJC0210_H_BUNSEKI_KOMOKU_CD_S</t>
    </r>
    <r>
      <rPr>
        <strike/>
        <sz val="11"/>
        <color theme="1"/>
        <rFont val="メイリオ"/>
        <family val="3"/>
        <charset val="128"/>
      </rPr>
      <t>・UNJC0210_H_BUNSEKI_KOMOKU_MEI_S</t>
    </r>
    <phoneticPr fontId="2"/>
  </si>
  <si>
    <t>非表示列指定4</t>
  </si>
  <si>
    <t>非表示列指定5開始</t>
    <rPh sb="7" eb="9">
      <t>カイシ</t>
    </rPh>
    <phoneticPr fontId="2"/>
  </si>
  <si>
    <t>非表示列指定5終了</t>
    <rPh sb="7" eb="9">
      <t>シュウリョウ</t>
    </rPh>
    <phoneticPr fontId="2"/>
  </si>
  <si>
    <t>UNJC0190_B_HIDE_COLUMN_5_END</t>
  </si>
  <si>
    <t>UNJC0190_B_HIDE_COLUMN_4</t>
    <phoneticPr fontId="2"/>
  </si>
  <si>
    <t>UNJC0190_B_HIDE_COLUMN_5_START</t>
    <phoneticPr fontId="2"/>
  </si>
  <si>
    <t>UNJC0190_IF_EXCEL_HIDE_COLUMN_4</t>
    <phoneticPr fontId="2"/>
  </si>
  <si>
    <t>UNJC0190_IF_EXCEL_HIDE_COLUMN_5_START</t>
    <phoneticPr fontId="2"/>
  </si>
  <si>
    <t>UNJC0190_IF_EXCEL_HIDE_COLUMN_5_END</t>
    <phoneticPr fontId="2"/>
  </si>
  <si>
    <t>KANRYO_DATE</t>
    <phoneticPr fontId="2"/>
  </si>
  <si>
    <t>試料名</t>
    <phoneticPr fontId="2"/>
  </si>
  <si>
    <t xml:space="preserve"> FROM W_BUN_NOTE
  LEFT JOIN
       T_BUN_JUCHU_B
    ON T_BUN_JUCHU_B.JURI_NO     = W_BUN_NOTE.JURI_NO
   AND T_BUN_JUCHU_B.JURI_EDA_NO = W_BUN_NOTE.JURI_EDA_NO
</t>
    <phoneticPr fontId="2"/>
  </si>
  <si>
    <t>報告先部署名</t>
    <rPh sb="0" eb="2">
      <t>ホウコク</t>
    </rPh>
    <rPh sb="3" eb="5">
      <t>ブショ</t>
    </rPh>
    <rPh sb="5" eb="6">
      <t>メイ</t>
    </rPh>
    <phoneticPr fontId="2"/>
  </si>
  <si>
    <t>報告先担当者名</t>
    <rPh sb="0" eb="2">
      <t>ホウコク</t>
    </rPh>
    <rPh sb="3" eb="6">
      <t>タントウシャ</t>
    </rPh>
    <rPh sb="6" eb="7">
      <t>メイ</t>
    </rPh>
    <phoneticPr fontId="2"/>
  </si>
  <si>
    <t>報告先部署名</t>
    <rPh sb="0" eb="2">
      <t>ホウコク</t>
    </rPh>
    <phoneticPr fontId="2"/>
  </si>
  <si>
    <t>報告先担当者名</t>
    <rPh sb="0" eb="2">
      <t>ホウコク</t>
    </rPh>
    <phoneticPr fontId="2"/>
  </si>
  <si>
    <t>担当部署名</t>
    <rPh sb="0" eb="3">
      <t>タントウブ</t>
    </rPh>
    <rPh sb="3" eb="5">
      <t>ショメイ</t>
    </rPh>
    <phoneticPr fontId="2"/>
  </si>
  <si>
    <t>フリーワード</t>
  </si>
  <si>
    <t>並べ替え</t>
    <rPh sb="0" eb="1">
      <t>ナラ</t>
    </rPh>
    <rPh sb="2" eb="3">
      <t>カ</t>
    </rPh>
    <phoneticPr fontId="2"/>
  </si>
  <si>
    <t xml:space="preserve"> ORDER BY W_ROW ASC
</t>
    <phoneticPr fontId="2"/>
  </si>
  <si>
    <t xml:space="preserve"> ORDER BY KANRYO_DATE ASC ,JURI_NO ASC ,JURI_EDA_NO ASC</t>
    <phoneticPr fontId="2"/>
  </si>
  <si>
    <t>試料ラベル一括印刷
ワークテーブル
更新SQL</t>
    <rPh sb="0" eb="2">
      <t>シリョウ</t>
    </rPh>
    <rPh sb="5" eb="7">
      <t>イッカツ</t>
    </rPh>
    <rPh sb="7" eb="9">
      <t>インサツ</t>
    </rPh>
    <rPh sb="18" eb="20">
      <t>コウシン</t>
    </rPh>
    <phoneticPr fontId="2"/>
  </si>
  <si>
    <t>試料ラベル一括印刷
ワークテーブル更新SQL
ベースコード</t>
    <rPh sb="5" eb="7">
      <t>イッカツ</t>
    </rPh>
    <rPh sb="7" eb="9">
      <t>インサツ</t>
    </rPh>
    <rPh sb="17" eb="19">
      <t>コウシン</t>
    </rPh>
    <phoneticPr fontId="2"/>
  </si>
  <si>
    <t>試料ラベル一括印刷
行数カウントSQL
ベースコード</t>
    <rPh sb="10" eb="12">
      <t>ギョウスウ</t>
    </rPh>
    <phoneticPr fontId="2"/>
  </si>
  <si>
    <t>試料ラベル一括印刷
読込みSQL
ベースコード</t>
    <rPh sb="10" eb="12">
      <t>ヨミコ</t>
    </rPh>
    <phoneticPr fontId="2"/>
  </si>
  <si>
    <t>試料ラベル一括印刷
Excel出力SQL</t>
    <rPh sb="15" eb="17">
      <t>シュツリョク</t>
    </rPh>
    <phoneticPr fontId="2"/>
  </si>
  <si>
    <t>試料ラベル一括印刷
行数カウントSQL</t>
    <rPh sb="10" eb="12">
      <t>ギョウスウ</t>
    </rPh>
    <phoneticPr fontId="2"/>
  </si>
  <si>
    <t>試料ラベル一括印刷
読込みSQL</t>
    <rPh sb="5" eb="7">
      <t>イッカツ</t>
    </rPh>
    <rPh sb="7" eb="9">
      <t>インサツ</t>
    </rPh>
    <rPh sb="10" eb="12">
      <t>ヨミコ</t>
    </rPh>
    <phoneticPr fontId="2"/>
  </si>
  <si>
    <t>試料ラベル結果並べ替え
ORDER句取得用SQL</t>
    <rPh sb="0" eb="2">
      <t>シリョウ</t>
    </rPh>
    <rPh sb="5" eb="7">
      <t>ケッカ</t>
    </rPh>
    <rPh sb="7" eb="8">
      <t>ナラ</t>
    </rPh>
    <rPh sb="9" eb="10">
      <t>カ</t>
    </rPh>
    <rPh sb="17" eb="18">
      <t>ク</t>
    </rPh>
    <rPh sb="18" eb="20">
      <t>シュトク</t>
    </rPh>
    <rPh sb="20" eb="21">
      <t>ヨウ</t>
    </rPh>
    <phoneticPr fontId="2"/>
  </si>
  <si>
    <t>SELECT NULL                         AS 行番号
      ,M_SHOHIN.SHOHIN_CD           AS 分析項目CD
      ,M_SHOHIN.SHOHIN_MEI          AS 分析項目名
      ,M_SHOHIN.BUNSEKI_TANI        AS 単位
      ,NULL                         AS 空白１
      ,NULL                         AS 空白２
      ,NULL                         AS 空白３
      ,NULL                         AS 空白４
      ,M_SHOHIN.BUNSEKI_NO          AS 分析番号
      ,M_SHOHIN.BUNSEKI_FLOW AS 分析フロー
  FROM M_SHOHIN
 WHERE M_SHOHIN.BUNSEKI_FLG  = 'True'
   AND M_SHOHIN.SHOKEIHI_FLG = 'False'
   AND M_SHOHIN.MISHIYO_FLG  = 'False'
 ORDER BY M_SHOHIN.SHOHIN_CD ASC</t>
    <phoneticPr fontId="2"/>
  </si>
  <si>
    <t xml:space="preserve">SELECT CASE M_AITESAKI.SEIKYU_FLG
       WHEN 'True' THEN '×'
       ELSE NULL
       END                                  AS  請求
      ,CASE M_AITESAKI.SHIRE_FLG
       WHEN 'True' THEN '×'
       ELSE NULL
       END                                  AS  仕入
      ,CASE M_AITESAKI.HASSO_FLG
       WHEN 'True' THEN '×'
       ELSE NULL
       END                                  AS  発送
      ,CASE M_AITESAKI.HOKOKU_FLG
       WHEN 'True' THEN '×'
       ELSE NULL
       END                                  AS  報告
      ,CASE M_AITESAKI.MAKER_FLG
       WHEN 'True' THEN '×'
       ELSE NULL
       END                                  AS  ﾒｰｶｰ
      ,CASE M_AITESAKI.GAICHU_FLG
       WHEN 'True' THEN '×'
       ELSE NULL
       END                                  AS  外注
      ,CASE M_AITESAKI.KANKO_FLG
       WHEN 'True' THEN '×'
       ELSE NULL
       END                                  AS  官公
      ,CASE M_AITESAKI.DOGYO_FLG
       WHEN 'True' THEN '×'
       ELSE NULL
       END                                  AS  同業
      ,CASE M_AITESAKI.SPOT_FLG
       WHEN 'True' THEN '×'
       ELSE NULL
       END                                  AS  ｽﾎﾟｯﾄ
      ,M_AITESAKI.AITE_CD                   AS  相手先CD
      ,M_AITESAKI.AITE_MEI                  AS  相手先名
      ,M_AITESAKI.BUSHO_MEI                 AS  相手先部署名
      ,M_AITESAKI.TEL                       AS  TEL
      ,M_AITESAKI.FAX                       AS  FAX
      ,M_AITESAKI.MAIL                      AS  'E-MAIL'
      ,M_AITESAKI.YUBIN_NO                  AS  郵便番号
      ,M_AITESAKI.BIKO                      AS  備考
  FROM M_AITESAKI
 WHERE M_AITESAKI.MISHIYO_FLG = 'False'
 ORDER BY AITE_CD ASC
</t>
    <phoneticPr fontId="2"/>
  </si>
  <si>
    <t>SELECT M_AITESAKI.AITE_CD                   AS  メーカー名CD
      ,M_AITESAKI.AITE_MEI                  AS  メーカー名
      ,M_SHAIN.SHIMEI                       AS  営業担当者
      ,M_AITESAKI.TEL                       AS  TEL
      ,M_AITESAKI.BUSHO_MEI                 AS  相手先部署名
      ,M_AITESAKI.TANTO_MEI                 AS  相手先担当者名
  FROM M_AITESAKI
  LEFT JOIN
       M_SHAIN
    ON M_SHAIN.SHAIN_CD = M_AITESAKI.EIGYO_TANTO_CD
  WHERE M_AITESAKI.MAKER_FLG = 'True'_x000D_
   AND M_AITESAKI.MISHIYO_FLG = 'False'
  ORDER BY_x000D_
        M_AITESAKI.AITE_CD ASC</t>
    <phoneticPr fontId="2"/>
  </si>
  <si>
    <t>SELECT M_AITESAKI.AITE_CD           AS 仕入先CD
      ,M_AITESAKI.AITE_MEI          AS 仕入先名
      ,M_AITESAKI.BUSHO_MEI         AS 相手先部署名
      ,M_AITESAKI.TANTO_MEI         AS 相手先担当名
      ,R_SHIHARAIHOHO.DATA_1        AS 支払方法
      ,M_AITESAKI.SHIIRE_CHUKI      AS 注記
  FROM M_AITESAKI    
  LEFT JOIN M_MEISHO_B      AS R_SHIHARAIHOHO
    ON R_SHIHARAIHOHO.MEISHO_KBN = 'K006'
   AND M_AITESAKI.SHIHARAIHOHO_KBN = R_SHIHARAIHOHO.MEISHO_CD 
 WHERE M_AITESAKI.SHIRE_FLG = 'True'
   AND M_AITESAKI.MISHIYO_FLG = 'False'
 ORDER BY AITE_CD ASC</t>
    <phoneticPr fontId="2"/>
  </si>
  <si>
    <t>SELECT M_AITESAKI.AITE_CD                   AS  報告先CD
      ,M_AITESAKI.AITE_MEI                  AS  報告先名
      ,M_AITESAKI.BUSHO_MEI                 AS  相手先部署名
      ,M_AITESAKI.TANTO_MEI                 AS  相手先担当者名
      ,M_AITESAKI.TEL                       AS  電話番号
      ,M_AITESAKI.FAX                       AS  FAX
      ,M_AITESAKI.MAIL                      AS  MAIL
      ,M_AITESAKI.YUBIN_NO                  AS  郵便番号
      ,CONCAT(M_AITESAKI.ADDRESS_1,M_AITESAKI.ADDRESS_2)
                                            AS  住所
  FROM M_AITESAKI
  LEFT JOIN
       M_SHAIN
    ON M_SHAIN.SHAIN_CD = M_AITESAKI.EIGYO_TANTO_CD
  WHERE M_AITESAKI.HOKOKU_FLG = 'True'
   AND M_AITESAKI.MISHIYO_FLG = 'False'
 ORDER BY AITE_CD ASC</t>
    <phoneticPr fontId="2"/>
  </si>
  <si>
    <t>SELECT M_AITESAKI.AITE_CD                   AS  報告先CD
      ,M_AITESAKI.AITE_MEI                  AS  報告先名
      ,M_SHAIN.SHIMEI                       AS  営業担当者
      ,M_AITESAKI.TEL                       AS  TEL
      ,M_AITESAKI.BUSHO_MEI                 AS  相手先部署名
      ,M_AITESAKI.TANTO_MEI                 AS  相手先担当者名
  FROM M_AITESAKI
  LEFT JOIN
       M_SHAIN
    ON M_SHAIN.SHAIN_CD = M_AITESAKI.EIGYO_TANTO_CD
  WHERE M_AITESAKI.HOKOKU_FLG = 'True'
   AND M_AITESAKI.MISHIYO_FLG = 'False'
 ORDER BY AITE_CD ASC</t>
    <phoneticPr fontId="2"/>
  </si>
  <si>
    <t>分析方法</t>
    <rPh sb="0" eb="2">
      <t>ブンセキ</t>
    </rPh>
    <rPh sb="2" eb="4">
      <t>ホウホウ</t>
    </rPh>
    <phoneticPr fontId="2"/>
  </si>
  <si>
    <t>「=OFFSET(UNJC0030_IF_LIST_BUNSEKIHOHO_START,,,IF(UNJC0030_IF_LIST_BUNSEKIHOHO_KENSU=0,1,UNJC0030_IF_LIST_BUNSEKIHOHO_KENSU),1)」</t>
    <phoneticPr fontId="2"/>
  </si>
  <si>
    <t>UNJC0030_IF_LIST_BUNSEKIHOHO</t>
    <phoneticPr fontId="2"/>
  </si>
  <si>
    <t>UNJC0030_SQL_MEISHO_BUNSEKIHOHO</t>
    <phoneticPr fontId="2"/>
  </si>
  <si>
    <t>分析方法取得</t>
    <rPh sb="0" eb="2">
      <t>ブンセキ</t>
    </rPh>
    <rPh sb="2" eb="4">
      <t>ホウホウ</t>
    </rPh>
    <rPh sb="4" eb="6">
      <t>シュトク</t>
    </rPh>
    <phoneticPr fontId="2"/>
  </si>
  <si>
    <t>※入力規則用</t>
    <rPh sb="1" eb="3">
      <t>ニュウリョク</t>
    </rPh>
    <rPh sb="3" eb="5">
      <t>キソク</t>
    </rPh>
    <rPh sb="5" eb="6">
      <t>ヨウ</t>
    </rPh>
    <phoneticPr fontId="2"/>
  </si>
  <si>
    <t>S49環告64号(排水)</t>
    <phoneticPr fontId="2"/>
  </si>
  <si>
    <t>1</t>
    <phoneticPr fontId="2"/>
  </si>
  <si>
    <t>S46環告59号(公共用水域)</t>
    <phoneticPr fontId="2"/>
  </si>
  <si>
    <t>2</t>
    <phoneticPr fontId="2"/>
  </si>
  <si>
    <t>H9環告10号(地下水)</t>
    <phoneticPr fontId="2"/>
  </si>
  <si>
    <t>3</t>
    <phoneticPr fontId="2"/>
  </si>
  <si>
    <t>H3環告46号(土壌汚染)</t>
    <phoneticPr fontId="2"/>
  </si>
  <si>
    <t>4</t>
    <phoneticPr fontId="2"/>
  </si>
  <si>
    <t>H15環告17号(土対法 地下水)</t>
    <phoneticPr fontId="2"/>
  </si>
  <si>
    <t>5</t>
    <phoneticPr fontId="2"/>
  </si>
  <si>
    <t>H15環告18号(土対法 土壌溶出量)</t>
    <phoneticPr fontId="2"/>
  </si>
  <si>
    <t>6</t>
    <phoneticPr fontId="2"/>
  </si>
  <si>
    <t>H15環告19号(土対法 土壌含有量)</t>
    <phoneticPr fontId="2"/>
  </si>
  <si>
    <t>7</t>
    <phoneticPr fontId="2"/>
  </si>
  <si>
    <t>S48環告13号(産廃の溶出)</t>
    <phoneticPr fontId="2"/>
  </si>
  <si>
    <t>8</t>
    <phoneticPr fontId="2"/>
  </si>
  <si>
    <t>JIS K 0101(工業用水)</t>
    <phoneticPr fontId="2"/>
  </si>
  <si>
    <t>9</t>
    <phoneticPr fontId="2"/>
  </si>
  <si>
    <t>JIS K 0102(工場排水)</t>
    <phoneticPr fontId="2"/>
  </si>
  <si>
    <t>10</t>
    <phoneticPr fontId="2"/>
  </si>
  <si>
    <t>飲料水</t>
    <phoneticPr fontId="2"/>
  </si>
  <si>
    <t>11</t>
    <phoneticPr fontId="2"/>
  </si>
  <si>
    <t>上水試験法</t>
    <phoneticPr fontId="2"/>
  </si>
  <si>
    <t>12</t>
    <phoneticPr fontId="2"/>
  </si>
  <si>
    <t>下水試験法</t>
    <phoneticPr fontId="2"/>
  </si>
  <si>
    <t>13</t>
    <phoneticPr fontId="2"/>
  </si>
  <si>
    <t>ﾌﾟｰﾙ水</t>
    <phoneticPr fontId="2"/>
  </si>
  <si>
    <t>14</t>
    <phoneticPr fontId="2"/>
  </si>
  <si>
    <t>底質調査法</t>
    <phoneticPr fontId="2"/>
  </si>
  <si>
    <t>15</t>
    <phoneticPr fontId="2"/>
  </si>
  <si>
    <t>特定地下浸透水(H1環告39号)</t>
    <phoneticPr fontId="2"/>
  </si>
  <si>
    <t>16</t>
    <phoneticPr fontId="2"/>
  </si>
  <si>
    <t>地下水浄化(H8環告55号)</t>
    <phoneticPr fontId="2"/>
  </si>
  <si>
    <t>17</t>
    <phoneticPr fontId="2"/>
  </si>
  <si>
    <t>処分場周辺の地下水(H10環・厚告1号)</t>
    <phoneticPr fontId="2"/>
  </si>
  <si>
    <t>18</t>
    <phoneticPr fontId="2"/>
  </si>
  <si>
    <t>日本薬局方第16改正による溶出試験</t>
    <phoneticPr fontId="2"/>
  </si>
  <si>
    <t>19</t>
    <phoneticPr fontId="2"/>
  </si>
  <si>
    <t>大気・排ｶﾞｽ測定</t>
    <phoneticPr fontId="2"/>
  </si>
  <si>
    <t>20</t>
    <phoneticPr fontId="2"/>
  </si>
  <si>
    <t>作業環境測定</t>
    <phoneticPr fontId="2"/>
  </si>
  <si>
    <t>21</t>
    <phoneticPr fontId="2"/>
  </si>
  <si>
    <t>騒音・振動</t>
    <phoneticPr fontId="2"/>
  </si>
  <si>
    <t>22</t>
    <phoneticPr fontId="2"/>
  </si>
  <si>
    <t>悪臭・臭気</t>
    <phoneticPr fontId="2"/>
  </si>
  <si>
    <t>23</t>
    <phoneticPr fontId="2"/>
  </si>
  <si>
    <t>圧縮空気</t>
    <phoneticPr fontId="2"/>
  </si>
  <si>
    <t>24</t>
    <phoneticPr fontId="2"/>
  </si>
  <si>
    <t>ｼｯｸﾊｳｽ</t>
    <phoneticPr fontId="2"/>
  </si>
  <si>
    <t>25</t>
    <phoneticPr fontId="2"/>
  </si>
  <si>
    <t>ﾀﾞｲｵｷｼﾝ類(DXNs)</t>
    <phoneticPr fontId="2"/>
  </si>
  <si>
    <t>26</t>
    <phoneticPr fontId="2"/>
  </si>
  <si>
    <t>ｱｽﾍﾞｽﾄ(石綿)</t>
    <phoneticPr fontId="2"/>
  </si>
  <si>
    <t>27</t>
    <phoneticPr fontId="2"/>
  </si>
  <si>
    <t>油の分析</t>
    <phoneticPr fontId="2"/>
  </si>
  <si>
    <t>28</t>
    <phoneticPr fontId="2"/>
  </si>
  <si>
    <t>食品衛生法</t>
    <phoneticPr fontId="2"/>
  </si>
  <si>
    <t>29</t>
    <phoneticPr fontId="2"/>
  </si>
  <si>
    <t>JIS S 3200-7(水道用器具)</t>
    <phoneticPr fontId="2"/>
  </si>
  <si>
    <t>30</t>
    <phoneticPr fontId="2"/>
  </si>
  <si>
    <t>鉄鋼5元素</t>
    <phoneticPr fontId="2"/>
  </si>
  <si>
    <t>31</t>
    <phoneticPr fontId="2"/>
  </si>
  <si>
    <t>鉄鋼成分分析</t>
    <phoneticPr fontId="2"/>
  </si>
  <si>
    <t>32</t>
    <phoneticPr fontId="2"/>
  </si>
  <si>
    <t>非鉄成分分析</t>
    <phoneticPr fontId="2"/>
  </si>
  <si>
    <t>33</t>
    <phoneticPr fontId="2"/>
  </si>
  <si>
    <t>土壌の腐食性評価</t>
    <phoneticPr fontId="2"/>
  </si>
  <si>
    <t>34</t>
    <phoneticPr fontId="2"/>
  </si>
  <si>
    <t>肥料分析法</t>
    <phoneticPr fontId="2"/>
  </si>
  <si>
    <t>35</t>
    <phoneticPr fontId="2"/>
  </si>
  <si>
    <t>異物分析</t>
    <phoneticPr fontId="2"/>
  </si>
  <si>
    <t>36</t>
    <phoneticPr fontId="2"/>
  </si>
  <si>
    <t>試験片作成、試料調製のみ</t>
    <phoneticPr fontId="2"/>
  </si>
  <si>
    <t>37</t>
    <phoneticPr fontId="2"/>
  </si>
  <si>
    <t>水質系分析</t>
    <phoneticPr fontId="2"/>
  </si>
  <si>
    <t>38</t>
    <phoneticPr fontId="2"/>
  </si>
  <si>
    <t>大気・排ガス系分析</t>
    <phoneticPr fontId="2"/>
  </si>
  <si>
    <t>39</t>
    <phoneticPr fontId="2"/>
  </si>
  <si>
    <t>成分系分析</t>
    <phoneticPr fontId="2"/>
  </si>
  <si>
    <t>40</t>
    <phoneticPr fontId="2"/>
  </si>
  <si>
    <t>有機系分析</t>
    <phoneticPr fontId="2"/>
  </si>
  <si>
    <t>41</t>
    <phoneticPr fontId="2"/>
  </si>
  <si>
    <t>熱分析</t>
    <phoneticPr fontId="2"/>
  </si>
  <si>
    <t>42</t>
    <phoneticPr fontId="2"/>
  </si>
  <si>
    <t>材料・無機系分析</t>
    <phoneticPr fontId="2"/>
  </si>
  <si>
    <t>43</t>
    <phoneticPr fontId="2"/>
  </si>
  <si>
    <t>分野混合分析</t>
    <phoneticPr fontId="2"/>
  </si>
  <si>
    <t>44</t>
    <phoneticPr fontId="2"/>
  </si>
  <si>
    <t>商品分類区分CD</t>
    <rPh sb="0" eb="2">
      <t>ショウヒン</t>
    </rPh>
    <rPh sb="2" eb="4">
      <t>ブンルイ</t>
    </rPh>
    <rPh sb="4" eb="6">
      <t>クブン</t>
    </rPh>
    <phoneticPr fontId="2"/>
  </si>
  <si>
    <t>UNJC1020_H_SHOHIN_BUNRUI_CD</t>
  </si>
  <si>
    <t>UNJC1020_H_SHOHIN_BUNRUI_CD</t>
    <phoneticPr fontId="2"/>
  </si>
  <si>
    <t>商品分類区分▼</t>
    <rPh sb="0" eb="2">
      <t>ショウヒン</t>
    </rPh>
    <rPh sb="2" eb="4">
      <t>ブンルイ</t>
    </rPh>
    <rPh sb="4" eb="6">
      <t>クブン</t>
    </rPh>
    <phoneticPr fontId="2"/>
  </si>
  <si>
    <t>商品分類区分CD</t>
    <phoneticPr fontId="2"/>
  </si>
  <si>
    <t>条件(商品分類区分CD)</t>
    <rPh sb="0" eb="2">
      <t>ジョウケン</t>
    </rPh>
    <rPh sb="3" eb="5">
      <t>ショウヒン</t>
    </rPh>
    <rPh sb="5" eb="7">
      <t>ブンルイ</t>
    </rPh>
    <rPh sb="7" eb="9">
      <t>クブン</t>
    </rPh>
    <phoneticPr fontId="2"/>
  </si>
  <si>
    <t>SELECT MEISHO_CD    AS CD
      ,DATA_1       AS 商品分類区分
  FROM M_MEISHO_B
 WHERE MEISHO_KBN = 'K025'
   AND MISHIYO_FLG = 'False'
 ORDER BY
       SORT_NO
      ,CAST(MEISHO_CD AS INT)</t>
    <phoneticPr fontId="2"/>
  </si>
  <si>
    <t>UNJC_COMMON_SQL_SHOHIN_BUNRUI_SEARCH</t>
    <phoneticPr fontId="2"/>
  </si>
  <si>
    <t>商品分類区分検索用SQL</t>
    <rPh sb="2" eb="4">
      <t>ブンルイ</t>
    </rPh>
    <rPh sb="4" eb="6">
      <t>クブン</t>
    </rPh>
    <phoneticPr fontId="2"/>
  </si>
  <si>
    <t>分析項目▽</t>
    <rPh sb="0" eb="2">
      <t>ブンセキ</t>
    </rPh>
    <rPh sb="2" eb="4">
      <t>コウモク</t>
    </rPh>
    <phoneticPr fontId="2"/>
  </si>
  <si>
    <t>UNJC0020_SQL_BUNSEKI_MEI</t>
    <phoneticPr fontId="2"/>
  </si>
  <si>
    <t>UNJC0020_SQL_UKETSUKE_STS</t>
    <phoneticPr fontId="2"/>
  </si>
  <si>
    <t>UNJC0020_SQL_GIJUTSU_STS</t>
    <phoneticPr fontId="2"/>
  </si>
  <si>
    <t>UNJC0020_SQL_CHUKAN_STS</t>
    <phoneticPr fontId="2"/>
  </si>
  <si>
    <t>UNJC0020_SQL_KAKUNIN2_STS</t>
    <phoneticPr fontId="2"/>
  </si>
  <si>
    <t>UNJC0020_SQL_SOKUHO_STS</t>
    <phoneticPr fontId="2"/>
  </si>
  <si>
    <t>UNJC0020_SQL_EIGYO_STS</t>
    <phoneticPr fontId="2"/>
  </si>
  <si>
    <t>UNJC0020_SQL_NOHIN_STS</t>
    <phoneticPr fontId="2"/>
  </si>
  <si>
    <t>UNJC0020_SQL_BUNSEKI_HOKAN_STS</t>
    <phoneticPr fontId="2"/>
  </si>
  <si>
    <t>UNJC0020_SQL_TEISEI_STS</t>
    <phoneticPr fontId="2"/>
  </si>
  <si>
    <t>UNJC0020_SQL_CHUDAN_STS</t>
    <phoneticPr fontId="2"/>
  </si>
  <si>
    <t>UNJC0020_SQL_CHUSHI_STS</t>
    <phoneticPr fontId="2"/>
  </si>
  <si>
    <t>UNJC0020_SQL_JURI_NO</t>
    <phoneticPr fontId="2"/>
  </si>
  <si>
    <t>UNJC0020_SQL_EIGYO_TANTO_CD</t>
    <phoneticPr fontId="2"/>
  </si>
  <si>
    <t>UNJC0020_SQL_NYURYOKUSHA_CD</t>
    <phoneticPr fontId="2"/>
  </si>
  <si>
    <t>UNJC0020_SQL_MITSUMORI_NO</t>
    <phoneticPr fontId="2"/>
  </si>
  <si>
    <t>UNJC0020_SQL_BUNSEKIKUBUN_KBN</t>
    <phoneticPr fontId="2"/>
  </si>
  <si>
    <t>UNJC0020_SQL_NYURYOKU_DATE_START</t>
    <phoneticPr fontId="2"/>
  </si>
  <si>
    <t>UNJC0020_SQL_NYURYOKU_DATE_END</t>
    <phoneticPr fontId="2"/>
  </si>
  <si>
    <t>UNJC0020_SQL_IRAI_DATE_START</t>
    <phoneticPr fontId="2"/>
  </si>
  <si>
    <t>UNJC0020_SQL_IRAI_DATE_END</t>
    <phoneticPr fontId="2"/>
  </si>
  <si>
    <t>UNJC0020_SQL_CHUKAN_DATE_START</t>
    <phoneticPr fontId="2"/>
  </si>
  <si>
    <t>UNJC0020_SQL_CHUKAN_DATE_END</t>
    <phoneticPr fontId="2"/>
  </si>
  <si>
    <t>UNJC0020_SQL_KANSEI_DATE_START</t>
    <phoneticPr fontId="2"/>
  </si>
  <si>
    <t>UNJC0020_SQL_KANSEI_DATE_END</t>
    <phoneticPr fontId="2"/>
  </si>
  <si>
    <t>UNJC0020_SQL_NOHIN_DATE_START</t>
    <phoneticPr fontId="2"/>
  </si>
  <si>
    <t>UNJC0020_SQL_NOHIN_DATE_END</t>
    <phoneticPr fontId="2"/>
  </si>
  <si>
    <t>UNJC0020_SQL_DEMPYO_HAKKO_JOTAI_KBN</t>
    <phoneticPr fontId="2"/>
  </si>
  <si>
    <t>UNJC0020_SQL_ATENA_CD</t>
    <phoneticPr fontId="2"/>
  </si>
  <si>
    <t>UNJC0020_SQL_ATENA_MEI</t>
    <phoneticPr fontId="2"/>
  </si>
  <si>
    <t>UNJC0020_SQL_SEIKYUSAKI_CD</t>
    <phoneticPr fontId="2"/>
  </si>
  <si>
    <t>UNJC0020_SQL_BUNSEKI_CD</t>
    <phoneticPr fontId="2"/>
  </si>
  <si>
    <t>条件(分析項目)</t>
    <rPh sb="0" eb="2">
      <t>ジョウケン</t>
    </rPh>
    <rPh sb="3" eb="5">
      <t>ブンセキ</t>
    </rPh>
    <rPh sb="5" eb="7">
      <t>コウモク</t>
    </rPh>
    <phoneticPr fontId="2"/>
  </si>
  <si>
    <t>条件(分析方法)</t>
    <rPh sb="0" eb="2">
      <t>ジョウケン</t>
    </rPh>
    <rPh sb="3" eb="5">
      <t>ブンセキ</t>
    </rPh>
    <rPh sb="5" eb="7">
      <t>ホウホウ</t>
    </rPh>
    <phoneticPr fontId="2"/>
  </si>
  <si>
    <t>分析方法</t>
    <rPh sb="0" eb="2">
      <t>ブンセキ</t>
    </rPh>
    <rPh sb="2" eb="4">
      <t>ホウホウ</t>
    </rPh>
    <phoneticPr fontId="2"/>
  </si>
  <si>
    <t>UNJC0020_SQL_BUNSEKI_HOHO</t>
    <phoneticPr fontId="2"/>
  </si>
  <si>
    <t>並べ替え</t>
    <rPh sb="0" eb="1">
      <t>ナラ</t>
    </rPh>
    <rPh sb="2" eb="3">
      <t>カ</t>
    </rPh>
    <phoneticPr fontId="2"/>
  </si>
  <si>
    <t xml:space="preserve"> ORDER BY JURI_EDA_NO ASC, GYO_NO ASC</t>
    <phoneticPr fontId="2"/>
  </si>
  <si>
    <t>ステータス更新日時</t>
    <phoneticPr fontId="2"/>
  </si>
  <si>
    <t>変更者</t>
    <phoneticPr fontId="2"/>
  </si>
  <si>
    <t>変更後ステータス</t>
    <phoneticPr fontId="2"/>
  </si>
  <si>
    <t>UNJC0020_IF2_PRINT_SHOSHIKI_COPY_MOTO</t>
    <phoneticPr fontId="2"/>
  </si>
  <si>
    <t>UNJC0020_IF2_PRINT_LIST_START</t>
    <phoneticPr fontId="2"/>
  </si>
  <si>
    <t>UNJC0020_IF2_PRINT_KENSAKU_KENSU</t>
    <phoneticPr fontId="2"/>
  </si>
  <si>
    <t>UNJC0020_IF2_PRINT_COPY_SAKI</t>
    <phoneticPr fontId="2"/>
  </si>
  <si>
    <t>UNJC0020_SQL_PRINT_BUN_JUCHU_LIST2</t>
    <phoneticPr fontId="2"/>
  </si>
  <si>
    <t>分析依頼リスト
Excel出力SQL2</t>
    <rPh sb="0" eb="2">
      <t>ブンセキ</t>
    </rPh>
    <rPh sb="2" eb="4">
      <t>イライ</t>
    </rPh>
    <rPh sb="13" eb="15">
      <t>シュツリョク</t>
    </rPh>
    <phoneticPr fontId="2"/>
  </si>
  <si>
    <t>分析依頼リスト
Excel出力SQL2
ベースコード</t>
    <rPh sb="0" eb="4">
      <t>ブンセキイライ</t>
    </rPh>
    <rPh sb="13" eb="15">
      <t>シュツリョク</t>
    </rPh>
    <phoneticPr fontId="2"/>
  </si>
  <si>
    <t>UNJC0020_SQL_SORT</t>
    <phoneticPr fontId="2"/>
  </si>
  <si>
    <t>Excel出力用ORDER句2</t>
    <rPh sb="5" eb="7">
      <t>シュツリョク</t>
    </rPh>
    <rPh sb="7" eb="8">
      <t>ヨウ</t>
    </rPh>
    <rPh sb="13" eb="14">
      <t>ク</t>
    </rPh>
    <phoneticPr fontId="2"/>
  </si>
  <si>
    <t xml:space="preserve">
  ORDER BY V_BUN_JUCHU_LIST.JURI_NO ASC
          ,T_BUN_STS_R.MOD_DATE_TIME ASC
</t>
    <phoneticPr fontId="2"/>
  </si>
  <si>
    <t>枝番</t>
    <phoneticPr fontId="2"/>
  </si>
  <si>
    <t>分析担当部署▼</t>
    <rPh sb="0" eb="2">
      <t>ブンセキ</t>
    </rPh>
    <rPh sb="2" eb="4">
      <t>タントウ</t>
    </rPh>
    <rPh sb="4" eb="6">
      <t>ブショ</t>
    </rPh>
    <phoneticPr fontId="2"/>
  </si>
  <si>
    <t>分析担当部署</t>
    <rPh sb="0" eb="2">
      <t>ブンセキ</t>
    </rPh>
    <rPh sb="2" eb="4">
      <t>タントウ</t>
    </rPh>
    <rPh sb="4" eb="6">
      <t>ブショ</t>
    </rPh>
    <phoneticPr fontId="2"/>
  </si>
  <si>
    <t>部署CD</t>
    <rPh sb="0" eb="2">
      <t>ブショ</t>
    </rPh>
    <phoneticPr fontId="2"/>
  </si>
  <si>
    <t>↓コピー元(ページ遷移時、ヘッダ必須チェック除外の為)</t>
    <rPh sb="4" eb="5">
      <t>モト</t>
    </rPh>
    <rPh sb="9" eb="11">
      <t>センイ</t>
    </rPh>
    <rPh sb="11" eb="12">
      <t>ジ</t>
    </rPh>
    <rPh sb="16" eb="18">
      <t>ヒッス</t>
    </rPh>
    <rPh sb="22" eb="24">
      <t>ジョガイ</t>
    </rPh>
    <rPh sb="25" eb="26">
      <t>タメ</t>
    </rPh>
    <phoneticPr fontId="2"/>
  </si>
  <si>
    <t>UNJC0020_H_BUSHO_CD</t>
    <phoneticPr fontId="2"/>
  </si>
  <si>
    <t>分析担当部署名</t>
    <phoneticPr fontId="2"/>
  </si>
  <si>
    <t>UNJC0020_SQL_BUSHO_CD</t>
    <phoneticPr fontId="2"/>
  </si>
  <si>
    <t>分析担当部署名</t>
    <rPh sb="0" eb="2">
      <t>ブンセキ</t>
    </rPh>
    <rPh sb="2" eb="4">
      <t>タントウ</t>
    </rPh>
    <rPh sb="4" eb="6">
      <t>ブショ</t>
    </rPh>
    <rPh sb="6" eb="7">
      <t>メイ</t>
    </rPh>
    <phoneticPr fontId="2"/>
  </si>
  <si>
    <t>分析
方法</t>
    <rPh sb="0" eb="2">
      <t>ブンセキ</t>
    </rPh>
    <rPh sb="3" eb="5">
      <t>ホウホウ</t>
    </rPh>
    <phoneticPr fontId="2"/>
  </si>
  <si>
    <t xml:space="preserve">SELECT MOD_DATE_TIME   AS MOD_DATE_TIME
      ,M_SHAIN.SHIMEI  AS SHIMEI
  FROM T_BUN_STS_R AS TBL_A
  LEFT JOIN
       M_SHAIN
    ON M_SHAIN.SHAIN_CD = TBL_A.DBS_UPDATE_USER
 WHERE TBL_A.MOD_DATE_TIME = ( SELECT MAX(MOD_DATE_TIME)
                                       FROM T_BUN_STS_R AS TBL_B
                                      WHERE TBL_B.JURI_NO = TBL_A.JURI_NO )
</t>
    <phoneticPr fontId="2"/>
  </si>
  <si>
    <t>UNJC0020_H_HIDE_ROW</t>
    <phoneticPr fontId="2"/>
  </si>
  <si>
    <t>UNJC0040_HIDE_ROW</t>
    <phoneticPr fontId="2"/>
  </si>
  <si>
    <t>UNJC0060_H_HIDE_ROW</t>
    <phoneticPr fontId="2"/>
  </si>
  <si>
    <t>UNJC0070_H_HIDE_ROW</t>
    <phoneticPr fontId="2"/>
  </si>
  <si>
    <t>UNJC0180_H_HIDE_ROW</t>
    <phoneticPr fontId="2"/>
  </si>
  <si>
    <t>非表示行指定</t>
    <rPh sb="3" eb="4">
      <t>ギョウ</t>
    </rPh>
    <phoneticPr fontId="2"/>
  </si>
  <si>
    <t>UNJC0190_H_HIDE_ROW</t>
    <phoneticPr fontId="2"/>
  </si>
  <si>
    <t>分析受注区分</t>
  </si>
  <si>
    <t>納品方法実績</t>
  </si>
  <si>
    <t>工数</t>
  </si>
  <si>
    <t>ステータス更新日時</t>
  </si>
  <si>
    <t>変更後ステータス</t>
  </si>
  <si>
    <t>変更者</t>
  </si>
  <si>
    <t>受注日▼</t>
  </si>
  <si>
    <t>販売商品受注入力</t>
  </si>
  <si>
    <t>【新規作成モード】</t>
  </si>
  <si>
    <t>販売商品区分▼</t>
  </si>
  <si>
    <t>未発行</t>
  </si>
  <si>
    <t>請求先CD▼</t>
  </si>
  <si>
    <t>請求先名：</t>
  </si>
  <si>
    <t>先方担当者名：</t>
  </si>
  <si>
    <t>発送先TEL：</t>
  </si>
  <si>
    <t>発送先名：</t>
  </si>
  <si>
    <t>発送先FAX：</t>
  </si>
  <si>
    <t>発送先郵便番号：</t>
  </si>
  <si>
    <t>発送先担当者名：</t>
  </si>
  <si>
    <t>メーカー直送：</t>
  </si>
  <si>
    <t>発送先住所１：</t>
  </si>
  <si>
    <t>発送先住所２：</t>
  </si>
  <si>
    <t>毒劇</t>
  </si>
  <si>
    <t>入数</t>
  </si>
  <si>
    <t>仕入先名</t>
  </si>
  <si>
    <t>メーカー名</t>
  </si>
  <si>
    <t>バラ単位</t>
    <rPh sb="2" eb="4">
      <t>タンイ</t>
    </rPh>
    <phoneticPr fontId="2"/>
  </si>
  <si>
    <t>受理No.1</t>
    <rPh sb="0" eb="2">
      <t>ジュリ</t>
    </rPh>
    <phoneticPr fontId="2"/>
  </si>
  <si>
    <t>受理No.2</t>
    <rPh sb="0" eb="2">
      <t>ジュリ</t>
    </rPh>
    <phoneticPr fontId="2"/>
  </si>
  <si>
    <t>条件(受理No.1)</t>
    <rPh sb="0" eb="2">
      <t>ジョウケン</t>
    </rPh>
    <rPh sb="3" eb="5">
      <t>ジュリ</t>
    </rPh>
    <phoneticPr fontId="2"/>
  </si>
  <si>
    <t>条件(受理No.2)</t>
    <rPh sb="0" eb="2">
      <t>ジョウケン</t>
    </rPh>
    <rPh sb="3" eb="5">
      <t>ジュリ</t>
    </rPh>
    <phoneticPr fontId="2"/>
  </si>
  <si>
    <t>試薬出庫検索</t>
    <rPh sb="4" eb="6">
      <t>ケンサク</t>
    </rPh>
    <phoneticPr fontId="2"/>
  </si>
  <si>
    <t>UNJC0220_H_HIDE_ROW</t>
    <phoneticPr fontId="2"/>
  </si>
  <si>
    <t>UNJC0220_H_HIDE_COLUMN</t>
    <phoneticPr fontId="2"/>
  </si>
  <si>
    <t>入出庫No.▽</t>
    <phoneticPr fontId="2"/>
  </si>
  <si>
    <t>入力者名▼</t>
    <rPh sb="3" eb="4">
      <t>メイ</t>
    </rPh>
    <phoneticPr fontId="2"/>
  </si>
  <si>
    <t>在庫管理No.▽</t>
    <rPh sb="0" eb="2">
      <t>ザイコ</t>
    </rPh>
    <rPh sb="2" eb="4">
      <t>カンリ</t>
    </rPh>
    <phoneticPr fontId="2"/>
  </si>
  <si>
    <t>UNJC0220_H_INIT_HEADER_DATA_COPY_SAKI</t>
    <phoneticPr fontId="2"/>
  </si>
  <si>
    <t>UNJC0220_H_NYURYOKUSHA_CD</t>
    <phoneticPr fontId="2"/>
  </si>
  <si>
    <t>購買品▼</t>
    <rPh sb="0" eb="2">
      <t>コウバイ</t>
    </rPh>
    <rPh sb="2" eb="3">
      <t>ヒン</t>
    </rPh>
    <phoneticPr fontId="2"/>
  </si>
  <si>
    <t>購買品名</t>
    <phoneticPr fontId="2"/>
  </si>
  <si>
    <t>UNJC0220_H_KOBAIHIN_MEI</t>
  </si>
  <si>
    <t>仕入先名</t>
    <phoneticPr fontId="2"/>
  </si>
  <si>
    <t>UNJC0220_H_SHIIRESAKI_MEI</t>
  </si>
  <si>
    <t>UNJC0220_H_MAKER_MEI</t>
  </si>
  <si>
    <t>保管場所▼</t>
    <phoneticPr fontId="2"/>
  </si>
  <si>
    <t>保管場所区分</t>
    <phoneticPr fontId="2"/>
  </si>
  <si>
    <t>UNJC0220_H_HOKAN_BASHO_KBN</t>
    <phoneticPr fontId="2"/>
  </si>
  <si>
    <t>UNJC0220_H_FREEWD_KBN</t>
    <phoneticPr fontId="2"/>
  </si>
  <si>
    <t>UNJC0220_H_NYURYOKUSHA_CD_S</t>
    <phoneticPr fontId="2"/>
  </si>
  <si>
    <t>UNJC0220_H_NYURYOKUSHA_MEI_S</t>
    <phoneticPr fontId="2"/>
  </si>
  <si>
    <t>入出庫No.</t>
    <phoneticPr fontId="2"/>
  </si>
  <si>
    <t>UNJC0220_H_NYUSHUKKO_NO_S</t>
    <phoneticPr fontId="2"/>
  </si>
  <si>
    <t>在庫管理No.</t>
    <phoneticPr fontId="2"/>
  </si>
  <si>
    <t>UNJC0220_H_ZAIKO_NO_S</t>
    <phoneticPr fontId="2"/>
  </si>
  <si>
    <t>UNJC0220_H_JURI_NO_S</t>
    <phoneticPr fontId="2"/>
  </si>
  <si>
    <t>購買品CD</t>
    <phoneticPr fontId="2"/>
  </si>
  <si>
    <t>UNJC0220_H_KOBAIHIN_CD_S</t>
    <phoneticPr fontId="2"/>
  </si>
  <si>
    <t>購買品名</t>
    <rPh sb="3" eb="4">
      <t>メイ</t>
    </rPh>
    <phoneticPr fontId="2"/>
  </si>
  <si>
    <t>UNJC0220_H_KOBAIHIN_MEI_S</t>
    <phoneticPr fontId="2"/>
  </si>
  <si>
    <t>UNJC0220_H_SHIIRESAKI_CD_S</t>
    <phoneticPr fontId="2"/>
  </si>
  <si>
    <t>UNJC0220_H_SHIIRESAKI_MEI_S</t>
    <phoneticPr fontId="2"/>
  </si>
  <si>
    <t>メーカーCD</t>
    <phoneticPr fontId="2"/>
  </si>
  <si>
    <t>メーカーCD</t>
    <phoneticPr fontId="2"/>
  </si>
  <si>
    <t>UNJC0220_H_MAKER_CD_S</t>
    <phoneticPr fontId="2"/>
  </si>
  <si>
    <t>UNJC0220_H_MAKER_MEI_S</t>
    <phoneticPr fontId="2"/>
  </si>
  <si>
    <t>保管場所区分</t>
    <phoneticPr fontId="2"/>
  </si>
  <si>
    <t>UNJC0220_H_HOKAN_BASHO_KBN_S</t>
    <phoneticPr fontId="2"/>
  </si>
  <si>
    <t>保管場所名</t>
    <rPh sb="0" eb="2">
      <t>ホカン</t>
    </rPh>
    <rPh sb="2" eb="4">
      <t>バショ</t>
    </rPh>
    <rPh sb="4" eb="5">
      <t>メイ</t>
    </rPh>
    <phoneticPr fontId="2"/>
  </si>
  <si>
    <t>UNJC0220_H_HOKAN_BASHO_KBN_MEI_S</t>
    <phoneticPr fontId="2"/>
  </si>
  <si>
    <t>出庫日・スタート</t>
    <phoneticPr fontId="2"/>
  </si>
  <si>
    <t>UNJC0220_H_SHUKKO_DATE_START_S</t>
    <phoneticPr fontId="2"/>
  </si>
  <si>
    <t>出庫日・エンド</t>
    <phoneticPr fontId="2"/>
  </si>
  <si>
    <t>UNJC0220_H_SHUKKO_DATE_END_S</t>
    <phoneticPr fontId="2"/>
  </si>
  <si>
    <t>フリーワード１</t>
    <phoneticPr fontId="2"/>
  </si>
  <si>
    <t>UNJC0220_H_FREEWD_1_S</t>
    <phoneticPr fontId="2"/>
  </si>
  <si>
    <t>UNJC0220_H_FREEWD_2_S</t>
    <phoneticPr fontId="2"/>
  </si>
  <si>
    <t>UNJC0220_H_FREEWD_3_S</t>
    <phoneticPr fontId="2"/>
  </si>
  <si>
    <t>UNJC0220_H_FREEWD_KBN_S</t>
    <phoneticPr fontId="2"/>
  </si>
  <si>
    <t>UNJC0220_B_HIDE_ROW</t>
    <phoneticPr fontId="2"/>
  </si>
  <si>
    <t>出庫日</t>
    <rPh sb="0" eb="2">
      <t>シュッコ</t>
    </rPh>
    <rPh sb="2" eb="3">
      <t>ビ</t>
    </rPh>
    <phoneticPr fontId="2"/>
  </si>
  <si>
    <t>入力者名</t>
    <rPh sb="3" eb="4">
      <t>メイ</t>
    </rPh>
    <phoneticPr fontId="2"/>
  </si>
  <si>
    <t>購買品CD</t>
    <rPh sb="0" eb="2">
      <t>コウバイ</t>
    </rPh>
    <rPh sb="2" eb="3">
      <t>ヒン</t>
    </rPh>
    <phoneticPr fontId="2"/>
  </si>
  <si>
    <t>購買品名</t>
    <rPh sb="0" eb="2">
      <t>コウバイ</t>
    </rPh>
    <rPh sb="2" eb="3">
      <t>ヒン</t>
    </rPh>
    <rPh sb="3" eb="4">
      <t>メイ</t>
    </rPh>
    <phoneticPr fontId="2"/>
  </si>
  <si>
    <t>単価</t>
    <rPh sb="0" eb="2">
      <t>タンカ</t>
    </rPh>
    <phoneticPr fontId="2"/>
  </si>
  <si>
    <t>出庫数量</t>
    <rPh sb="0" eb="2">
      <t>シュッコ</t>
    </rPh>
    <rPh sb="2" eb="4">
      <t>スウリョウ</t>
    </rPh>
    <phoneticPr fontId="2"/>
  </si>
  <si>
    <t>保管場所</t>
    <rPh sb="0" eb="2">
      <t>ホカン</t>
    </rPh>
    <rPh sb="2" eb="4">
      <t>バショ</t>
    </rPh>
    <phoneticPr fontId="2"/>
  </si>
  <si>
    <t>メーカーCD</t>
    <phoneticPr fontId="2"/>
  </si>
  <si>
    <t>出庫事由</t>
    <rPh sb="0" eb="2">
      <t>シュッコ</t>
    </rPh>
    <rPh sb="2" eb="4">
      <t>ジユウ</t>
    </rPh>
    <phoneticPr fontId="2"/>
  </si>
  <si>
    <t>入出庫No.</t>
    <phoneticPr fontId="2"/>
  </si>
  <si>
    <t>在庫管理No.</t>
    <rPh sb="0" eb="2">
      <t>ザイコ</t>
    </rPh>
    <rPh sb="2" eb="4">
      <t>カンリ</t>
    </rPh>
    <phoneticPr fontId="2"/>
  </si>
  <si>
    <t>入力者CD</t>
    <phoneticPr fontId="2"/>
  </si>
  <si>
    <t>保管場所区分</t>
    <phoneticPr fontId="2"/>
  </si>
  <si>
    <t>受入日</t>
    <phoneticPr fontId="2"/>
  </si>
  <si>
    <t>検収日</t>
    <phoneticPr fontId="2"/>
  </si>
  <si>
    <t>予算コード</t>
    <phoneticPr fontId="2"/>
  </si>
  <si>
    <t>フリーワード検索用</t>
    <phoneticPr fontId="2"/>
  </si>
  <si>
    <t>UNJC0220_B_HIDE_COLUMN</t>
    <phoneticPr fontId="2"/>
  </si>
  <si>
    <t>UNJC0220_B_SCROLL_LOCK</t>
    <phoneticPr fontId="2"/>
  </si>
  <si>
    <t>UNJC0220_B_ALL_KENSU</t>
    <phoneticPr fontId="2"/>
  </si>
  <si>
    <t>UNJC0220_B_PAGE_NO</t>
    <phoneticPr fontId="2"/>
  </si>
  <si>
    <t>UNJC0220_B_ALL_PAGE_SU</t>
    <phoneticPr fontId="2"/>
  </si>
  <si>
    <t>UNJC0220_B_HYOJI_KENSU</t>
    <phoneticPr fontId="2"/>
  </si>
  <si>
    <t>UNJC0220_B_HYOJI_GYO_SU</t>
    <phoneticPr fontId="2"/>
  </si>
  <si>
    <t>UNJC0220_B_LIST_START</t>
    <phoneticPr fontId="2"/>
  </si>
  <si>
    <t>UNJC0220_B_LIST_END</t>
    <phoneticPr fontId="2"/>
  </si>
  <si>
    <t>リスト書式コピーフラグ</t>
    <phoneticPr fontId="2"/>
  </si>
  <si>
    <t>リスト書式コピーフラグ</t>
    <phoneticPr fontId="2"/>
  </si>
  <si>
    <t>UNJC0220_B_LIST_COPY_FLG</t>
    <phoneticPr fontId="2"/>
  </si>
  <si>
    <t>UNJC0220_B_LIST_COPY_SAKI</t>
    <phoneticPr fontId="2"/>
  </si>
  <si>
    <t>UNJC0220_B_LIST_CLEAR</t>
    <phoneticPr fontId="2"/>
  </si>
  <si>
    <t>UNJC0220_B_NEXT_PAGE_NO</t>
    <phoneticPr fontId="2"/>
  </si>
  <si>
    <t>UNJC0220_B_BACK_PAGE_NO</t>
    <phoneticPr fontId="2"/>
  </si>
  <si>
    <t>UNJC0220_B_BACK_PAGE</t>
    <phoneticPr fontId="2"/>
  </si>
  <si>
    <t>UNJC0220_B_NEXT_PAGE</t>
    <phoneticPr fontId="2"/>
  </si>
  <si>
    <t>UNJC0220_B_SELECT_GYO_NO</t>
    <phoneticPr fontId="2"/>
  </si>
  <si>
    <t>選択入出庫No</t>
    <rPh sb="0" eb="2">
      <t>センタク</t>
    </rPh>
    <rPh sb="2" eb="3">
      <t>ニュウ</t>
    </rPh>
    <rPh sb="3" eb="5">
      <t>シュッコ</t>
    </rPh>
    <phoneticPr fontId="2"/>
  </si>
  <si>
    <t>UNJC0220_B_SELECT_NYUSHUKKO_NO</t>
    <phoneticPr fontId="2"/>
  </si>
  <si>
    <t>【コピー元書式】</t>
    <rPh sb="4" eb="5">
      <t>モト</t>
    </rPh>
    <rPh sb="5" eb="7">
      <t>ショシキ</t>
    </rPh>
    <phoneticPr fontId="2"/>
  </si>
  <si>
    <t>入出庫No.</t>
  </si>
  <si>
    <t>受入日</t>
    <phoneticPr fontId="2"/>
  </si>
  <si>
    <t>検収日</t>
    <phoneticPr fontId="2"/>
  </si>
  <si>
    <t>予算コード</t>
    <phoneticPr fontId="2"/>
  </si>
  <si>
    <t>備考</t>
    <phoneticPr fontId="2"/>
  </si>
  <si>
    <t>フリーワード検索用</t>
    <phoneticPr fontId="2"/>
  </si>
  <si>
    <t>UNJC0220_IF_INIT_HEADER_COPY_MOTO</t>
    <phoneticPr fontId="2"/>
  </si>
  <si>
    <t>UNJC0220_IF_PRINT_SHOSHIKI_COPY_MOTO</t>
    <phoneticPr fontId="2"/>
  </si>
  <si>
    <t>UNJC0220_IF_LIST_DEFAULT</t>
    <phoneticPr fontId="2"/>
  </si>
  <si>
    <t>UNJC0220_IF_INIT_HEADER_DATA_COPY_MOTO</t>
    <phoneticPr fontId="2"/>
  </si>
  <si>
    <t>入力者名</t>
    <rPh sb="0" eb="2">
      <t>ニュウリョク</t>
    </rPh>
    <rPh sb="2" eb="3">
      <t>シャ</t>
    </rPh>
    <rPh sb="3" eb="4">
      <t>メイ</t>
    </rPh>
    <phoneticPr fontId="2"/>
  </si>
  <si>
    <t>購買品名</t>
    <phoneticPr fontId="2"/>
  </si>
  <si>
    <t>入数</t>
    <phoneticPr fontId="2"/>
  </si>
  <si>
    <t>入数単位</t>
    <phoneticPr fontId="2"/>
  </si>
  <si>
    <t>出庫数量</t>
    <phoneticPr fontId="2"/>
  </si>
  <si>
    <t>バラ単位</t>
    <phoneticPr fontId="2"/>
  </si>
  <si>
    <t>保管場所区分名</t>
    <rPh sb="0" eb="2">
      <t>ホカン</t>
    </rPh>
    <rPh sb="2" eb="4">
      <t>バショ</t>
    </rPh>
    <rPh sb="4" eb="6">
      <t>クブン</t>
    </rPh>
    <rPh sb="6" eb="7">
      <t>メイ</t>
    </rPh>
    <phoneticPr fontId="2"/>
  </si>
  <si>
    <t>仕入先名</t>
    <phoneticPr fontId="2"/>
  </si>
  <si>
    <t>メーカー名</t>
    <phoneticPr fontId="2"/>
  </si>
  <si>
    <t>出庫事由</t>
    <phoneticPr fontId="2"/>
  </si>
  <si>
    <t>入出庫No.</t>
    <rPh sb="0" eb="3">
      <t>ニュウシュッコ</t>
    </rPh>
    <phoneticPr fontId="2"/>
  </si>
  <si>
    <t>在庫管理No.</t>
    <phoneticPr fontId="2"/>
  </si>
  <si>
    <t>受理No.</t>
    <phoneticPr fontId="2"/>
  </si>
  <si>
    <t>保管場所区分</t>
    <rPh sb="0" eb="2">
      <t>ホカン</t>
    </rPh>
    <rPh sb="2" eb="4">
      <t>バショ</t>
    </rPh>
    <rPh sb="4" eb="6">
      <t>クブン</t>
    </rPh>
    <phoneticPr fontId="2"/>
  </si>
  <si>
    <t>UNJC0220_IF_LIST_COPY_MOTO</t>
    <phoneticPr fontId="2"/>
  </si>
  <si>
    <t>UNJC0220_IF_PRINT_COUNT</t>
    <phoneticPr fontId="2"/>
  </si>
  <si>
    <t>UNJC0220_IF_PRINT_SHOSHIKI_COPY_SAKI</t>
    <phoneticPr fontId="2"/>
  </si>
  <si>
    <t>UNJC0220_IF_DATA_SEARCH_FLG</t>
    <phoneticPr fontId="2"/>
  </si>
  <si>
    <t>書式コピーフラグ</t>
    <rPh sb="0" eb="2">
      <t>ショシキ</t>
    </rPh>
    <phoneticPr fontId="2"/>
  </si>
  <si>
    <t>UNJC0220_IF_PRINT_SHOSHIKI_COPY_FLG</t>
    <phoneticPr fontId="2"/>
  </si>
  <si>
    <t>UNJC0220_IF_EXCEL_FILE_NAME</t>
    <phoneticPr fontId="2"/>
  </si>
  <si>
    <t>UNJC0220_IF_ACTIVE_SHEET</t>
    <phoneticPr fontId="2"/>
  </si>
  <si>
    <t>UNJC0220_IF_ACTIVE_ROW</t>
    <phoneticPr fontId="2"/>
  </si>
  <si>
    <t>UNJC0220_IF_ACTIVE_COLUMN</t>
    <phoneticPr fontId="2"/>
  </si>
  <si>
    <t>UNJC0220_IF_ACTIVE_CELL_NAME</t>
    <phoneticPr fontId="2"/>
  </si>
  <si>
    <t>データ取得SQL</t>
    <rPh sb="3" eb="5">
      <t>シュトク</t>
    </rPh>
    <phoneticPr fontId="2"/>
  </si>
  <si>
    <t>メイン</t>
  </si>
  <si>
    <t>検索結果取得SQL</t>
    <rPh sb="0" eb="2">
      <t>ケンサク</t>
    </rPh>
    <rPh sb="2" eb="4">
      <t>ケッカ</t>
    </rPh>
    <rPh sb="4" eb="6">
      <t>シュトク</t>
    </rPh>
    <phoneticPr fontId="2"/>
  </si>
  <si>
    <t>UNJC0220_SQL_SHUKKO_KENSAKU_LIST</t>
    <phoneticPr fontId="2"/>
  </si>
  <si>
    <t xml:space="preserve">SELECT *
</t>
    <phoneticPr fontId="2"/>
  </si>
  <si>
    <t xml:space="preserve"> FROM V_SHUKKO_KENSAKU_LIST
</t>
    <phoneticPr fontId="2"/>
  </si>
  <si>
    <t>Excel用データ取得SQL</t>
    <rPh sb="5" eb="6">
      <t>ヨウ</t>
    </rPh>
    <rPh sb="9" eb="11">
      <t>シュトク</t>
    </rPh>
    <phoneticPr fontId="2"/>
  </si>
  <si>
    <t>UNJC0220_SQL_EXCEL_LIST</t>
    <phoneticPr fontId="2"/>
  </si>
  <si>
    <t>カウントSQL</t>
    <phoneticPr fontId="2"/>
  </si>
  <si>
    <t>UNJC0220_SQL_SHUKKO_KENSAKU_LIST_CNT</t>
    <phoneticPr fontId="2"/>
  </si>
  <si>
    <t>購買品CD</t>
    <phoneticPr fontId="2"/>
  </si>
  <si>
    <t>受入日・スタート</t>
    <rPh sb="0" eb="3">
      <t>ウケイレビ</t>
    </rPh>
    <phoneticPr fontId="2"/>
  </si>
  <si>
    <t>受入日・エンド</t>
    <rPh sb="0" eb="3">
      <t>ウケイレビ</t>
    </rPh>
    <phoneticPr fontId="2"/>
  </si>
  <si>
    <t>検収日・スタート</t>
    <rPh sb="0" eb="2">
      <t>ケンシュウ</t>
    </rPh>
    <rPh sb="2" eb="3">
      <t>ビ</t>
    </rPh>
    <phoneticPr fontId="2"/>
  </si>
  <si>
    <t>保管場所</t>
    <phoneticPr fontId="2"/>
  </si>
  <si>
    <t>最終出庫日・スタート</t>
    <rPh sb="0" eb="2">
      <t>サイシュウ</t>
    </rPh>
    <rPh sb="2" eb="4">
      <t>シュッコ</t>
    </rPh>
    <rPh sb="4" eb="5">
      <t>ヒ</t>
    </rPh>
    <phoneticPr fontId="2"/>
  </si>
  <si>
    <t>予算コード</t>
    <rPh sb="0" eb="2">
      <t>ヨサン</t>
    </rPh>
    <phoneticPr fontId="2"/>
  </si>
  <si>
    <t>最終出庫日・エンド</t>
    <rPh sb="0" eb="2">
      <t>サイシュウ</t>
    </rPh>
    <rPh sb="2" eb="4">
      <t>シュッコ</t>
    </rPh>
    <rPh sb="4" eb="5">
      <t>ヒ</t>
    </rPh>
    <phoneticPr fontId="2"/>
  </si>
  <si>
    <t>ORDER BY NYUSHUKKO_NO ASC</t>
    <phoneticPr fontId="2"/>
  </si>
  <si>
    <t>UNJC0220_SQL_SORT</t>
    <phoneticPr fontId="2"/>
  </si>
  <si>
    <t>並び替えSQL</t>
    <rPh sb="0" eb="1">
      <t>ナラ</t>
    </rPh>
    <rPh sb="2" eb="3">
      <t>カ</t>
    </rPh>
    <phoneticPr fontId="2"/>
  </si>
  <si>
    <t>SELECT M_MEISHO_B.DATA_1   AS 並べ替え
      ,M_MEISHO_B.DATA_2        AS ORDER句
  FROM M_MEISHO_B
 WHERE M_MEISHO_B.MEISHO_KBN='O307'
 ORDER BY
       M_MEISHO_B.SORT_NO ASC
      ,CAST(M_MEISHO_B.MEISHO_CD AS INT) ASC</t>
    <phoneticPr fontId="2"/>
  </si>
  <si>
    <t>UNJC0220_SQL_SORT_BY</t>
    <phoneticPr fontId="2"/>
  </si>
  <si>
    <t>初期値</t>
    <rPh sb="0" eb="3">
      <t>ショキチ</t>
    </rPh>
    <phoneticPr fontId="2"/>
  </si>
  <si>
    <t>UNJC0220_SQL_DEFAULT_SORT</t>
    <phoneticPr fontId="2"/>
  </si>
  <si>
    <t>試薬出庫入力</t>
    <rPh sb="4" eb="6">
      <t>ニュウリョク</t>
    </rPh>
    <phoneticPr fontId="2"/>
  </si>
  <si>
    <t>【ハイパータスク】</t>
    <phoneticPr fontId="2"/>
  </si>
  <si>
    <t>情報取得</t>
    <rPh sb="0" eb="2">
      <t>ジョウホウ</t>
    </rPh>
    <rPh sb="2" eb="4">
      <t>シュトク</t>
    </rPh>
    <phoneticPr fontId="2"/>
  </si>
  <si>
    <t>UNJC0230_H_DBS_01</t>
    <phoneticPr fontId="2"/>
  </si>
  <si>
    <t>DBS#302303101</t>
    <phoneticPr fontId="2"/>
  </si>
  <si>
    <t>データ件数(データ有無判定)</t>
    <rPh sb="3" eb="5">
      <t>ケンスウ</t>
    </rPh>
    <rPh sb="9" eb="11">
      <t>ウム</t>
    </rPh>
    <rPh sb="11" eb="13">
      <t>ハンテイ</t>
    </rPh>
    <phoneticPr fontId="2"/>
  </si>
  <si>
    <t>UNJC0230_H_DATA_COUNT</t>
  </si>
  <si>
    <t>UNJC0230_H_HIDE_ROW</t>
  </si>
  <si>
    <t>UNJC0230_H_HIDE_COLUMN</t>
    <phoneticPr fontId="2"/>
  </si>
  <si>
    <t>入出庫No.：</t>
    <phoneticPr fontId="2"/>
  </si>
  <si>
    <t>UNJC0230_B_HIDE_ROW</t>
    <phoneticPr fontId="2"/>
  </si>
  <si>
    <t>UNJC0230_B_HIDE_COLUMN</t>
    <phoneticPr fontId="2"/>
  </si>
  <si>
    <t>受入日：</t>
    <rPh sb="0" eb="2">
      <t>ウケイレ</t>
    </rPh>
    <rPh sb="2" eb="3">
      <t>ビ</t>
    </rPh>
    <phoneticPr fontId="2"/>
  </si>
  <si>
    <t>【コード関連】</t>
    <rPh sb="4" eb="6">
      <t>カンレン</t>
    </rPh>
    <phoneticPr fontId="2"/>
  </si>
  <si>
    <t>UNJC0230_B_CODE_AREA</t>
  </si>
  <si>
    <t>保管場所：</t>
    <rPh sb="0" eb="2">
      <t>ホカン</t>
    </rPh>
    <rPh sb="2" eb="4">
      <t>バショ</t>
    </rPh>
    <phoneticPr fontId="2"/>
  </si>
  <si>
    <t>検収日：</t>
    <rPh sb="0" eb="2">
      <t>ケンシュウ</t>
    </rPh>
    <rPh sb="2" eb="3">
      <t>ビ</t>
    </rPh>
    <phoneticPr fontId="2"/>
  </si>
  <si>
    <t>UNJC0230_B_NYURYOKUSHA_CD</t>
  </si>
  <si>
    <t>予算コード：</t>
    <phoneticPr fontId="2"/>
  </si>
  <si>
    <t>UNJC0230_B_HOKAN_BASHO_KBN</t>
  </si>
  <si>
    <t>予算名</t>
    <rPh sb="0" eb="2">
      <t>ヨサン</t>
    </rPh>
    <rPh sb="2" eb="3">
      <t>メイ</t>
    </rPh>
    <phoneticPr fontId="2"/>
  </si>
  <si>
    <t>UNJC0230_B_YOSAN_MEI</t>
  </si>
  <si>
    <t>購買品：</t>
    <rPh sb="0" eb="3">
      <t>コウバイヒン</t>
    </rPh>
    <phoneticPr fontId="2"/>
  </si>
  <si>
    <t>依頼No.</t>
    <rPh sb="0" eb="2">
      <t>イライ</t>
    </rPh>
    <phoneticPr fontId="2"/>
  </si>
  <si>
    <t>UNJC0230_B_IRAI_NO</t>
    <phoneticPr fontId="2"/>
  </si>
  <si>
    <t>単価：</t>
    <rPh sb="0" eb="2">
      <t>タンカ</t>
    </rPh>
    <phoneticPr fontId="2"/>
  </si>
  <si>
    <t>入数：</t>
    <rPh sb="0" eb="2">
      <t>イリスウ</t>
    </rPh>
    <phoneticPr fontId="2"/>
  </si>
  <si>
    <t>試薬フラグ</t>
    <rPh sb="0" eb="2">
      <t>シヤク</t>
    </rPh>
    <phoneticPr fontId="2"/>
  </si>
  <si>
    <t>UNJC0230_B_SHIYAKU_FLG</t>
  </si>
  <si>
    <t>出庫数量：</t>
    <rPh sb="0" eb="2">
      <t>シュッコ</t>
    </rPh>
    <rPh sb="2" eb="4">
      <t>スウリョウ</t>
    </rPh>
    <phoneticPr fontId="2"/>
  </si>
  <si>
    <t>入数単位：</t>
    <rPh sb="0" eb="2">
      <t>イリスウ</t>
    </rPh>
    <rPh sb="2" eb="4">
      <t>タンイ</t>
    </rPh>
    <phoneticPr fontId="2"/>
  </si>
  <si>
    <t>バラ単位：</t>
    <rPh sb="2" eb="4">
      <t>タンイ</t>
    </rPh>
    <phoneticPr fontId="2"/>
  </si>
  <si>
    <t>仕入先：</t>
    <rPh sb="0" eb="2">
      <t>シイレ</t>
    </rPh>
    <rPh sb="2" eb="3">
      <t>サキ</t>
    </rPh>
    <phoneticPr fontId="2"/>
  </si>
  <si>
    <t>メーカー：</t>
    <phoneticPr fontId="2"/>
  </si>
  <si>
    <t>備考：</t>
    <rPh sb="0" eb="2">
      <t>ビコウ</t>
    </rPh>
    <phoneticPr fontId="2"/>
  </si>
  <si>
    <t>出庫事由：</t>
    <rPh sb="0" eb="2">
      <t>シュッコ</t>
    </rPh>
    <rPh sb="2" eb="4">
      <t>ジユウ</t>
    </rPh>
    <phoneticPr fontId="2"/>
  </si>
  <si>
    <t>【ヘッダ】</t>
    <phoneticPr fontId="2"/>
  </si>
  <si>
    <t>【ボディ】</t>
    <phoneticPr fontId="2"/>
  </si>
  <si>
    <t>UNJC0230_IF_DATA_SEARCH_FLG</t>
  </si>
  <si>
    <t>W_MODE</t>
  </si>
  <si>
    <t>NYUSHUKKO_NO</t>
  </si>
  <si>
    <t>ZAIKO_NO</t>
  </si>
  <si>
    <t>IRAI_NO</t>
    <phoneticPr fontId="2"/>
  </si>
  <si>
    <t>NYURYOKUSHA_CD</t>
  </si>
  <si>
    <t>SHUKKO_DATE</t>
  </si>
  <si>
    <t>SHUKKO_SURYO</t>
  </si>
  <si>
    <t>SHUKKO_JIYU</t>
  </si>
  <si>
    <t>対象在庫/入出庫No.</t>
    <rPh sb="0" eb="2">
      <t>タイショウ</t>
    </rPh>
    <rPh sb="2" eb="4">
      <t>ザイコ</t>
    </rPh>
    <rPh sb="5" eb="6">
      <t>イリ</t>
    </rPh>
    <rPh sb="6" eb="8">
      <t>シュッコ</t>
    </rPh>
    <phoneticPr fontId="2"/>
  </si>
  <si>
    <t>UNJC0230_IF_REF_NO</t>
  </si>
  <si>
    <t>ユーザーID</t>
    <phoneticPr fontId="2"/>
  </si>
  <si>
    <t>UNJC0230_IF_W_USER_ID</t>
  </si>
  <si>
    <t>在庫管理No.</t>
  </si>
  <si>
    <t>出庫日</t>
  </si>
  <si>
    <t>出庫数量</t>
  </si>
  <si>
    <t>出庫事由</t>
  </si>
  <si>
    <t>試薬用納品管理票印刷フラグ</t>
    <rPh sb="0" eb="2">
      <t>シヤク</t>
    </rPh>
    <rPh sb="2" eb="3">
      <t>ヨウ</t>
    </rPh>
    <rPh sb="3" eb="5">
      <t>ノウヒン</t>
    </rPh>
    <rPh sb="5" eb="7">
      <t>カンリ</t>
    </rPh>
    <rPh sb="7" eb="8">
      <t>ヒョウ</t>
    </rPh>
    <rPh sb="8" eb="10">
      <t>インサツ</t>
    </rPh>
    <phoneticPr fontId="2"/>
  </si>
  <si>
    <t>UNJC0230_IF_SHIYAKU_FLG</t>
  </si>
  <si>
    <t>UNJC0230_IF_COPY_H_SHINKI</t>
  </si>
  <si>
    <t>UNJC0230_IF_COPY_B_SHINKI</t>
  </si>
  <si>
    <t>UNJC0230_IF_W_SERIAL</t>
  </si>
  <si>
    <t>UNJC0230_IF</t>
  </si>
  <si>
    <t>保存開始位置</t>
    <rPh sb="0" eb="2">
      <t>ホゾン</t>
    </rPh>
    <rPh sb="2" eb="4">
      <t>カイシ</t>
    </rPh>
    <rPh sb="4" eb="6">
      <t>イチ</t>
    </rPh>
    <phoneticPr fontId="2"/>
  </si>
  <si>
    <t>UNJC0230_IF_SAVE_START</t>
  </si>
  <si>
    <t>UNJC0230_IF_W_SERIAL_CREATE</t>
  </si>
  <si>
    <t>UNJC0230_IF_SAVE_ZAIKO_NO</t>
  </si>
  <si>
    <t>UNJC0230_IF_SAVE_NYURYOKUSHA_CD</t>
  </si>
  <si>
    <t>UNJC0230_IF_SAVE_SHUKKO_DATE</t>
  </si>
  <si>
    <t>UNJC0230_IF_SAVE_SHUKKO_SURYO</t>
  </si>
  <si>
    <t>UNJC0230_IF_W_MODE</t>
  </si>
  <si>
    <t>表示モード</t>
    <rPh sb="0" eb="2">
      <t>ヒョウジ</t>
    </rPh>
    <phoneticPr fontId="2"/>
  </si>
  <si>
    <t>UNJC0230_IF_MODE</t>
  </si>
  <si>
    <t>UNJC0230_IF_SAVE_ZAIKO_NO,UNJC0230_IF_SAVE_NYURYOKUSHA_CD,UNJC0230_IF_SAVE_SHUKKO_DATE,UNJC0230_IF_SAVE_SHUKKO_SURYO</t>
    <phoneticPr fontId="2"/>
  </si>
  <si>
    <t>UNJC0230_IF_COPY_H_SHUSEI</t>
  </si>
  <si>
    <t>在庫管理No.,入力者CD,出庫日,出庫数量</t>
    <phoneticPr fontId="2"/>
  </si>
  <si>
    <t>UNJC0230_IF_SAVE_KENSU</t>
  </si>
  <si>
    <t>UNJC0230_IF_ACTIVE_SHEET</t>
  </si>
  <si>
    <t>UNJC0230_IF_ACTIVE_ROW</t>
  </si>
  <si>
    <t>UNJC0230_IF_ACTIVE_COLUMN</t>
  </si>
  <si>
    <t>UNJC0230_IF_ACTIVE_CELL_NAME</t>
  </si>
  <si>
    <t>UNJC0230_IF_COPY_H_SANSHO</t>
  </si>
  <si>
    <t>対象入出庫No.</t>
    <rPh sb="0" eb="2">
      <t>タイショウ</t>
    </rPh>
    <rPh sb="2" eb="3">
      <t>イリ</t>
    </rPh>
    <rPh sb="3" eb="5">
      <t>シュッコ</t>
    </rPh>
    <phoneticPr fontId="2"/>
  </si>
  <si>
    <t>UNJC0230_IF_SAVE_RESULT_NYUSHUKKO_NO</t>
  </si>
  <si>
    <t>UNJC0230_IF_SAVE_RESULT_CD</t>
  </si>
  <si>
    <t>UNJC0230_IF_BUTTON_06_NAME</t>
    <phoneticPr fontId="2"/>
  </si>
  <si>
    <t>UNJC0230_IF_SAVE_RESULT_MESSAGE</t>
  </si>
  <si>
    <t>UNJC0230_IF_BUTTON_10_NAME</t>
    <phoneticPr fontId="2"/>
  </si>
  <si>
    <t>出庫確定</t>
    <rPh sb="0" eb="2">
      <t>シュッコ</t>
    </rPh>
    <rPh sb="2" eb="4">
      <t>カクテイ</t>
    </rPh>
    <phoneticPr fontId="2"/>
  </si>
  <si>
    <t>出庫確定</t>
  </si>
  <si>
    <t>【初期状態(依頼No.入力前)】</t>
    <rPh sb="1" eb="3">
      <t>ショキ</t>
    </rPh>
    <rPh sb="3" eb="5">
      <t>ジョウタイ</t>
    </rPh>
    <rPh sb="6" eb="8">
      <t>イライ</t>
    </rPh>
    <rPh sb="11" eb="13">
      <t>ニュウリョク</t>
    </rPh>
    <rPh sb="13" eb="14">
      <t>マエ</t>
    </rPh>
    <phoneticPr fontId="2"/>
  </si>
  <si>
    <t>UNJC0230_IF_SAVE_ERROR_CHECK</t>
  </si>
  <si>
    <t>UNJC0230_IF_COPY_H_INIT</t>
  </si>
  <si>
    <t>UNJC0230_IF_SAVE_ERROR_MESSAGE</t>
    <phoneticPr fontId="2"/>
  </si>
  <si>
    <t>UNJC0230_IF_BUTTON_06_HYOJI</t>
  </si>
  <si>
    <t>UNJC0230_IF_BUTTON_07_HYOJI</t>
  </si>
  <si>
    <t>UNJC0230_IF_BUTTON_10_HYOJI</t>
  </si>
  <si>
    <t>Excel出力ボタン</t>
    <phoneticPr fontId="2"/>
  </si>
  <si>
    <t>Excel出力ボタン</t>
    <phoneticPr fontId="2"/>
  </si>
  <si>
    <t>UNJC0230_IF_BUTTON_20_HYOJI</t>
  </si>
  <si>
    <t>UNJC0230_IF_COPY_B_SHUSEI</t>
  </si>
  <si>
    <t>UNJC0230_IF_INPUT_CHECK</t>
  </si>
  <si>
    <t>エラーメッセージ</t>
    <phoneticPr fontId="2"/>
  </si>
  <si>
    <t>UNJC0230_IF_INPUT_ERROR_MESSAGE</t>
  </si>
  <si>
    <t>UNJC0230_IF_EXCEL_FILE_NAME</t>
    <phoneticPr fontId="2"/>
  </si>
  <si>
    <t>UNJC0230_IF_SAVE_CHECK_RESULT</t>
    <phoneticPr fontId="2"/>
  </si>
  <si>
    <t>UNJC0230_IF_SAVE_CHECK_ERROR_KOMOKU</t>
    <phoneticPr fontId="2"/>
  </si>
  <si>
    <t>UNJC0230_IF_COPY_B_SANSHO</t>
  </si>
  <si>
    <t>UNJC0230_IF_COPY_B_INIT</t>
  </si>
  <si>
    <t>UNJC0230_SQL_DATA</t>
  </si>
  <si>
    <t>データ取得SQL(新規)</t>
    <rPh sb="3" eb="5">
      <t>シュトク</t>
    </rPh>
    <rPh sb="9" eb="11">
      <t>シンキ</t>
    </rPh>
    <phoneticPr fontId="2"/>
  </si>
  <si>
    <t xml:space="preserve">  FROM V_SHIYAKU_SHUKKO_DATA_SHINKI
</t>
    <phoneticPr fontId="2"/>
  </si>
  <si>
    <t>データ取得SQL(修正)</t>
    <rPh sb="3" eb="5">
      <t>シュトク</t>
    </rPh>
    <rPh sb="9" eb="11">
      <t>シュウセイ</t>
    </rPh>
    <phoneticPr fontId="2"/>
  </si>
  <si>
    <t xml:space="preserve">  FROM V_SHIYAKU_SHUKKO_DATA_SANSHO
</t>
    <phoneticPr fontId="2"/>
  </si>
  <si>
    <t>UNJC0230_SQL_DATA_COUNT</t>
  </si>
  <si>
    <t xml:space="preserve">SELECT COUNT(*) AS CNT
  FROM V_SHIYAKU_SHUKKO_DATA_SHINKI
</t>
    <phoneticPr fontId="2"/>
  </si>
  <si>
    <t>ストアド</t>
    <phoneticPr fontId="2"/>
  </si>
  <si>
    <t>ストアド実行</t>
    <rPh sb="4" eb="6">
      <t>ジッコウ</t>
    </rPh>
    <phoneticPr fontId="2"/>
  </si>
  <si>
    <t>UNJC0230_SQL_PROC</t>
  </si>
  <si>
    <t>申請者</t>
    <rPh sb="0" eb="3">
      <t>シンセイシャ</t>
    </rPh>
    <phoneticPr fontId="2"/>
  </si>
  <si>
    <t>UNJC0230_SQL_DEFAULT_NYURYOKUSHA</t>
  </si>
  <si>
    <t>在庫管理No.検索用SQL</t>
    <rPh sb="0" eb="2">
      <t>ザイコ</t>
    </rPh>
    <rPh sb="2" eb="4">
      <t>カンリ</t>
    </rPh>
    <rPh sb="7" eb="9">
      <t>ケンサク</t>
    </rPh>
    <rPh sb="9" eb="10">
      <t>ヨウ</t>
    </rPh>
    <phoneticPr fontId="2"/>
  </si>
  <si>
    <t>UNJC_COMMON_SQL_ZAIKO_NO_SEARCH</t>
    <phoneticPr fontId="2"/>
  </si>
  <si>
    <t>試薬在庫検索</t>
    <rPh sb="4" eb="6">
      <t>ケンサク</t>
    </rPh>
    <phoneticPr fontId="2"/>
  </si>
  <si>
    <t>UNJC0240_H_HIDE_ROW</t>
  </si>
  <si>
    <t>UNJC0240_H_HIDE_COLUMN</t>
    <phoneticPr fontId="2"/>
  </si>
  <si>
    <t>UNJC0240_H_INIT_HEADER_DATA_COPY_SAKI</t>
    <phoneticPr fontId="2"/>
  </si>
  <si>
    <t>セル名</t>
    <phoneticPr fontId="2"/>
  </si>
  <si>
    <t>保管場所▼</t>
    <phoneticPr fontId="2"/>
  </si>
  <si>
    <t>購買品名</t>
    <phoneticPr fontId="2"/>
  </si>
  <si>
    <t>UNJC0240_H_KOBAIHIN_MEI</t>
    <phoneticPr fontId="2"/>
  </si>
  <si>
    <t>仕入先名</t>
    <phoneticPr fontId="2"/>
  </si>
  <si>
    <t>UNJC0240_H_SHIIRESAKI_MEI</t>
    <phoneticPr fontId="2"/>
  </si>
  <si>
    <t>UNJC0240_H_MAKER_MEI</t>
    <phoneticPr fontId="2"/>
  </si>
  <si>
    <t>保管場所区分</t>
    <phoneticPr fontId="2"/>
  </si>
  <si>
    <t>UNJC0240_H_HOKAN_BASHO_KBN</t>
    <phoneticPr fontId="2"/>
  </si>
  <si>
    <t>UNJC0240_H_FREEWD_KBN</t>
    <phoneticPr fontId="2"/>
  </si>
  <si>
    <t>フリーワード：</t>
    <phoneticPr fontId="2"/>
  </si>
  <si>
    <t>UNJC0240_H_KOBAIHIN_CD_S</t>
    <phoneticPr fontId="2"/>
  </si>
  <si>
    <t>UNJC0240_H_KOBAIHIN_MEI_S</t>
    <phoneticPr fontId="2"/>
  </si>
  <si>
    <t>UNJC0240_H_SHIIRESAKI_CD_S</t>
    <phoneticPr fontId="2"/>
  </si>
  <si>
    <t>UNJC0240_H_SHIIRESAKI_MEI_S</t>
    <phoneticPr fontId="2"/>
  </si>
  <si>
    <t>UNJC0240_H_MAKER_CD_S</t>
    <phoneticPr fontId="2"/>
  </si>
  <si>
    <t>UNJC0240_H_MAKER_MEI_S</t>
    <phoneticPr fontId="2"/>
  </si>
  <si>
    <t>UNJC0240_H_HOKAN_BASHO_KBN_S</t>
    <phoneticPr fontId="2"/>
  </si>
  <si>
    <t>UNJC0240_H_HOKAN_BASHO_KBN_MEI_S</t>
    <phoneticPr fontId="2"/>
  </si>
  <si>
    <t>最終入出庫日・スタート</t>
    <phoneticPr fontId="2"/>
  </si>
  <si>
    <t>UNJC0240_H_NYUKO_DATE_START_S</t>
    <phoneticPr fontId="2"/>
  </si>
  <si>
    <t>最終入出庫日・エンド</t>
    <phoneticPr fontId="2"/>
  </si>
  <si>
    <t>UNJC0240_H_NYUKO_DATE_END_S</t>
    <phoneticPr fontId="2"/>
  </si>
  <si>
    <t>最終出庫日・スタート</t>
    <phoneticPr fontId="2"/>
  </si>
  <si>
    <t>UNJC0240_H_SHUKKO_DATE_START_S</t>
    <phoneticPr fontId="2"/>
  </si>
  <si>
    <t>最終出庫日・エンド</t>
    <phoneticPr fontId="2"/>
  </si>
  <si>
    <t>UNJC0240_H_SHUKKO_DATE_END_S</t>
    <phoneticPr fontId="2"/>
  </si>
  <si>
    <t>UNJC0240_H_FREEWD_1_S</t>
    <phoneticPr fontId="2"/>
  </si>
  <si>
    <t>UNJC0240_H_FREEWD_2_S</t>
    <phoneticPr fontId="2"/>
  </si>
  <si>
    <t>UNJC0240_H_FREEWD_3_S</t>
    <phoneticPr fontId="2"/>
  </si>
  <si>
    <t>UNJC0240_H_FREEWD_KBN_S</t>
    <phoneticPr fontId="2"/>
  </si>
  <si>
    <t>UNJC0240_B_HIDE_ROW</t>
    <phoneticPr fontId="2"/>
  </si>
  <si>
    <t>メーカーCD</t>
    <phoneticPr fontId="2"/>
  </si>
  <si>
    <t>在庫数</t>
    <rPh sb="0" eb="3">
      <t>ザイコスウ</t>
    </rPh>
    <phoneticPr fontId="2"/>
  </si>
  <si>
    <t>最終入庫日</t>
    <rPh sb="0" eb="2">
      <t>サイシュウ</t>
    </rPh>
    <rPh sb="4" eb="5">
      <t>ビ</t>
    </rPh>
    <phoneticPr fontId="2"/>
  </si>
  <si>
    <t>最終出庫日</t>
    <rPh sb="0" eb="2">
      <t>サイシュウ</t>
    </rPh>
    <rPh sb="2" eb="4">
      <t>シュッコ</t>
    </rPh>
    <rPh sb="4" eb="5">
      <t>ビ</t>
    </rPh>
    <phoneticPr fontId="2"/>
  </si>
  <si>
    <t>UNJC0240_B_HIDE_COLUMN</t>
    <phoneticPr fontId="2"/>
  </si>
  <si>
    <t>UNJC0240_B_SCROLL_LOCK</t>
    <phoneticPr fontId="2"/>
  </si>
  <si>
    <t>UNJC0240_B_ALL_KENSU</t>
  </si>
  <si>
    <t>UNJC0240_B_PAGE_NO</t>
  </si>
  <si>
    <t>UNJC0240_B_ALL_PAGE_SU</t>
  </si>
  <si>
    <t>UNJC0240_B_HYOJI_KENSU</t>
  </si>
  <si>
    <t>UNJC0240_B_HYOJI_GYO_SU</t>
  </si>
  <si>
    <t>UNJC0240_B_LIST_START</t>
  </si>
  <si>
    <t>UNJC0240_B_LIST_END</t>
  </si>
  <si>
    <t>UNJC0240_B_LIST_COPY_FLG</t>
  </si>
  <si>
    <t>UNJC0240_B_LIST_COPY_SAKI</t>
  </si>
  <si>
    <t>UNJC0240_B_LIST_CLEAR</t>
  </si>
  <si>
    <t>UNJC0240_B_NEXT_PAGE_NO</t>
  </si>
  <si>
    <t>UNJC0240_B_BACK_PAGE_NO</t>
  </si>
  <si>
    <t>UNJC0240_B_BACK_PAGE</t>
  </si>
  <si>
    <t>UNJC0240_B_NEXT_PAGE</t>
  </si>
  <si>
    <t>フリーワード検索用</t>
    <rPh sb="6" eb="8">
      <t>ケンサク</t>
    </rPh>
    <rPh sb="8" eb="9">
      <t>ヨウ</t>
    </rPh>
    <phoneticPr fontId="2"/>
  </si>
  <si>
    <t>UNJC0240_IF_INIT_HEADER_COPY_MOTO</t>
  </si>
  <si>
    <t>UNJC0240_IF_PRINT_SHOSHIKI_COPY_MOTO</t>
    <phoneticPr fontId="2"/>
  </si>
  <si>
    <t>UNJC0240_IF_LIST_DEFAULT</t>
  </si>
  <si>
    <t>UNJC0240_IF_INIT_HEADER_DATA_COPY_MOTO</t>
    <phoneticPr fontId="2"/>
  </si>
  <si>
    <t>購買品名</t>
    <phoneticPr fontId="2"/>
  </si>
  <si>
    <t>仕入先名</t>
    <phoneticPr fontId="2"/>
  </si>
  <si>
    <t>メーカーCD</t>
    <phoneticPr fontId="2"/>
  </si>
  <si>
    <t>メーカー名</t>
    <phoneticPr fontId="2"/>
  </si>
  <si>
    <t>入数</t>
    <phoneticPr fontId="2"/>
  </si>
  <si>
    <t>入数単位</t>
    <rPh sb="0" eb="1">
      <t>ニュウ</t>
    </rPh>
    <rPh sb="1" eb="2">
      <t>スウ</t>
    </rPh>
    <rPh sb="2" eb="4">
      <t>タンイ</t>
    </rPh>
    <phoneticPr fontId="2"/>
  </si>
  <si>
    <t>在庫数</t>
    <phoneticPr fontId="2"/>
  </si>
  <si>
    <t>バラ単位</t>
    <phoneticPr fontId="2"/>
  </si>
  <si>
    <t>最終入庫日</t>
    <phoneticPr fontId="2"/>
  </si>
  <si>
    <t>UNJC0240_IF_LIST_COPY_MOTO</t>
  </si>
  <si>
    <t>購買品名</t>
  </si>
  <si>
    <t>UNJC0240_IF_PRINT_COUNT</t>
    <phoneticPr fontId="2"/>
  </si>
  <si>
    <t>UNJC0240_IF_PRINT_SHOSHIKI_COPY_SAKI</t>
  </si>
  <si>
    <t>UNJC0240_IF_DATA_SEARCH_FLG</t>
  </si>
  <si>
    <t>UNJC0240_IF_PRINT_SHOSHIKI_COPY_FLAG</t>
  </si>
  <si>
    <t>UNJC0240_IF_EXCEL_FILE_NAME</t>
  </si>
  <si>
    <t>UNJC0240_IF_ACTIVE_SHEET</t>
  </si>
  <si>
    <t>UNJC0240_IF_ACTIVE_ROW</t>
  </si>
  <si>
    <t>UNJC0240_IF_ACTIVE_COLUMN</t>
  </si>
  <si>
    <t>UNJC0240_IF_ACTIVE_CELL_NAME</t>
  </si>
  <si>
    <t>UNJC0240_SQL_ZAIKO_KENSAKU_LIST</t>
    <phoneticPr fontId="2"/>
  </si>
  <si>
    <t>SELECT</t>
    <phoneticPr fontId="2"/>
  </si>
  <si>
    <t xml:space="preserve"> FROM V_ZAIKO_KENSAKU_LIST
</t>
  </si>
  <si>
    <t>UNJC0240_SQL_EXCEL_LIST</t>
    <phoneticPr fontId="2"/>
  </si>
  <si>
    <t>UNJC0240_SQL_ZAIKO_KENSAKU_LIST_CNT</t>
    <phoneticPr fontId="2"/>
  </si>
  <si>
    <t>仕入先CD</t>
    <phoneticPr fontId="2"/>
  </si>
  <si>
    <t>最終入出庫日・スタート</t>
    <rPh sb="0" eb="2">
      <t>サイシュウ</t>
    </rPh>
    <rPh sb="2" eb="5">
      <t>ニュウシュッコ</t>
    </rPh>
    <rPh sb="5" eb="6">
      <t>ヒ</t>
    </rPh>
    <phoneticPr fontId="2"/>
  </si>
  <si>
    <t>検収日・エンド</t>
    <rPh sb="0" eb="2">
      <t>ケンシュウ</t>
    </rPh>
    <rPh sb="2" eb="3">
      <t>ビ</t>
    </rPh>
    <phoneticPr fontId="2"/>
  </si>
  <si>
    <t>最終入出庫日・エンド</t>
    <rPh sb="0" eb="2">
      <t>サイシュウ</t>
    </rPh>
    <rPh sb="2" eb="5">
      <t>ニュウシュッコ</t>
    </rPh>
    <rPh sb="5" eb="6">
      <t>ヒ</t>
    </rPh>
    <phoneticPr fontId="2"/>
  </si>
  <si>
    <t>ORDER BY KOBAIHIN_CD ASC</t>
    <phoneticPr fontId="2"/>
  </si>
  <si>
    <t>UNJC0240_SQL_SORT</t>
  </si>
  <si>
    <t>SELECT M_MEISHO_B.DATA_1   AS 並べ替え
      ,M_MEISHO_B.DATA_2        AS ORDER句
  FROM M_MEISHO_B
 WHERE M_MEISHO_B.MEISHO_KBN='O308'
 ORDER BY
       M_MEISHO_B.SORT_NO ASC
      ,CAST(M_MEISHO_B.MEISHO_CD AS INT) ASC</t>
    <phoneticPr fontId="2"/>
  </si>
  <si>
    <t>UNJC0240_SQL_SORT_BY</t>
  </si>
  <si>
    <t>UNJC0240_SQL_DEFAULT_SORT</t>
  </si>
  <si>
    <t>試薬在庫調整入力</t>
    <rPh sb="2" eb="4">
      <t>ザイコ</t>
    </rPh>
    <rPh sb="4" eb="6">
      <t>チョウセイ</t>
    </rPh>
    <rPh sb="6" eb="8">
      <t>ニュウリョク</t>
    </rPh>
    <phoneticPr fontId="2"/>
  </si>
  <si>
    <t>【ハイパータスク】</t>
    <phoneticPr fontId="2"/>
  </si>
  <si>
    <t>UNJC0250_H_DBS_01</t>
    <phoneticPr fontId="2"/>
  </si>
  <si>
    <t>DBS#302503101</t>
    <phoneticPr fontId="2"/>
  </si>
  <si>
    <t>UNJC0250_H_DATA_COUNT</t>
  </si>
  <si>
    <t>セル名</t>
    <phoneticPr fontId="2"/>
  </si>
  <si>
    <t>UNJC0250_H_HIDE_ROW</t>
  </si>
  <si>
    <t>UNJC0250_H_HIDE_COLUMN</t>
    <phoneticPr fontId="2"/>
  </si>
  <si>
    <t>セル名</t>
    <phoneticPr fontId="2"/>
  </si>
  <si>
    <t>保管場所▼</t>
    <rPh sb="0" eb="2">
      <t>ホカン</t>
    </rPh>
    <rPh sb="2" eb="4">
      <t>バショ</t>
    </rPh>
    <phoneticPr fontId="2"/>
  </si>
  <si>
    <t>UNJC0250_B_HIDE_ROW</t>
    <phoneticPr fontId="2"/>
  </si>
  <si>
    <t>UNJC0250_B_HIDE_COLUMN</t>
    <phoneticPr fontId="2"/>
  </si>
  <si>
    <t>UNJC0250_B_CODE_AREA</t>
  </si>
  <si>
    <t>在庫数量：</t>
    <rPh sb="0" eb="2">
      <t>ザイコ</t>
    </rPh>
    <rPh sb="2" eb="4">
      <t>スウリョウ</t>
    </rPh>
    <phoneticPr fontId="2"/>
  </si>
  <si>
    <t>UNJC0250_B_HOKAN_BASHO_KBN</t>
  </si>
  <si>
    <t>購買品名</t>
    <rPh sb="0" eb="2">
      <t>コウバイ</t>
    </rPh>
    <rPh sb="2" eb="4">
      <t>ヒンメイ</t>
    </rPh>
    <phoneticPr fontId="2"/>
  </si>
  <si>
    <t>UNJC0250_B_KOBAIHIN_MEI</t>
    <phoneticPr fontId="2"/>
  </si>
  <si>
    <t>UNJC0250_B_SHIIRESAKI_MEI</t>
    <phoneticPr fontId="2"/>
  </si>
  <si>
    <t>UNJC0250_B_MAKER_MEI</t>
    <phoneticPr fontId="2"/>
  </si>
  <si>
    <t>メーカー▼</t>
    <phoneticPr fontId="2"/>
  </si>
  <si>
    <t>UNJC0250_B_SHIYAKU_FLG</t>
  </si>
  <si>
    <t>最終入庫日：</t>
    <rPh sb="0" eb="2">
      <t>サイシュウ</t>
    </rPh>
    <rPh sb="2" eb="4">
      <t>ニュウコ</t>
    </rPh>
    <rPh sb="4" eb="5">
      <t>ビ</t>
    </rPh>
    <rPh sb="5" eb="6">
      <t>イリヒ</t>
    </rPh>
    <phoneticPr fontId="2"/>
  </si>
  <si>
    <t>最終出庫日：</t>
    <rPh sb="0" eb="2">
      <t>サイシュウ</t>
    </rPh>
    <rPh sb="2" eb="4">
      <t>シュッコ</t>
    </rPh>
    <rPh sb="4" eb="5">
      <t>ビ</t>
    </rPh>
    <phoneticPr fontId="2"/>
  </si>
  <si>
    <t>【ヘッダ】</t>
    <phoneticPr fontId="2"/>
  </si>
  <si>
    <t>【ボディ】</t>
    <phoneticPr fontId="2"/>
  </si>
  <si>
    <t>UNJC0250_IF_DATA_SEARCH_FLG</t>
  </si>
  <si>
    <t>KOBAIHIN_CD</t>
  </si>
  <si>
    <t>HOKAN_BASHO_KBN</t>
  </si>
  <si>
    <t>SHIIRE_CD</t>
  </si>
  <si>
    <t>MAKER_CD</t>
  </si>
  <si>
    <t>TANKA</t>
  </si>
  <si>
    <t>IRISU</t>
  </si>
  <si>
    <t>IRISU_TANI</t>
  </si>
  <si>
    <t>ZAIKO_SURYO</t>
  </si>
  <si>
    <t>BARA_TANI</t>
  </si>
  <si>
    <t>LAST_NYUKO_DATE</t>
  </si>
  <si>
    <t>LAST_SHUKKO_DATE</t>
  </si>
  <si>
    <t>対象在庫管理No.</t>
    <rPh sb="0" eb="2">
      <t>タイショウ</t>
    </rPh>
    <rPh sb="2" eb="4">
      <t>ザイコ</t>
    </rPh>
    <rPh sb="4" eb="6">
      <t>カンリ</t>
    </rPh>
    <phoneticPr fontId="2"/>
  </si>
  <si>
    <t>UNJC0250_IF_REF_NO</t>
  </si>
  <si>
    <t>UNJC0250_IF_COPY_B_SHINKI</t>
  </si>
  <si>
    <t>ユーザーID</t>
    <phoneticPr fontId="2"/>
  </si>
  <si>
    <t>UNJC0250_IF_W_USER_ID</t>
  </si>
  <si>
    <t>購買品CD</t>
  </si>
  <si>
    <t>保管場所区分</t>
  </si>
  <si>
    <t>単価</t>
  </si>
  <si>
    <t>在庫数量</t>
  </si>
  <si>
    <t>最終入庫日</t>
  </si>
  <si>
    <t>最終出庫日</t>
  </si>
  <si>
    <t>UNJC0250_IF_SHIYAKU_FLG</t>
  </si>
  <si>
    <t>UNJC0250_IF_COPY_H_SHINKI</t>
  </si>
  <si>
    <t>UNJC0250_IF_W_SERIAL</t>
  </si>
  <si>
    <t>UNJC0250_IF</t>
  </si>
  <si>
    <t>UNJC0250_IF_SAVE_START</t>
  </si>
  <si>
    <t>UNJC0250_IF_W_SERIAL_CREATE</t>
  </si>
  <si>
    <t>UNJC0250_IF_SAVE_ZAIKO_NO</t>
  </si>
  <si>
    <t>UNJC0250_IF_SAVE_KOBAIHIN_CD</t>
  </si>
  <si>
    <t>UNJC0250_IF_SAVE_HOKAN_BASHO_KBN</t>
  </si>
  <si>
    <t>UNJC0250_IF_SAVE_ZAIKO_SURYO</t>
  </si>
  <si>
    <t>UNJC0250_IF_W_MODE</t>
  </si>
  <si>
    <t>UNJC0250_IF_MODE</t>
  </si>
  <si>
    <t>UNJC0250_IF_SAVE_ZAIKO_NO,UNJC0250_IF_SAVE_KOBAIHIN_CD,UNJC0250_IF_SAVE_HOKAN_BASHO_KBN,UNJC0250_IF_SAVE_ZAIKO_SURYO</t>
    <phoneticPr fontId="2"/>
  </si>
  <si>
    <t>UNJC0250_IF_COPY_H_SHUSEI</t>
  </si>
  <si>
    <t>在庫管理No.,購買品CD,保管場所区分,在庫数量</t>
    <phoneticPr fontId="2"/>
  </si>
  <si>
    <t>UNJC0250_IF_SAVE_KENSU</t>
  </si>
  <si>
    <t>UNJC0250_IF_ACTIVE_SHEET</t>
  </si>
  <si>
    <t>UNJC0250_IF_ACTIVE_ROW</t>
  </si>
  <si>
    <t>UNJC0250_IF_ACTIVE_COLUMN</t>
  </si>
  <si>
    <t>UNJC0250_IF_ACTIVE_CELL_NAME</t>
  </si>
  <si>
    <t>UNJC0250_IF_COPY_H_SANSHO</t>
  </si>
  <si>
    <t>UNJC0250_IF_SAVE_RESULT_ZAIKO_NO</t>
    <phoneticPr fontId="2"/>
  </si>
  <si>
    <t>UNJC0250_IF_SAVE_RESULT_CD</t>
  </si>
  <si>
    <t>UNJC0250_IF_BUTTON_06_NAME</t>
    <phoneticPr fontId="2"/>
  </si>
  <si>
    <t>-</t>
    <phoneticPr fontId="2"/>
  </si>
  <si>
    <t>UNJC0250_IF_SAVE_RESULT_MESSAGE</t>
  </si>
  <si>
    <t>UNJC0250_IF_BUTTON_10_NAME</t>
    <phoneticPr fontId="2"/>
  </si>
  <si>
    <t>確定</t>
    <rPh sb="0" eb="2">
      <t>カクテイ</t>
    </rPh>
    <phoneticPr fontId="2"/>
  </si>
  <si>
    <t>UNJC0250_IF_SAVE_ERROR_CHECK</t>
  </si>
  <si>
    <t>UNJC0250_IF_COPY_H_INIT</t>
  </si>
  <si>
    <t>UNJC0250_IF_SAVE_ERROR_MESSAGE</t>
    <phoneticPr fontId="2"/>
  </si>
  <si>
    <t>処理に失敗しました。再度実行してください。</t>
    <phoneticPr fontId="2"/>
  </si>
  <si>
    <t>UNJC0250_IF_COPY_B_SHUSEI</t>
  </si>
  <si>
    <t>UNJC0250_IF_BUTTON_06_HYOJI</t>
    <phoneticPr fontId="2"/>
  </si>
  <si>
    <t>UNJC0250_IF_BUTTON_07_HYOJI</t>
  </si>
  <si>
    <t>UNJC0250_IF_BUTTON_10_HYOJI</t>
  </si>
  <si>
    <t>UNJC0250_IF_BUTTON_20_HYOJI</t>
  </si>
  <si>
    <t>UNJC0250_IF_INPUT_CHECK</t>
  </si>
  <si>
    <t>UNJC0250_IF_INPUT_ERROR_MESSAGE</t>
  </si>
  <si>
    <t>UNJC0250_IF_EXCEL_FILE_NAME</t>
    <phoneticPr fontId="2"/>
  </si>
  <si>
    <t>UNJC0250_IF_SAVE_CHECK_RESULT</t>
    <phoneticPr fontId="2"/>
  </si>
  <si>
    <t>UNJC0250_IF_SAVE_CHECK_ERROR_KOMOKU</t>
    <phoneticPr fontId="2"/>
  </si>
  <si>
    <t>UNJC0250_IF_COPY_B_SANSHO</t>
  </si>
  <si>
    <t>UNJC0250_IF_COPY_B_INIT</t>
  </si>
  <si>
    <t>UNJC0250_SQL_DATA</t>
    <phoneticPr fontId="2"/>
  </si>
  <si>
    <t>SELECT</t>
    <phoneticPr fontId="2"/>
  </si>
  <si>
    <t xml:space="preserve">SELECT *
</t>
    <phoneticPr fontId="2"/>
  </si>
  <si>
    <t>FROM</t>
    <phoneticPr fontId="2"/>
  </si>
  <si>
    <t xml:space="preserve">  FROM V_ZAIKO_DATA
</t>
    <phoneticPr fontId="2"/>
  </si>
  <si>
    <t>WHERE</t>
    <phoneticPr fontId="2"/>
  </si>
  <si>
    <t>カウント取得SQL</t>
    <rPh sb="4" eb="6">
      <t>シュトク</t>
    </rPh>
    <phoneticPr fontId="2"/>
  </si>
  <si>
    <t>UNJC0250_SQL_DATA_COUNT</t>
    <phoneticPr fontId="2"/>
  </si>
  <si>
    <t xml:space="preserve">SELECT COUNT(*) AS CNT
  FROM V_ZAIKO_DATA
</t>
    <phoneticPr fontId="2"/>
  </si>
  <si>
    <t>WHERE</t>
    <phoneticPr fontId="2"/>
  </si>
  <si>
    <t>ストアド</t>
    <phoneticPr fontId="2"/>
  </si>
  <si>
    <t>UNJC0250_SQL_PROC</t>
  </si>
  <si>
    <t>購買品検索用SQL</t>
    <rPh sb="0" eb="3">
      <t>コウバイヒン</t>
    </rPh>
    <phoneticPr fontId="2"/>
  </si>
  <si>
    <t>UNJC_COMMON_SQL_KOBAIHIN_SEARCH</t>
    <phoneticPr fontId="2"/>
  </si>
  <si>
    <t>UNJC_COMMON_SQL_HOKAN_BASHO_SEARCH</t>
    <phoneticPr fontId="2"/>
  </si>
  <si>
    <t>仕入先取得SQL</t>
    <rPh sb="0" eb="2">
      <t>シイレ</t>
    </rPh>
    <rPh sb="2" eb="3">
      <t>サキ</t>
    </rPh>
    <rPh sb="3" eb="5">
      <t>シュトク</t>
    </rPh>
    <phoneticPr fontId="2"/>
  </si>
  <si>
    <t>UNJC_COMMON_SQL_SHIIRESAKI_SEARCH</t>
    <phoneticPr fontId="2"/>
  </si>
  <si>
    <t>SELECT M_AITESAKI.AITE_CD                   AS  仕入先CD
      ,M_AITESAKI.AITE_MEI                  AS  仕入先名
      ,M_AITESAKI.BUSHO_MEI                 AS  相手先部署名
      ,M_AITESAKI.TANTO_MEI                 AS  相手先担当者名
      ,M_AITESAKI.SHIHARAIHOHO_KBN          AS  支払方法区分
      ,J_SHIHARAIHOHO.DATA_1                AS  支払方法
      ,M_AITESAKI.SHIIRE_CHUKI              AS  注記
      ,M_AITESAKI.SHIIRE_HASU_KBN           AS  端数処理区分
      ,M_AITESAKI.SHIIRE_TESURYO_KBN        AS  手数料負担区分
  FROM M_AITESAKI
  LEFT JOIN M_MEISHO_B   AS J_SHIHARAIHOHO
    ON J_SHIHARAIHOHO.MEISHO_KBN = 'K006'
   AND J_SHIHARAIHOHO.MEISHO_CD  =  M_AITESAKI.SHIHARAIHOHO_KBN
 WHERE M_AITESAKI.SHIRE_FLG = 'True'
   AND M_AITESAKI.MISHIYO_FLG = 'False'
 ORDER BY AITE_CD ASC</t>
    <phoneticPr fontId="2"/>
  </si>
  <si>
    <t>UNJC0230</t>
    <phoneticPr fontId="2"/>
  </si>
  <si>
    <t>UNJC0230_IF_MODE</t>
    <phoneticPr fontId="2"/>
  </si>
  <si>
    <t>UNJC0250</t>
    <phoneticPr fontId="2"/>
  </si>
  <si>
    <t>UNJC0250_IF_MODE</t>
    <phoneticPr fontId="2"/>
  </si>
  <si>
    <t>販売関連</t>
    <rPh sb="0" eb="2">
      <t>ハンバイ</t>
    </rPh>
    <rPh sb="2" eb="4">
      <t>カンレン</t>
    </rPh>
    <phoneticPr fontId="2"/>
  </si>
  <si>
    <t>試薬関連</t>
    <rPh sb="0" eb="2">
      <t>シヤク</t>
    </rPh>
    <rPh sb="2" eb="4">
      <t>カンレン</t>
    </rPh>
    <phoneticPr fontId="2"/>
  </si>
  <si>
    <t>入出庫No.検索用SQL</t>
    <rPh sb="0" eb="3">
      <t>ニュウシュッコ</t>
    </rPh>
    <rPh sb="6" eb="8">
      <t>ケンサク</t>
    </rPh>
    <rPh sb="8" eb="9">
      <t>ヨウ</t>
    </rPh>
    <phoneticPr fontId="2"/>
  </si>
  <si>
    <t>UNJC_COMMON_SQL_NYUSHUKKO_NO_SEARCH</t>
    <phoneticPr fontId="2"/>
  </si>
  <si>
    <t xml:space="preserve">SELECT NYUSHUKKO_NO              AS  '入出庫No.'
      ,ZAIKO_NO                  AS  '在庫管理No.'
      ,NYUSHUKKO_KBN             AS  入出庫区分
      ,NYURYOKUSHA_CD            AS  入力者CD
      ,NYURYOKUSHA_MEI           AS  入力者名
      ,IRAI_NO                   AS  '依頼No.'
      ,JURI_NO                   AS  '受理No.'
      ,HOKAN_BASHO_KBN           AS  保管場所区分
      ,HOKAN_BASHO_KBN_MEI       AS  保管場所区分名
      ,UKEIRE_DATE               AS  受入日
      ,KENSHU_DATE               AS  検収日
      ,NYUKO_SURYO               AS  入庫数量
      ,SHUKKO_DATE               AS  出庫日
      ,SHUKKO_SURYO              AS  出庫数量
      ,SHUKKO_JIYU               AS  出庫事由
FROM V_C_NYUSHUKKO
 WHERE NYUSHUKKO_KBN = 2
</t>
    <phoneticPr fontId="2"/>
  </si>
  <si>
    <t>SELECT M_SHOHIN.SHOHIN_CD    AS 分析項目CD
      ,M_SHOHIN.SHOHIN_MEI   AS 分析項目
      ,M_SHOHIN.BUNSEKI_TANI AS 単位
      ,M_SHOHIN.BUNSEKI_FLOW AS 分析フロー
      ,M_SHOHIN.BUNSEKI_NO   AS 分析番号
  FROM M_SHOHIN
 WHERE M_SHOHIN.BUNSEKI_FLG  =  'True'
   AND M_SHOHIN.SHOKEIHI_FLG &lt;&gt; 'True'
   AND M_SHOHIN.MISHIYO_FLG  =  'False'
 ORDER BY
       M_SHOHIN.SHOHIN_CD ASC</t>
    <phoneticPr fontId="2"/>
  </si>
  <si>
    <t xml:space="preserve">SELECT T_BUN_JUCHU_H.JURI_NO            AS '受理No.'
      ,J_BUN_STATUS_MEISHO.DATA_1       AS 'ステータス'
      ,J_BUN_KBN_MEISHO.DATA_1          AS '分析区分'
      ,T_BUN_JUCHU_H.MITSU_NO           AS '見積No.'
      ,T_BUN_JUCHU_H.ATENA              AS '報告用宛名'
      ,J_SEIKYU_MEI.AITE_MEI            AS '請求先名'
      ,T_BUN_JUCHU_H.IRAI_DATE          AS '依頼日/受付日'
      ,T_BUN_JUCHU_H.NOHIN_DATE         AS '納品日'
      ,T_BUN_JUCHU_H.KENMEI             AS '件名'
  FROM T_BUN_JUCHU_H
  LEFT JOIN M_MEISHO_B                   AS J_BUN_STATUS_MEISHO        --分析ステータス名称用
    ON J_BUN_STATUS_MEISHO.MEISHO_KBN = 'S003'
   AND T_BUN_JUCHU_H.BUNSEKI_STS = J_BUN_STATUS_MEISHO.MEISHO_CD
  LEFT JOIN M_MEISHO_B                    AS J_BUN_KBN_MEISHO           --分析区分名称用
    ON J_BUN_KBN_MEISHO.MEISHO_KBN = 'K012'
   AND T_BUN_JUCHU_H.JUCHU_KBN = J_BUN_KBN_MEISHO.MEISHO_CD
  LEFT JOIN M_AITESAKI                   AS J_SEIKYU_MEI               --請求先名名称用
    ON T_BUN_JUCHU_H.SEIKYU_CD = J_SEIKYU_MEI.AITE_CD
 WHERE T_BUN_JUCHU_H.DEL_FLG = 'False'
</t>
    <phoneticPr fontId="2"/>
  </si>
  <si>
    <t xml:space="preserve">SELECT T_MITSU_H.MITSU_NO        AS '見積No.'
      ,T_MITSU_H.MITSU_DATE      AS '見積日'
      ,STATUS.DATA_1             AS 'ステータス'
      ,NYURYOKU.SHIMEI           AS '入力者名'
      ,TORIHIKI_BUNRUI.DATA_1    AS '取引分類'
      ,T_MITSU_H.SEIKYU_MEI      AS '請求先名'
      ,EIGYO.SHIMEI              AS '営業担当者名'
      ,T_MITSU_H.KENMEI          AS '件名'
  FROM T_MITSU_H
  LEFT JOIN
       M_MEISHO_B   AS STATUS
    ON STATUS.MEISHO_KBN = 'S002'
   AND STATUS.MEISHO_CD  = T_MITSU_H.MITSU_STS
  LEFT JOIN
       M_MEISHO_B   AS TORIHIKI_BUNRUI
    ON TORIHIKI_BUNRUI.MEISHO_KBN = 'K010'
   AND TORIHIKI_BUNRUI.MEISHO_CD  = T_MITSU_H.TORIHIKI_BUNRUI
  LEFT JOIN
       M_SHAIN      AS EIGYO
    ON EIGYO.SHAIN_CD = T_MITSU_H.EIGYO_TANTO_CD
  LEFT JOIN
       M_SHAIN      AS NYURYOKU
    ON NYURYOKU.SHAIN_CD = T_MITSU_H.NYURYOKUSHA_CD
 WHERE T_MITSU_H.MODE_KBN = 1
   AND T_MITSU_H.DEL_FLG  = 'False'
</t>
    <phoneticPr fontId="2"/>
  </si>
  <si>
    <t>SELECT M_BUNSEKI_GUN_H.BUNSEKI_GUN_CD  AS 分析項目群CD
      ,M_BUNSEKI_GUN_H.BUNSEKI_GUN_MEI AS 分析項目群名
  FROM M_BUNSEKI_GUN_H
 ORDER BY
       CAST(M_BUNSEKI_GUN_H.BUNSEKI_GUN_CD AS INT) ASC</t>
    <phoneticPr fontId="2"/>
  </si>
  <si>
    <t xml:space="preserve">SELECT M_MEISHO_B.DATA_1    AS 敬称
  FROM M_MEISHO_B
 WHERE M_MEISHO_B.MEISHO_KBN  = 'K011'
   AND M_MEISHO_B.MISHIYO_FLG = 'False'
 ORDER BY
       M_MEISHO_B.SORT_NO ASC
      ,CAST(M_MEISHO_B.MEISHO_CD AS INT) ASC
</t>
    <phoneticPr fontId="2"/>
  </si>
  <si>
    <t xml:space="preserve">SELECT M_MEISHO_B.MEISHO_CD AS '報告書形式CD'
      ,M_MEISHO_B.DATA_1    AS '報告書形式'
  FROM M_MEISHO_B
 WHERE M_MEISHO_B.MEISHO_KBN = 'K013'
   AND M_MEISHO_B.MISHIYO_FLG = 'False'
 ORDER BY
       M_MEISHO_B.SORT_NO ASC
      ,CAST(M_MEISHO_B.MEISHO_CD AS INT) ASC
</t>
    <phoneticPr fontId="2"/>
  </si>
  <si>
    <t xml:space="preserve">SELECT M_MEISHO_B.MEISHO_CD AS ステータスCD
      ,M_MEISHO_B.DATA_1 AS ステータス
  FROM M_MEISHO_B
 WHERE M_MEISHO_B.MEISHO_KBN='S004'
   AND M_MEISHO_B.MISHIYO_FLG = 'False'
 ORDER BY
       M_MEISHO_B.SORT_NO ASC
      ,CAST(M_MEISHO_B.MEISHO_CD AS INT) ASC
</t>
    <phoneticPr fontId="2"/>
  </si>
  <si>
    <t>SELECT M_AITESAKI.AITE_CD                   AS  発送先CD
      ,M_AITESAKI.AITE_MEI                  AS  発送先名
      ,M_SHAIN.SHIMEI                       AS  営業担当者
      ,M_AITESAKI.YUBIN_NO                  AS  郵便番号
      ,M_AITESAKI.FAX                       AS  FAX
      ,M_AITESAKI.ADDRESS_1                 AS  住所1
      ,M_AITESAKI.ADDRESS_2                 AS  住所2
      ,M_AITESAKI.TEL                       AS  TEL
      ,M_AITESAKI.BUSHO_MEI                 AS  相手先部署名
      ,M_AITESAKI.TANTO_MEI                 AS  相手先担当者名
  FROM M_AITESAKI
  LEFT JOIN
       M_SHAIN
    ON M_SHAIN.SHAIN_CD = M_AITESAKI.EIGYO_TANTO_CD
  WHERE M_AITESAKI.HASSO_FLG = 'True'_x000D_
   AND M_AITESAKI.MISHIYO_FLG = 'False'
  ORDER BY_x000D_
        M_AITESAKI.AITE_CD ASC</t>
    <phoneticPr fontId="2"/>
  </si>
  <si>
    <t xml:space="preserve">SELECT M_MEISHO_B.MEISHO_CD AS 保管場所CD
      ,M_MEISHO_B.DATA_1 AS 保管場所
  FROM M_MEISHO_B
 WHERE M_MEISHO_B.MEISHO_KBN  = 'M002'
   AND M_MEISHO_B.MISHIYO_FLG = 'False'
 ORDER BY
       M_MEISHO_B.SORT_NO ASC
      ,CAST(M_MEISHO_B.MEISHO_CD AS INT) ASC
</t>
    <phoneticPr fontId="2"/>
  </si>
  <si>
    <t>SELECT DATA_2   AS ORDER句
  FROM M_MEISHO_B
 WHERE MEISHO_KBN = 'O307'
   AND MEISHO_CD  = '2'</t>
    <phoneticPr fontId="2"/>
  </si>
  <si>
    <t>SELECT DATA_2   AS ORDER句
  FROM M_MEISHO_B
 WHERE MEISHO_KBN = 'O308'
   AND MEISHO_CD  = '2'</t>
    <phoneticPr fontId="2"/>
  </si>
  <si>
    <t>～</t>
    <phoneticPr fontId="2"/>
  </si>
  <si>
    <t>速報</t>
    <rPh sb="0" eb="2">
      <t>ソクホウ</t>
    </rPh>
    <phoneticPr fontId="2"/>
  </si>
  <si>
    <t xml:space="preserve">SELECT M_SHOHIN.SHOHIN_CD               AS 商品CD
      ,M_SHOHIN.SHOHIN_MEI              AS 商品名
      ,M_SHOHIN.AITE_SHOHIN_MEI         AS 相手先商品名
      ,M_SHOHIN.IRISU                   AS 入数
      ,M_SHOHIN.IRISU_TANI              AS 入数単位
      ,M_SHOHIN.GENKA                   AS 原価
      ,M_SHOHIN.BAIKA                   AS 売価
      ,CASE M_SHOHIN.DOKU_FLG
       WHEN 'True' THEN '×'
       ELSE NULL
       END                              AS 毒
      ,CASE M_SHOHIN.CHOSEI_SHIYAKU_FLG
       WHEN 'True' THEN '×'
       ELSE NULL
       END                              AS 試薬
      ,CASE M_SHOHIN.SHOKEIHI_FLG
       WHEN 'True' THEN '×'
       ELSE NULL
       END                              AS 諸経費
      ,R_STATUS.DATA_1                  AS ステータス
      ,M_SHOHIN.BIKO                    AS 備考
      ,M_SHOHIN.TEIKA                   AS 定価
      ,M_SHOHIN.SHIIRE_IRISU            AS 仕入入数
      ,M_SHOHIN.SHIIRE_IRISU_TANI       AS 仕入入数単位
      ,M_SHOHIN.BARA_TANI               AS バラ単位
      ,M_SHOHIN.SHIIRE_CD               AS 仕入先CD
      ,R_SHIIRE_SAKI.AITE_MEI           AS 仕入先名
      ,M_SHOHIN.MAKER_CD                AS メーカーCD
      ,R_MAKER.AITE_MEI                 AS メーカー名
      ,CASE M_SHOHIN.AITE_SHOHIN_MEI
       WHEN '' THEN
            M_SHOHIN.SHOHIN_MEI
       ELSE
            M_SHOHIN.AITE_SHOHIN_MEI
       END                              AS 展開商品名
  FROM M_SHOHIN
  LEFT JOIN M_AITESAKI        AS R_SHIIRE_SAKI
    ON M_SHOHIN.SHIIRE_CD = R_SHIIRE_SAKI.AITE_CD
  LEFT JOIN M_AITESAKI        AS R_MAKER
    ON M_SHOHIN.MAKER_CD = R_MAKER.AITE_CD
  LEFT JOIN M_MEISHO_B          AS R_STATUS
    ON M_SHOHIN.SHOHIN_STS = R_STATUS.MEISHO_CD
   AND R_STATUS.MEISHO_KBN = 'S001'
 WHERE M_SHOHIN.SHOHIN_STS = '1'
   AND (
           M_SHOHIN.BUNSEKI_FLG = 'True'
        OR M_SHOHIN.SHOHIN_FLG  = 'True'
       )
  AND M_SHOHIN.MISHIYO_FLG = 'False'
 ORDER BY
       M_SHOHIN.SHOHIN_CD ASC
</t>
    <phoneticPr fontId="2"/>
  </si>
  <si>
    <t>発送先：</t>
    <rPh sb="0" eb="3">
      <t>ハッソウサキ</t>
    </rPh>
    <phoneticPr fontId="2"/>
  </si>
  <si>
    <t>発送先名</t>
    <rPh sb="0" eb="2">
      <t>ハッソウ</t>
    </rPh>
    <rPh sb="2" eb="3">
      <t>サキ</t>
    </rPh>
    <rPh sb="3" eb="4">
      <t>メイ</t>
    </rPh>
    <phoneticPr fontId="2"/>
  </si>
  <si>
    <t>条件(発送先名)</t>
    <rPh sb="0" eb="2">
      <t>ジョウケン</t>
    </rPh>
    <rPh sb="3" eb="5">
      <t>ハッソウ</t>
    </rPh>
    <rPh sb="5" eb="6">
      <t>サキ</t>
    </rPh>
    <rPh sb="6" eb="7">
      <t>メイ</t>
    </rPh>
    <phoneticPr fontId="2"/>
  </si>
  <si>
    <t xml:space="preserve">SELECT M_AITESAKI.AITE_CD           AS 請求先CD
      ,M_AITESAKI.AITE_MEI          AS 請求先名
      ,M_AITESAKI.EIGYO_TANTO_CD    AS 営業担当者CD
      ,R_SHAIN.SHIMEI               AS 営業担当者
      ,M_AITESAKI.ADDRESS_1+M_AITESAKI.ADDRESS_2
                                    AS 住所
      ,M_AITESAKI.TEL               AS TEL
      ,M_AITESAKI.BUSHO_MEI         AS 相手先部署名
      ,M_AITESAKI.TANTO_MEI         AS 相手先担当者名
      ,R_BUNRUI.DATA_1              AS 分類
      ,M_AITESAKI.SEIKYU_CHUKI      AS 注記
      ,SEIKYU_HASU_KBN              AS 請求先端数処理区分
  FROM M_AITESAKI
  LEFT JOIN M_SHAIN      AS R_SHAIN
    ON R_SHAIN.SHAIN_CD = M_AITESAKI.EIGYO_TANTO_CD
  LEFT JOIN M_MEISHO_B   AS R_BUNRUI
    ON R_BUNRUI.MEISHO_KBN = 'K001'
   AND M_AITESAKI.SEIKYU_BUNRUI = R_BUNRUI.MEISHO_CD
 WHERE M_AITESAKI.SEIKYU_FLG = 'True'
   AND M_AITESAKI.MISHIYO_FLG = 'False'
 ORDER BY AITE_CD ASC
</t>
    <phoneticPr fontId="2"/>
  </si>
  <si>
    <t>参照作成フラグ</t>
    <rPh sb="0" eb="2">
      <t>サンショウ</t>
    </rPh>
    <rPh sb="2" eb="4">
      <t>サクセイ</t>
    </rPh>
    <phoneticPr fontId="2"/>
  </si>
  <si>
    <t>UNJC0030_IF_SANSHO_FLG</t>
    <phoneticPr fontId="2"/>
  </si>
  <si>
    <t>1：参照作成 0:通常</t>
    <rPh sb="2" eb="4">
      <t>サンショウ</t>
    </rPh>
    <rPh sb="4" eb="6">
      <t>サクセイ</t>
    </rPh>
    <rPh sb="9" eb="11">
      <t>ツウジョウ</t>
    </rPh>
    <phoneticPr fontId="2"/>
  </si>
  <si>
    <t>保存ボタンエラー</t>
    <rPh sb="0" eb="2">
      <t>ホゾン</t>
    </rPh>
    <phoneticPr fontId="2"/>
  </si>
  <si>
    <t>保存ボタンエラーメッセージ</t>
    <rPh sb="0" eb="2">
      <t>ホゾン</t>
    </rPh>
    <phoneticPr fontId="2"/>
  </si>
  <si>
    <t>UNJC0230_IF_BUTTON_10_ERROR</t>
    <phoneticPr fontId="2"/>
  </si>
  <si>
    <t>UNJC0230_IF_BUTTON_10_ERROR_MSG</t>
    <phoneticPr fontId="2"/>
  </si>
  <si>
    <t>出庫数量&gt;在庫数量の場合、エラー</t>
    <rPh sb="0" eb="2">
      <t>シュッコ</t>
    </rPh>
    <rPh sb="2" eb="4">
      <t>スウリョウ</t>
    </rPh>
    <rPh sb="5" eb="7">
      <t>ザイコ</t>
    </rPh>
    <rPh sb="7" eb="9">
      <t>スウリョウ</t>
    </rPh>
    <rPh sb="10" eb="12">
      <t>バアイ</t>
    </rPh>
    <phoneticPr fontId="2"/>
  </si>
  <si>
    <t>修正前出庫数</t>
    <rPh sb="0" eb="2">
      <t>シュウセイ</t>
    </rPh>
    <rPh sb="2" eb="3">
      <t>マエ</t>
    </rPh>
    <rPh sb="3" eb="5">
      <t>シュッコ</t>
    </rPh>
    <rPh sb="5" eb="6">
      <t>スウ</t>
    </rPh>
    <phoneticPr fontId="2"/>
  </si>
  <si>
    <t>UNJC0230_B_SURYO_BEFORE</t>
    <phoneticPr fontId="2"/>
  </si>
  <si>
    <t>出庫数量が在庫数量を超える為、保存できません</t>
    <rPh sb="0" eb="2">
      <t>シュッコ</t>
    </rPh>
    <rPh sb="2" eb="4">
      <t>スウリョウ</t>
    </rPh>
    <rPh sb="5" eb="7">
      <t>ザイコ</t>
    </rPh>
    <rPh sb="7" eb="9">
      <t>スウリョウ</t>
    </rPh>
    <rPh sb="10" eb="11">
      <t>コ</t>
    </rPh>
    <rPh sb="13" eb="14">
      <t>タメ</t>
    </rPh>
    <rPh sb="15" eb="17">
      <t>ホゾン</t>
    </rPh>
    <phoneticPr fontId="2"/>
  </si>
  <si>
    <t>HOKAN_BASHO_KBN</t>
    <phoneticPr fontId="2"/>
  </si>
  <si>
    <t>保管場所区分</t>
    <rPh sb="0" eb="2">
      <t>ホカン</t>
    </rPh>
    <rPh sb="2" eb="4">
      <t>バショ</t>
    </rPh>
    <rPh sb="4" eb="6">
      <t>クブン</t>
    </rPh>
    <phoneticPr fontId="2"/>
  </si>
  <si>
    <t>毒劇物</t>
    <rPh sb="0" eb="1">
      <t>ドク</t>
    </rPh>
    <rPh sb="1" eb="3">
      <t>ゲキブツ</t>
    </rPh>
    <phoneticPr fontId="2"/>
  </si>
  <si>
    <t xml:space="preserve">
      ,V_ZAIKO_KENSAKU_LIST.KOBAIHIN_CD
      ,V_ZAIKO_KENSAKU_LIST.KOBAIHIN_MEI
      ,V_ZAIKO_KENSAKU_LIST.MAKER_CD
      ,V_ZAIKO_KENSAKU_LIST.MAKER_MEI
      ,V_ZAIKO_KENSAKU_LIST.IRISU
      ,V_ZAIKO_KENSAKU_LIST.BARA_TANI
      ,V_ZAIKO_KENSAKU_LIST.ZAIKO_SURYO
      ,V_ZAIKO_KENSAKU_LIST.IRISU_TANI
      ,V_ZAIKO_KENSAKU_LIST.HOKAN_BASHO_KBN_MEI
      ,V_ZAIKO_KENSAKU_LIST.DOKU_MARK
      ,V_ZAIKO_KENSAKU_LIST.SHIIRE_CD
      ,V_ZAIKO_KENSAKU_LIST.SHIIRE_MEI
      ,V_ZAIKO_KENSAKU_LIST.LAST_NYUKO_DATE
      ,V_ZAIKO_KENSAKU_LIST.LAST_SHUKKO_DATE
</t>
    <phoneticPr fontId="2"/>
  </si>
  <si>
    <t xml:space="preserve">SELECT 
       V_ZAIKO_KENSAKU_LIST.KOBAIHIN_CD          --購買品CD
      ,V_ZAIKO_KENSAKU_LIST.KOBAIHIN_MEI         --購買品名
      ,V_ZAIKO_KENSAKU_LIST.MAKER_CD             --メーカーCD
      ,V_ZAIKO_KENSAKU_LIST.MAKER_MEI            --メーカー名
      ,V_ZAIKO_KENSAKU_LIST.IRISU                --入数
      ,V_ZAIKO_KENSAKU_LIST.BARA_TANI            --バラ単位
      ,V_ZAIKO_KENSAKU_LIST.ZAIKO_SURYO          --在庫数
      ,V_ZAIKO_KENSAKU_LIST.IRISU_TANI           --入数単位
      ,V_ZAIKO_KENSAKU_LIST.HOKAN_BASHO_KBN_MEI  --保管場所名
      ,V_ZAIKO_KENSAKU_LIST.DOKU_MARK            --毒劇物
      ,V_ZAIKO_KENSAKU_LIST.SHIIRE_CD            --仕入先CD
      ,V_ZAIKO_KENSAKU_LIST.SHIIRE_MEI           --仕入先名
      ,V_ZAIKO_KENSAKU_LIST.LAST_NYUKO_DATE      --最終入庫日
      ,V_ZAIKO_KENSAKU_LIST.LAST_SHUKKO_DATE     --最終出庫日
</t>
    <phoneticPr fontId="2"/>
  </si>
  <si>
    <t>毒劇物のみフラグ</t>
    <rPh sb="0" eb="1">
      <t>ドク</t>
    </rPh>
    <rPh sb="1" eb="3">
      <t>ゲキブツ</t>
    </rPh>
    <phoneticPr fontId="2"/>
  </si>
  <si>
    <t>UNJC0240_H_DOKU_FLG</t>
    <phoneticPr fontId="2"/>
  </si>
  <si>
    <t>毒劇物のみ</t>
    <rPh sb="0" eb="1">
      <t>ドク</t>
    </rPh>
    <rPh sb="1" eb="3">
      <t>ゲキブツ</t>
    </rPh>
    <phoneticPr fontId="2"/>
  </si>
  <si>
    <t>UNJC0240_H_DOKU_FLG_S</t>
    <phoneticPr fontId="2"/>
  </si>
  <si>
    <t>毒劇物のみ</t>
    <rPh sb="0" eb="1">
      <t>ドク</t>
    </rPh>
    <rPh sb="1" eb="3">
      <t>ゲキブツ</t>
    </rPh>
    <phoneticPr fontId="2"/>
  </si>
  <si>
    <t>保管場所内在庫数量：</t>
    <rPh sb="0" eb="2">
      <t>ホカン</t>
    </rPh>
    <rPh sb="2" eb="4">
      <t>バショ</t>
    </rPh>
    <rPh sb="4" eb="5">
      <t>ナイ</t>
    </rPh>
    <rPh sb="5" eb="7">
      <t>ザイコ</t>
    </rPh>
    <rPh sb="7" eb="9">
      <t>スウリョウ</t>
    </rPh>
    <phoneticPr fontId="2"/>
  </si>
  <si>
    <t>SELECT TBL_A.ZAIKO_NO               AS '在庫管理No.'
      ,TBL_A.KOBAIHIN_CD            AS 購買品CD
      ,TBL_A.KOBAIHIN_MEI           AS 購買品名
      ,TBL_A.HOKAN_BASHO_KBN_MEI    AS 保管場所
      ,TBL_A.ZAIKO_SURYO            AS 在庫数量
      ,TBL_C.BARA_TANI              AS バラ単位
      ,TBL_C.SHIIRE_MEI             AS 仕入先名
      ,TBL_C.MAKER_MEI              AS メーカー名
      ,TBL_B.UKEIRE_DATE            AS 受入日
      ,TBL_B.KENSHU_DATE            AS 検収日
      ,TBL_A.LAST_NYUKO_DATE        AS 最終入庫日
      ,TBL_A.LAST_SHUKKO_DATE       AS 最終出庫日
      ,TBL_C.YOSAN_CD               AS 予算コード
      ,TBL_C.JURI_NO                AS '受理No.'
  FROM V_C_ZAIKO        AS TBL_A
 INNER JOIN
       V_C_NYUSHUKKO    AS TBL_B
    ON TBL_B.ZAIKO_NO = TBL_A.ZAIKO_NO
   AND TBL_B.NYUSHUKKO_KBN  = 1
  LEFT JOIN
       V_KOBAI_LIST     AS TBL_C
    ON TBL_B.IRAI_NO = TBL_C.IRAI_NO
  LEFT JOIN
       M_SHOHIN
    ON M_SHOHIN.SHOHIN_CD   = TBL_A.KOBAIHIN_CD 
 WHERE M_SHOHIN.SHIYAKU_FLG = 'True'</t>
    <phoneticPr fontId="2"/>
  </si>
  <si>
    <t>在庫数量：</t>
    <phoneticPr fontId="2"/>
  </si>
  <si>
    <t>設定見積No.</t>
    <rPh sb="0" eb="2">
      <t>セッテイ</t>
    </rPh>
    <rPh sb="2" eb="4">
      <t>ミツモリ</t>
    </rPh>
    <phoneticPr fontId="2"/>
  </si>
  <si>
    <t>UNJC0020_IF_SET_MITSU_NO</t>
    <phoneticPr fontId="2"/>
  </si>
  <si>
    <t>UNJC0020_B_SELECT_MITSU_NO</t>
    <phoneticPr fontId="2"/>
  </si>
  <si>
    <t>見積No.設定位置</t>
    <rPh sb="0" eb="2">
      <t>ミツモリ</t>
    </rPh>
    <rPh sb="5" eb="7">
      <t>セッテイ</t>
    </rPh>
    <rPh sb="7" eb="9">
      <t>イチ</t>
    </rPh>
    <phoneticPr fontId="2"/>
  </si>
  <si>
    <t>UNJC1030_H_STS,UNJC1030_H_HAMBAI_SHOHIN_KBN,UNJC1030_H_NYURYOKU_MEI,UNJC1030_H_JUCHU_DATE,UNJC1030_H_SEIKYUSAKI_CD,UNJC1030_H_EIGYO_TANTO_MEI</t>
    <phoneticPr fontId="2"/>
  </si>
  <si>
    <t>ステータス,販売商品区分,入力者名,受注日,請求先,営業担当者名</t>
    <phoneticPr fontId="2"/>
  </si>
  <si>
    <t>「=OFFSET(UNJC1030_IF_LIST_SHOHIN_KBN_START,,,IF(UNJC1030_IF_LIST_SHOHIN_KBN_KENSU=0,1,UNJC1030_IF_LIST_SHOHIN_KBN_KENSU-1),1)」</t>
    <phoneticPr fontId="2"/>
  </si>
  <si>
    <t>購買品</t>
  </si>
  <si>
    <t>外注手配</t>
  </si>
  <si>
    <t>修繕・定期点検</t>
  </si>
  <si>
    <t>投資</t>
  </si>
  <si>
    <t>販売商品</t>
  </si>
  <si>
    <t>SELECT NULL                             AS 行番号
      ,1                                AS 行区分
      ,CASE M_SHOHIN.DOKU_FLG
       WHEN 'True' THEN '×'
       ELSE NULL
       END                              AS 毒
      ,M_SHOHIN.SHOHIN_CD               AS 商品CD
      ,CASE M_SHOHIN.AITE_SHOHIN_MEI
       WHEN '' THEN
            M_SHOHIN.SHOHIN_MEI
       ELSE
            M_SHOHIN.AITE_SHOHIN_MEI
       END                              AS 展開商品名
      ,NULL                             AS 受注数量
      ,M_SHOHIN.IRISU_TANI              AS 入数単位
      ,M_SHOHIN.BAIKA                   AS 売価
      ,NULL                             AS 販売金額
      ,NULL                             AS 摘要
      ,M_SHOHIN.TEIKA                   AS 定価
      ,M_SHOHIN.GENKA                   AS 原価
      ,M_SHOHIN.SHIIRE_IRISU            AS 仕入入数
      ,M_SHOHIN.BARA_TANI               AS バラ単位
      ,NULL                             AS 原価数量
      ,M_SHOHIN.SHIIRE_IRISU_TANI       AS 仕入入数単位
      ,NULL                             AS 総数
      ,NULL                             AS 原価金額
      ,NULL                             AS 粗利率
      ,NULL                             AS 粗利益
      ,M_SHOHIN.SHIIRE_CD               AS 仕入先CD
      ,R_SHIIRE_SAKI.AITE_MEI           AS 仕入先名
      ,M_SHOHIN.MAKER_CD                AS メーカーCD
      ,R_MAKER.AITE_MEI                 AS メーカー名
      --表示用
      ,M_SHOHIN.SHOHIN_MEI              AS 商品名
      ,M_SHOHIN.AITE_SHOHIN_MEI         AS 相手先商品名
      ,CASE M_SHOHIN.CHOSEI_SHIYAKU_FLG
       WHEN 'True' THEN '×'
       ELSE NULL
       END                              AS 試薬
      ,CASE M_SHOHIN.SHOKEIHI_FLG
       WHEN 'True' THEN '×'
       ELSE NULL
       END                              AS 諸経費
      ,R_STATUS.DATA_1                  AS ステータス
      ,M_SHOHIN.BIKO                    AS 備考
      ,M_SHOHIN.IRISU                   AS 入数
  FROM M_SHOHIN
  LEFT JOIN M_AITESAKI        AS R_SHIIRE_SAKI
    ON M_SHOHIN.SHIIRE_CD = R_SHIIRE_SAKI.AITE_CD
  LEFT JOIN M_AITESAKI        AS R_MAKER
    ON M_SHOHIN.MAKER_CD = R_MAKER.AITE_CD
  LEFT JOIN M_MEISHO_B          AS R_STATUS
    ON M_SHOHIN.SHOHIN_STS = R_STATUS.MEISHO_CD
   AND R_STATUS.MEISHO_KBN = 'S001'
 WHERE M_SHOHIN.SHOHIN_STS = '1'
   AND (
           M_SHOHIN.BUNSEKI_FLG = 'True'
        OR M_SHOHIN.SHOHIN_FLG  = 'True'
       )
   AND M_SHOHIN.MISHIYO_FLG  = 'False'
 ORDER BY M_SHOHIN.SHOHIN_CD ASC</t>
    <phoneticPr fontId="2"/>
  </si>
  <si>
    <t>入力者CD</t>
    <rPh sb="0" eb="2">
      <t>ニュウリョク</t>
    </rPh>
    <rPh sb="2" eb="3">
      <t>シャ</t>
    </rPh>
    <phoneticPr fontId="2"/>
  </si>
  <si>
    <t>条件(見積No.)</t>
    <rPh sb="0" eb="2">
      <t>ジョウケン</t>
    </rPh>
    <rPh sb="3" eb="5">
      <t>ミツモリ</t>
    </rPh>
    <phoneticPr fontId="2"/>
  </si>
  <si>
    <t>SELECT M_MEISHO_B.MEISHO_CD AS ステータスCD
      ,M_MEISHO_B.DATA_1    AS ステータス
  FROM M_MEISHO_B
 WHERE M_MEISHO_B.MEISHO_KBN='S004'
   AND M_MEISHO_B.MEISHO_CD = '2'</t>
    <phoneticPr fontId="2"/>
  </si>
  <si>
    <t xml:space="preserve">SELECT T_MITSU_H.MITSU_NO        AS '見積No.'
      ,T_MITSU_H.MITSU_DATE      AS '見積日'
      ,STATUS.DATA_1             AS 'ステータス'
      ,NYURYOKU.SHIMEI           AS '入力者名'
      ,TORIHIKI_BUNRUI.DATA_1    AS '取引分類'
      ,T_MITSU_H.SEIKYU_MEI      AS '請求先名'
      ,EIGYO.SHIMEI              AS '営業担当者名'
      ,T_MITSU_H.KENMEI          AS '件名'
  FROM T_MITSU_H
  LEFT JOIN
       M_MEISHO_B   AS STATUS
    ON STATUS.MEISHO_KBN = 'S002'
   AND STATUS.MEISHO_CD  = T_MITSU_H.MITSU_STS
  LEFT JOIN
       M_MEISHO_B   AS TORIHIKI_BUNRUI
    ON TORIHIKI_BUNRUI.MEISHO_KBN = 'K010'
   AND TORIHIKI_BUNRUI.MEISHO_CD  = T_MITSU_H.TORIHIKI_BUNRUI
  LEFT JOIN
       M_SHAIN      AS EIGYO
    ON EIGYO.SHAIN_CD = T_MITSU_H.EIGYO_TANTO_CD
  LEFT JOIN
       M_SHAIN      AS NYURYOKU
    ON NYURYOKU.SHAIN_CD = T_MITSU_H.NYURYOKUSHA_CD
 WHERE T_MITSU_H.DEL_FLG  = 'False'
</t>
    <phoneticPr fontId="2"/>
  </si>
  <si>
    <t>見積No取得用SQL(販売用)</t>
    <rPh sb="0" eb="2">
      <t>ミツモリ</t>
    </rPh>
    <rPh sb="4" eb="6">
      <t>シュトク</t>
    </rPh>
    <rPh sb="6" eb="7">
      <t>ヨウ</t>
    </rPh>
    <rPh sb="11" eb="13">
      <t>ハンバイ</t>
    </rPh>
    <rPh sb="13" eb="14">
      <t>ヨウ</t>
    </rPh>
    <phoneticPr fontId="2"/>
  </si>
  <si>
    <t>UNJC_COMMON_SQL_MITSU_NO_SEARCH_HAN</t>
    <phoneticPr fontId="2"/>
  </si>
  <si>
    <t xml:space="preserve">SELECT M_MEISHO_B.MEISHO_CD AS '部署CD'
      ,M_MEISHO_B.DATA_1    AS '部署名'
  FROM M_MEISHO_B
 WHERE M_MEISHO_B.MEISHO_KBN  = 'M001'
   AND M_MEISHO_B.MEISHO_CD   &gt;= 20
--   AND M_MEISHO_B.MEISHO_CD   &lt;= 25
   AND M_MEISHO_B.MISHIYO_FLG =  'False'
 ORDER BY
       M_MEISHO_B.SORT_NO ASC
      ,CAST(M_MEISHO_B.MEISHO_CD AS INT) ASC
</t>
    <phoneticPr fontId="2"/>
  </si>
  <si>
    <t>伝票摘要：</t>
    <rPh sb="0" eb="2">
      <t>デンピョウ</t>
    </rPh>
    <rPh sb="2" eb="4">
      <t>テキヨウ</t>
    </rPh>
    <phoneticPr fontId="2"/>
  </si>
  <si>
    <t>送付先部署・担当者名：</t>
    <rPh sb="0" eb="3">
      <t>ソウフサキ</t>
    </rPh>
    <rPh sb="3" eb="5">
      <t>ブショ</t>
    </rPh>
    <rPh sb="6" eb="8">
      <t>タントウ</t>
    </rPh>
    <rPh sb="8" eb="9">
      <t>シャ</t>
    </rPh>
    <rPh sb="9" eb="10">
      <t>メイ</t>
    </rPh>
    <phoneticPr fontId="2"/>
  </si>
  <si>
    <t xml:space="preserve">SELECT 
       V_SHUKKO_KENSAKU_LIST.SHUKKO_DATE               -- 出庫日
      ,V_SHUKKO_KENSAKU_LIST.NYURYOKUSHA_MEI           -- 入力者名
      ,V_SHUKKO_KENSAKU_LIST.KOBAIHIN_CD               -- 購買品CD
      ,V_SHUKKO_KENSAKU_LIST.KOBAIHIN_MEI              -- 購買品名
      ,M_SHOHIN.HYOJUN_KOSU                            -- 工数
      ,V_SHUKKO_KENSAKU_LIST.TANKA                     -- 単価
      ,V_SHUKKO_KENSAKU_LIST.IRISU                     -- 入数
      ,V_SHUKKO_KENSAKU_LIST.BARA_TANI                 -- バラ単位
      ,V_SHUKKO_KENSAKU_LIST.SHUKKO_SURYO              -- 出庫数量
      ,V_SHUKKO_KENSAKU_LIST.IRISU_TANI                -- 入数単位
      ,V_SHUKKO_KENSAKU_LIST.HOKAN_BASHO_KBN_MEI       -- 保管場所区分名
      ,V_SHUKKO_KENSAKU_LIST.MAKER_CD                  -- メーカーCD
      ,V_SHUKKO_KENSAKU_LIST.MAKER_MEI                 -- メーカー名
      ,V_SHUKKO_KENSAKU_LIST.SHIIRE_CD                 -- 仕入先CD
      ,V_SHUKKO_KENSAKU_LIST.SHIIRE_MEI                -- 仕入先名
      ,V_SHUKKO_KENSAKU_LIST.SHUKKO_JIYU               -- 出庫事由
      ,V_SHUKKO_KENSAKU_LIST.NYUSHUKKO_NO              -- 入出庫No.
      ,V_SHUKKO_KENSAKU_LIST.ZAIKO_NO                  -- 在庫管理No.
      ,V_SHUKKO_KENSAKU_LIST.JURI_NO                   -- 受理No.
      ,V_SHUKKO_KENSAKU_LIST.NYURYOKUSHA_CD            -- 入力者CD
      ,V_SHUKKO_KENSAKU_LIST.HOKAN_BASHO_KBN           -- 保管場所区分
      ,V_SHUKKO_KENSAKU_LIST.UKEIRE_DATE               -- 受入日
      ,V_SHUKKO_KENSAKU_LIST.KENSHU_DATE               -- 検収日
      ,V_SHUKKO_KENSAKU_LIST.YOSAN_CD                  -- 予算コード
      ,V_SHUKKO_KENSAKU_LIST.BIKO                      -- 備考
</t>
    <phoneticPr fontId="2"/>
  </si>
  <si>
    <t xml:space="preserve"> FROM V_SHUKKO_KENSAKU_LIST
 LEFT JOIN
      M_SHOHIN
   ON M_SHOHIN.SHOHIN_CD = V_SHUKKO_KENSAKU_LIST.KOBAIHIN_CD
</t>
    <phoneticPr fontId="2"/>
  </si>
  <si>
    <t>工数</t>
    <rPh sb="0" eb="2">
      <t>コウスウ</t>
    </rPh>
    <phoneticPr fontId="2"/>
  </si>
  <si>
    <t>0</t>
    <phoneticPr fontId="2"/>
  </si>
  <si>
    <t>【確認メッセージ】</t>
    <rPh sb="1" eb="3">
      <t>カクニン</t>
    </rPh>
    <phoneticPr fontId="2"/>
  </si>
  <si>
    <t>UNJC0030_IF_BUTTON_14_CONFIRM</t>
    <phoneticPr fontId="2"/>
  </si>
  <si>
    <t>担当者名(敬称不要)</t>
    <rPh sb="5" eb="7">
      <t>ケイショウ</t>
    </rPh>
    <rPh sb="7" eb="9">
      <t>フヨウ</t>
    </rPh>
    <phoneticPr fontId="2"/>
  </si>
  <si>
    <t xml:space="preserve">SELECT V_BUN_JUCHU_EXCEL.*
  FROM V_BUN_JUCHU_LIST
  LEFT JOIN
       V_BUN_JUCHU_EXCEL
    ON V_BUN_JUCHU_EXCEL.JURI_NO = V_BUN_JUCHU_LIST.JURI_NO
 WHERE 1=1
</t>
    <phoneticPr fontId="2"/>
  </si>
  <si>
    <t>分析ステータスCD</t>
  </si>
  <si>
    <t>分析受注区分CD</t>
  </si>
  <si>
    <t>分析受注区分名</t>
  </si>
  <si>
    <t>入力者名</t>
  </si>
  <si>
    <t>報告書形式CD</t>
  </si>
  <si>
    <t>速報区分CD</t>
  </si>
  <si>
    <t>報告書外装CD</t>
  </si>
  <si>
    <t>報告書外装名</t>
  </si>
  <si>
    <t>報告方法CD</t>
  </si>
  <si>
    <t>報告方法名</t>
  </si>
  <si>
    <t>伝票発行区分CD</t>
  </si>
  <si>
    <t>伝票発行区分名</t>
  </si>
  <si>
    <t>分析項目群CD</t>
  </si>
  <si>
    <t>分析項目群名</t>
  </si>
  <si>
    <t xml:space="preserve">SELECT V_HAN_JUCHU_EXCEL.*
  FROM V_HAN_JUCHU_LIST
  LEFT JOIN
       V_HAN_JUCHU_EXCEL
    ON V_HAN_JUCHU_EXCEL.JURI_NO = V_HAN_JUCHU_LIST.JURI_NO
  WHERE 1=1
</t>
    <phoneticPr fontId="2"/>
  </si>
  <si>
    <t xml:space="preserve">
  ORDER BY V_BUN_JUCHU_LIST.JURI_NO ASC
          ,V_BUN_JUCHU_EXCEL.JURI_EDA_NO ASC
          ,V_BUN_JUCHU_EXCEL.GYO_NO ASC
</t>
    <phoneticPr fontId="2"/>
  </si>
  <si>
    <t>販売ステータスCD</t>
  </si>
  <si>
    <t>販売ステータス名</t>
  </si>
  <si>
    <t>販売商品区分CD</t>
  </si>
  <si>
    <t>販売商品区分名</t>
  </si>
  <si>
    <t>商品分類区分名</t>
  </si>
  <si>
    <t>受注販売入力ボディ参照取得SQL</t>
    <rPh sb="0" eb="2">
      <t>ジュチュウ</t>
    </rPh>
    <rPh sb="2" eb="4">
      <t>ハンバイ</t>
    </rPh>
    <rPh sb="4" eb="6">
      <t>ニュウリョク</t>
    </rPh>
    <rPh sb="9" eb="11">
      <t>サンショウ</t>
    </rPh>
    <rPh sb="11" eb="13">
      <t>シュトク</t>
    </rPh>
    <phoneticPr fontId="2"/>
  </si>
  <si>
    <t>UNJC1030_SQL_HAN_JUCHU_H_SANSHO</t>
    <phoneticPr fontId="2"/>
  </si>
  <si>
    <t>UNJC1030_SQL_HAN_JUCHU_B_MITSU</t>
    <phoneticPr fontId="2"/>
  </si>
  <si>
    <t>UNJC1030_SQL_HAN_JUCHU_B_SANSHO</t>
    <phoneticPr fontId="2"/>
  </si>
  <si>
    <t xml:space="preserve">SELECT M_SHOHIN.SHOHIN_CD               AS 購買品CD
      ,M_SHOHIN.SHOHIN_MEI              AS 購買品名
      ,M_SHOHIN.AITE_SHOHIN_MEI         AS 相手先購買品名
      ,M_SHOHIN.IRISU                   AS 入数
      ,M_SHOHIN.IRISU_TANI              AS 入数単位
      ,M_SHOHIN.GENKA                   AS 原価
      ,M_SHOHIN.BAIKA                   AS 売価
      ,M_SHOHIN.SHIIRE_TANKA            AS 仕入単価
      ,CASE M_SHOHIN.DOKU_FLG
       WHEN 'True' THEN '×'
       ELSE NULL
       END                              AS 毒
      ,CASE M_SHOHIN.CHOSEI_SHIYAKU_FLG
       WHEN 'True' THEN '×'
       ELSE NULL
       END                              AS 試薬
      ,R_STATUS.DATA_1                  AS ステータス
      ,M_SHOHIN.BIKO                    AS 備考
      ,M_SHOHIN.TEIKA                   AS 定価
      ,M_SHOHIN.SHIIRE_IRISU            AS 仕入入数
      ,M_SHOHIN.SHIIRE_IRISU_TANI       AS 仕入入数単位
      ,M_SHOHIN.BARA_TANI               AS バラ単位
      ,M_SHOHIN.SHIIRE_CD               AS 仕入先CD
      ,R_SHIIRE_SAKI.AITE_MEI           AS 仕入先名
      ,M_SHOHIN.MAKER_CD                AS メーカーCD
      ,R_MAKER.AITE_MEI                 AS メーカー名
      ,CASE M_SHOHIN.AITE_SHOHIN_MEI
       WHEN '' THEN
            M_SHOHIN.SHOHIN_MEI
       ELSE
            M_SHOHIN.AITE_SHOHIN_MEI
       END                              AS 展開購買品名
      ,M_SHOHIN.SHIKIICHI               AS 閾値
      ,M_SHOHIN.HYOJUN_NOKI             AS 標準納期
      ,( SELECT DISTINCT
                CONVERT(VARCHAR(10), MAX(T_KOBAI_H.SHINSEI_DATETIME), 111)
           FROM T_KOBAI_H
           LEFT JOIN
                T_KOBAI_B
             ON T_KOBAI_B.KOBAI_NO = T_KOBAI_H.KOBAI_NO
          WHERE T_KOBAI_B.KOBAIHIN_CD = M_SHOHIN.SHOHIN_CD
       )                                AS 最終申請日
  FROM M_SHOHIN
  LEFT JOIN M_AITESAKI        AS R_SHIIRE_SAKI
    ON M_SHOHIN.SHIIRE_CD = R_SHIIRE_SAKI.AITE_CD
  LEFT JOIN M_AITESAKI        AS R_MAKER
    ON M_SHOHIN.MAKER_CD  = R_MAKER.AITE_CD
  LEFT JOIN M_MEISHO_B          AS R_STATUS
    ON M_SHOHIN.SHOHIN_STS = R_STATUS.MEISHO_CD
   AND R_STATUS.MEISHO_KBN = 'S001'
 WHERE M_SHOHIN.SHOHIN_STS = '1'
  AND M_SHOHIN.MISHIYO_FLG  = 'False'
  AND M_SHOHIN.KOBAIHIN_FLG = 'True'
  AND M_SHOHIN.SHIYAKU_FLG = 'True'
 ORDER BY SHOHIN_CD ASC
</t>
    <phoneticPr fontId="2"/>
  </si>
  <si>
    <t>受注日▽</t>
    <rPh sb="0" eb="2">
      <t>ジュチュウ</t>
    </rPh>
    <phoneticPr fontId="2"/>
  </si>
  <si>
    <t>納品日▽</t>
    <phoneticPr fontId="2"/>
  </si>
  <si>
    <t>試料・容器返却▽</t>
    <phoneticPr fontId="2"/>
  </si>
  <si>
    <t>依頼日/受付日▽</t>
    <phoneticPr fontId="2"/>
  </si>
  <si>
    <t>分析担当者完了日▽</t>
    <phoneticPr fontId="2"/>
  </si>
  <si>
    <t>報告書指定発行日▽</t>
    <phoneticPr fontId="2"/>
  </si>
  <si>
    <t>納品日▽</t>
    <phoneticPr fontId="2"/>
  </si>
  <si>
    <t>採取日▽</t>
    <phoneticPr fontId="2"/>
  </si>
  <si>
    <t>２回目▽</t>
    <phoneticPr fontId="2"/>
  </si>
  <si>
    <t>３回目▽</t>
    <phoneticPr fontId="2"/>
  </si>
  <si>
    <t>採取日▽</t>
    <rPh sb="0" eb="2">
      <t>サイシュ</t>
    </rPh>
    <rPh sb="2" eb="3">
      <t>ヒ</t>
    </rPh>
    <phoneticPr fontId="2"/>
  </si>
  <si>
    <t>分析担当者完了日▽</t>
    <phoneticPr fontId="2"/>
  </si>
  <si>
    <t>納品日▽</t>
    <phoneticPr fontId="2"/>
  </si>
  <si>
    <t>３回目▽</t>
    <phoneticPr fontId="2"/>
  </si>
  <si>
    <t>依頼日/受付日▽</t>
    <phoneticPr fontId="2"/>
  </si>
  <si>
    <t>出庫日▽</t>
    <rPh sb="0" eb="2">
      <t>シュッコ</t>
    </rPh>
    <phoneticPr fontId="2"/>
  </si>
  <si>
    <t>分析担当者完了日▽</t>
    <phoneticPr fontId="2"/>
  </si>
  <si>
    <t>最終入庫日▽</t>
    <rPh sb="0" eb="2">
      <t>サイシュウ</t>
    </rPh>
    <phoneticPr fontId="2"/>
  </si>
  <si>
    <t>最終出庫日▽</t>
    <rPh sb="0" eb="2">
      <t>サイシュウ</t>
    </rPh>
    <rPh sb="2" eb="4">
      <t>シュッコ</t>
    </rPh>
    <phoneticPr fontId="2"/>
  </si>
  <si>
    <t>入力日▽</t>
    <rPh sb="0" eb="2">
      <t>ニュウリョク</t>
    </rPh>
    <phoneticPr fontId="2"/>
  </si>
  <si>
    <t>依頼日/受付日▽</t>
    <rPh sb="0" eb="2">
      <t>イライ</t>
    </rPh>
    <rPh sb="2" eb="3">
      <t>ビ</t>
    </rPh>
    <rPh sb="4" eb="6">
      <t>ウケツケ</t>
    </rPh>
    <phoneticPr fontId="2"/>
  </si>
  <si>
    <t>分析完了日▽</t>
    <rPh sb="0" eb="2">
      <t>ブンセキ</t>
    </rPh>
    <rPh sb="2" eb="4">
      <t>カンリョウ</t>
    </rPh>
    <phoneticPr fontId="2"/>
  </si>
  <si>
    <t>中間報告日▽</t>
    <rPh sb="0" eb="2">
      <t>チュウカン</t>
    </rPh>
    <rPh sb="2" eb="4">
      <t>ホウコク</t>
    </rPh>
    <phoneticPr fontId="2"/>
  </si>
  <si>
    <t>報告書完成日/速報日▽</t>
    <rPh sb="0" eb="3">
      <t>ホウコクショ</t>
    </rPh>
    <rPh sb="3" eb="5">
      <t>カンセイ</t>
    </rPh>
    <rPh sb="7" eb="9">
      <t>ソクホウ</t>
    </rPh>
    <rPh sb="9" eb="10">
      <t>ビ</t>
    </rPh>
    <phoneticPr fontId="2"/>
  </si>
  <si>
    <t>納品日▽</t>
    <phoneticPr fontId="2"/>
  </si>
  <si>
    <t>測定日▽</t>
    <rPh sb="0" eb="2">
      <t>ソクテイ</t>
    </rPh>
    <phoneticPr fontId="2"/>
  </si>
  <si>
    <t>入力日▽</t>
    <rPh sb="0" eb="2">
      <t>ニュウリョク</t>
    </rPh>
    <rPh sb="2" eb="3">
      <t>ビ</t>
    </rPh>
    <phoneticPr fontId="2"/>
  </si>
  <si>
    <t>依頼日/受付日▽</t>
    <rPh sb="0" eb="2">
      <t>イライ</t>
    </rPh>
    <rPh sb="2" eb="3">
      <t>ビ</t>
    </rPh>
    <rPh sb="4" eb="6">
      <t>ウケツケ</t>
    </rPh>
    <rPh sb="6" eb="7">
      <t>ビ</t>
    </rPh>
    <phoneticPr fontId="2"/>
  </si>
  <si>
    <t>中間報告日▽</t>
    <rPh sb="0" eb="2">
      <t>チュウカン</t>
    </rPh>
    <rPh sb="2" eb="4">
      <t>ホウコク</t>
    </rPh>
    <rPh sb="4" eb="5">
      <t>ビ</t>
    </rPh>
    <phoneticPr fontId="2"/>
  </si>
  <si>
    <t>報告書完成日▽</t>
    <rPh sb="0" eb="3">
      <t>ホウコクショ</t>
    </rPh>
    <rPh sb="3" eb="5">
      <t>カンセイ</t>
    </rPh>
    <rPh sb="5" eb="6">
      <t>ビ</t>
    </rPh>
    <phoneticPr fontId="2"/>
  </si>
  <si>
    <t>納品日▽</t>
    <rPh sb="0" eb="3">
      <t>ノウヒンビ</t>
    </rPh>
    <phoneticPr fontId="2"/>
  </si>
  <si>
    <t>受注日▼</t>
    <rPh sb="0" eb="2">
      <t>ジュチュウ</t>
    </rPh>
    <phoneticPr fontId="2"/>
  </si>
  <si>
    <t>納品日▽</t>
    <phoneticPr fontId="2"/>
  </si>
  <si>
    <t>受付登録者CD</t>
    <rPh sb="0" eb="2">
      <t>ウケツケ</t>
    </rPh>
    <rPh sb="2" eb="5">
      <t>トウロクシャ</t>
    </rPh>
    <phoneticPr fontId="2"/>
  </si>
  <si>
    <t>UNJC0020_H_UKETSUKESHA_CD</t>
    <phoneticPr fontId="2"/>
  </si>
  <si>
    <t>UNJC0020_IF_INIT_HEADER_COPY_MOTO</t>
    <phoneticPr fontId="2"/>
  </si>
  <si>
    <t>受付登録者CD</t>
    <rPh sb="0" eb="2">
      <t>ウケツケ</t>
    </rPh>
    <rPh sb="2" eb="5">
      <t>トウロクシャ</t>
    </rPh>
    <phoneticPr fontId="2"/>
  </si>
  <si>
    <t>UNJC0020_SQL_UKETSUKESHA_CD</t>
    <phoneticPr fontId="2"/>
  </si>
  <si>
    <t>E28&amp;E29&amp;E30&amp;E31&amp;E32&amp;E33&amp;E34&amp;E35&amp;E36&amp;E37&amp;E43&amp;E47</t>
    <phoneticPr fontId="2"/>
  </si>
  <si>
    <t>条件(受付登録者)</t>
    <rPh sb="0" eb="2">
      <t>ジョウケン</t>
    </rPh>
    <rPh sb="3" eb="5">
      <t>ウケツケ</t>
    </rPh>
    <rPh sb="5" eb="7">
      <t>トウロク</t>
    </rPh>
    <rPh sb="7" eb="8">
      <t>シャ</t>
    </rPh>
    <phoneticPr fontId="2"/>
  </si>
  <si>
    <t>受付登録者名</t>
    <rPh sb="0" eb="2">
      <t>ウケツケ</t>
    </rPh>
    <rPh sb="2" eb="4">
      <t>トウロク</t>
    </rPh>
    <phoneticPr fontId="2"/>
  </si>
  <si>
    <t>分析方法▽</t>
    <rPh sb="0" eb="2">
      <t>ブンセキ</t>
    </rPh>
    <rPh sb="2" eb="4">
      <t>ホウホウ</t>
    </rPh>
    <phoneticPr fontId="2"/>
  </si>
  <si>
    <t>分析方法▽</t>
    <phoneticPr fontId="2"/>
  </si>
  <si>
    <t>コード</t>
    <phoneticPr fontId="2"/>
  </si>
  <si>
    <t>分析方法（名称マスタK017）</t>
    <rPh sb="0" eb="2">
      <t>ブンセキ</t>
    </rPh>
    <rPh sb="2" eb="4">
      <t>ホウホウ</t>
    </rPh>
    <rPh sb="5" eb="7">
      <t>メイショウ</t>
    </rPh>
    <phoneticPr fontId="2"/>
  </si>
  <si>
    <t>「=OFFSET(UNJC_BUNSEKI_HOHO_IF_START,,,IF(UNJC_BUNSEKI_HOHO_IF_KENSU=0,1,UNJC_BUNSEKI_HOHO_IF_KENSU),1)」</t>
    <phoneticPr fontId="2"/>
  </si>
  <si>
    <t>あ</t>
    <phoneticPr fontId="2"/>
  </si>
  <si>
    <t>い</t>
    <phoneticPr fontId="2"/>
  </si>
  <si>
    <t>う</t>
    <phoneticPr fontId="2"/>
  </si>
  <si>
    <t>え</t>
    <phoneticPr fontId="2"/>
  </si>
  <si>
    <t>お</t>
    <phoneticPr fontId="2"/>
  </si>
  <si>
    <t>a</t>
    <phoneticPr fontId="2"/>
  </si>
  <si>
    <t>b</t>
    <phoneticPr fontId="2"/>
  </si>
  <si>
    <t>c</t>
    <phoneticPr fontId="2"/>
  </si>
  <si>
    <t>d</t>
    <phoneticPr fontId="2"/>
  </si>
  <si>
    <t>e</t>
    <phoneticPr fontId="2"/>
  </si>
  <si>
    <t>UNJC_BUNSEKI_HOHO_IF_LIST</t>
    <phoneticPr fontId="2"/>
  </si>
  <si>
    <t>↓分析方法CD化対応により不使用</t>
    <rPh sb="1" eb="3">
      <t>ブンセキ</t>
    </rPh>
    <rPh sb="3" eb="5">
      <t>ホウホウ</t>
    </rPh>
    <rPh sb="7" eb="8">
      <t>カ</t>
    </rPh>
    <rPh sb="8" eb="10">
      <t>タイオウ</t>
    </rPh>
    <rPh sb="13" eb="16">
      <t>フシヨウ</t>
    </rPh>
    <phoneticPr fontId="2"/>
  </si>
  <si>
    <t>「=OFFSET(UNJC_BUNSEKI_HOHO_IF_START,,,IF(UNJC_BUNSEKI_HOHO_IF_KENSU=0,1,UNJC_BUNSEKI_HOHO_IF_KENSU),2)」</t>
    <phoneticPr fontId="2"/>
  </si>
  <si>
    <t>UNJC_BUNSEKI_HOHO_IF_LIST2</t>
    <phoneticPr fontId="2"/>
  </si>
  <si>
    <t>コードのみ</t>
    <phoneticPr fontId="2"/>
  </si>
  <si>
    <t>受付確認未</t>
    <rPh sb="0" eb="2">
      <t>ウケツケ</t>
    </rPh>
    <phoneticPr fontId="2"/>
  </si>
  <si>
    <t>中間報告済</t>
    <rPh sb="0" eb="2">
      <t>チュウカン</t>
    </rPh>
    <rPh sb="2" eb="4">
      <t>ホウコク</t>
    </rPh>
    <rPh sb="4" eb="5">
      <t>ズ</t>
    </rPh>
    <phoneticPr fontId="2"/>
  </si>
  <si>
    <t>技術確認</t>
    <rPh sb="0" eb="2">
      <t>ギジュツ</t>
    </rPh>
    <rPh sb="2" eb="4">
      <t>カクニン</t>
    </rPh>
    <phoneticPr fontId="2"/>
  </si>
  <si>
    <t>UNJC_COMMON_SQL_BUNSEKI_HOHO_SEARCH</t>
    <phoneticPr fontId="2"/>
  </si>
  <si>
    <t>分析方法名</t>
    <rPh sb="4" eb="5">
      <t>メイ</t>
    </rPh>
    <phoneticPr fontId="2"/>
  </si>
  <si>
    <t>分析方法CD</t>
    <rPh sb="0" eb="2">
      <t>ブンセキ</t>
    </rPh>
    <rPh sb="2" eb="4">
      <t>ホウホウ</t>
    </rPh>
    <phoneticPr fontId="2"/>
  </si>
  <si>
    <t>分析方法CD</t>
    <phoneticPr fontId="2"/>
  </si>
  <si>
    <t>SELECT
      --ステータス履歴
       T_BUN_STS_R.JURI_NO
      ,T_BUN_STS_R.MOD_DATE_TIME
      ,T_BUN_STS_R.AFTER_STS
      ,M_AFTER_STS.DATA_1            AS  AFTER_STS_MEI
      ,T_BUN_STS_R.DBS_UPDATE_USER
      ,M_SHAIN.SHIMEI
      --ヘッダ
      ,T_BUN_JUCHU_H.BUNSEKI_STS
      ,T_BUN_JUCHU_H.JUCHU_KBN
      ,T_BUN_JUCHU_H.BUSHO_CD
      ,T_BUN_JUCHU_H.NYURYOKU_DATETIME
      ,T_BUN_JUCHU_H.NYURYOKUSHA_CD
      ,T_BUN_JUCHU_H.REF_JURI_NO
      ,T_BUN_JUCHU_H.MITSU_NO
      ,T_BUN_JUCHU_H.ATENA_CD
      ,T_BUN_JUCHU_H.ATENA
      ,T_BUN_JUCHU_H.SEIKYU_CD
      ,T_BUN_JUCHU_H.BUNSEKI_HOHO_CD
      ,T_BUN_JUCHU_H.KEISHIKI_KBN
      ,T_BUN_JUCHU_H.NOHIN_HOHO
      ,T_BUN_JUCHU_H.KOSU
      ,T_BUN_JUCHU_H.EIGYO_TANTO_CD
      ,T_BUN_JUCHU_H.IRAI_DATE
      ,T_BUN_JUCHU_H.KANRYO_DATE
      ,T_BUN_JUCHU_H.KANSEI_DATE
      ,T_BUN_JUCHU_H.SOKUHO_KBN
      ,T_BUN_JUCHU_H.HAKKO_DATE
      ,T_BUN_JUCHU_H.NOHIN_DATE
      ,T_BUN_JUCHU_H.KENMEI
      ,T_BUN_JUCHU_H.MOKUTEKI
      ,T_BUN_JUCHU_H.KISAI_JIKO
      ,T_BUN_JUCHU_H.EDA_SHIRYO_FLG
      ,T_BUN_JUCHU_H.SAISHU_KAISHA_MEI
      ,T_BUN_JUCHU_H.SAISHU_SHA
      ,T_BUN_JUCHU_H.SAISHU_HOHO
      ,T_BUN_JUCHU_H.SAISHU_BASHO
      ,T_BUN_JUCHU_H.TENKO
      ,T_BUN_JUCHU_H.KION
      ,T_BUN_JUCHU_H.SUION
      ,T_BUN_JUCHU_H.SAISHU_DATE
      ,T_BUN_JUCHU_H.SAISHU_TIME
      ,T_BUN_JUCHU_H.SHOKEN_FLG
      ,T_BUN_JUCHU_H.GAISO_KBN
      ,T_BUN_JUCHU_H.YOKI
      ,T_BUN_JUCHU_H.HENKYAKU
      ,T_BUN_JUCHU_H.HOKOKU_HOHO_KBN
      ,T_BUN_JUCHU_H.BUSU
      ,T_BUN_JUCHU_H.CHUKAN_DATE_1
      ,T_BUN_JUCHU_H.CHUKAN_NAIYO_1
      ,T_BUN_JUCHU_H.CHUKAN_DATE_2
      ,T_BUN_JUCHU_H.CHUKAN_NAIYO_2
      ,T_BUN_JUCHU_H.CHUKAN_DATE_3
      ,T_BUN_JUCHU_H.CHUKAN_NAIYO_3
      ,T_BUN_JUCHU_H.BIKO
      ,T_BUN_JUCHU_H.FUYO_FLG
      ,T_BUN_JUCHU_H.NEW_FLG
      ,T_BUN_JUCHU_H.HENKO_FLG
      ,T_BUN_JUCHU_H.HOKOKU_CD_1
      ,T_BUN_JUCHU_H.HOKOKU_MEI_1
      ,T_BUN_JUCHU_H.BUSHO_1
      ,T_BUN_JUCHU_H.TANTO_1
      ,T_BUN_JUCHU_H.TEL_1
      ,T_BUN_JUCHU_H.FAX_1
      ,T_BUN_JUCHU_H.MAIL_1
      ,T_BUN_JUCHU_H.YUBIN_NO_1
      ,T_BUN_JUCHU_H.ADDRESS_1
      ,T_BUN_JUCHU_H.CHUKAN_SOFU_FLG_1
      ,T_BUN_JUCHU_H.SOKUHO_SOFU_FLG_1
      ,T_BUN_JUCHU_H.HOKOKUSHO_SOFU_FLG_1
      ,T_BUN_JUCHU_H.HOKOKU_CD_2
      ,T_BUN_JUCHU_H.HOKOKU_MEI_2
      ,T_BUN_JUCHU_H.BUSHO_2
      ,T_BUN_JUCHU_H.TANTO_2
      ,T_BUN_JUCHU_H.TEL_2
      ,T_BUN_JUCHU_H.FAX_2
      ,T_BUN_JUCHU_H.MAIL_2
      ,T_BUN_JUCHU_H.YUBIN_NO_2
      ,T_BUN_JUCHU_H.ADDRESS_2
      ,T_BUN_JUCHU_H.CHUKAN_SOFU_FLG_2
      ,T_BUN_JUCHU_H.SOKUHO_SOFU_FLG_2
      ,T_BUN_JUCHU_H.HOKOKUSHO_SOFU_FLG_2
      ,T_BUN_JUCHU_H.HOKOKU_CD_3
      ,T_BUN_JUCHU_H.HOKOKU_MEI_3
      ,T_BUN_JUCHU_H.BUSHO_3
      ,T_BUN_JUCHU_H.TANTO_3
      ,T_BUN_JUCHU_H.TEL_3
      ,T_BUN_JUCHU_H.FAX_3
      ,T_BUN_JUCHU_H.MAIL_3
      ,T_BUN_JUCHU_H.YUBIN_NO_3
      ,T_BUN_JUCHU_H.ADDRESS_3
      ,T_BUN_JUCHU_H.CHUKAN_SOFU_FLG_3
      ,T_BUN_JUCHU_H.SOKUHO_SOFU_FLG_3
      ,T_BUN_JUCHU_H.HOKOKUSHO_SOFU_FLG_3
      ,T_BUN_JUCHU_H.DEMPYO_HAKKO_KBN
      ,T_BUN_JUCHU_H.DEL_FLG
  FROM V_BUN_JUCHU_LIST
  LEFT JOIN
       T_BUN_JUCHU_H
    ON T_BUN_JUCHU_H.JURI_NO = V_BUN_JUCHU_LIST.JURI_NO
  LEFT JOIN
       T_BUN_STS_R
    ON T_BUN_STS_R.JURI_NO   = V_BUN_JUCHU_LIST.JURI_NO
  LEFT JOIN                                                          -- 【分析ステータス用】
       M_MEISHO_B                      AS  M_AFTER_STS
    ON M_AFTER_STS.MEISHO_KBN        =   'S003'
   AND M_AFTER_STS.MEISHO_CD         =   T_BUN_STS_R.AFTER_STS
  LEFT JOIN
       M_SHAIN
    ON M_SHAIN.SHAIN_CD      = T_BUN_STS_R.DBS_UPDATE_USER
  WHERE 1=1</t>
    <phoneticPr fontId="2"/>
  </si>
  <si>
    <t>分析方法CD</t>
    <rPh sb="0" eb="2">
      <t>ブンセキ</t>
    </rPh>
    <rPh sb="2" eb="4">
      <t>ホウホウ</t>
    </rPh>
    <phoneticPr fontId="2"/>
  </si>
  <si>
    <t>ジャンプ枝暗号</t>
    <rPh sb="4" eb="5">
      <t>エダ</t>
    </rPh>
    <rPh sb="5" eb="7">
      <t>アンゴウ</t>
    </rPh>
    <phoneticPr fontId="2"/>
  </si>
  <si>
    <t>UNJC0030_B_SET_EDA_JUMP_NO</t>
    <phoneticPr fontId="2"/>
  </si>
  <si>
    <t>枝番ジャンプ</t>
    <rPh sb="0" eb="1">
      <t>エダ</t>
    </rPh>
    <rPh sb="1" eb="2">
      <t>バン</t>
    </rPh>
    <phoneticPr fontId="2"/>
  </si>
  <si>
    <t>UNJC0030_SQL_SELECT_JUMP_EDA</t>
    <phoneticPr fontId="2"/>
  </si>
  <si>
    <t>GROUP BY</t>
    <phoneticPr fontId="2"/>
  </si>
  <si>
    <t>ORDER BY</t>
    <phoneticPr fontId="2"/>
  </si>
  <si>
    <t xml:space="preserve"> ORDER BY W_BUN_JUCHU.JURI_EDA_NO</t>
    <phoneticPr fontId="2"/>
  </si>
  <si>
    <t>並べ替え順▼</t>
    <rPh sb="0" eb="1">
      <t>ナラ</t>
    </rPh>
    <rPh sb="2" eb="3">
      <t>カ</t>
    </rPh>
    <rPh sb="4" eb="5">
      <t>ジュン</t>
    </rPh>
    <phoneticPr fontId="2"/>
  </si>
  <si>
    <t>分析項目並び順</t>
    <rPh sb="0" eb="2">
      <t>ブンセキ</t>
    </rPh>
    <rPh sb="2" eb="4">
      <t>コウモク</t>
    </rPh>
    <rPh sb="4" eb="5">
      <t>ナラ</t>
    </rPh>
    <rPh sb="6" eb="7">
      <t>ジュン</t>
    </rPh>
    <phoneticPr fontId="2"/>
  </si>
  <si>
    <t>分析項目並び順検索用SQL</t>
    <rPh sb="0" eb="2">
      <t>ブンセキ</t>
    </rPh>
    <rPh sb="2" eb="4">
      <t>コウモク</t>
    </rPh>
    <rPh sb="4" eb="5">
      <t>ナラ</t>
    </rPh>
    <rPh sb="6" eb="7">
      <t>ジュン</t>
    </rPh>
    <rPh sb="7" eb="10">
      <t>ケンサクヨウ</t>
    </rPh>
    <phoneticPr fontId="2"/>
  </si>
  <si>
    <t>分析項目並び順SEQ</t>
    <rPh sb="0" eb="2">
      <t>ブンセキ</t>
    </rPh>
    <rPh sb="2" eb="4">
      <t>コウモク</t>
    </rPh>
    <rPh sb="4" eb="5">
      <t>ナラ</t>
    </rPh>
    <rPh sb="6" eb="7">
      <t>ジュン</t>
    </rPh>
    <phoneticPr fontId="2"/>
  </si>
  <si>
    <t>UNJC0030_H_BUN_SORT_SEQ</t>
    <phoneticPr fontId="2"/>
  </si>
  <si>
    <t>分析方法コード</t>
    <rPh sb="0" eb="2">
      <t>ブンセキ</t>
    </rPh>
    <rPh sb="2" eb="4">
      <t>ホウホウ</t>
    </rPh>
    <phoneticPr fontId="2"/>
  </si>
  <si>
    <t>SEQ</t>
    <phoneticPr fontId="2"/>
  </si>
  <si>
    <t>分析項目並び順名称</t>
    <rPh sb="0" eb="2">
      <t>ブンセキ</t>
    </rPh>
    <rPh sb="2" eb="4">
      <t>コウモク</t>
    </rPh>
    <rPh sb="4" eb="5">
      <t>ナラ</t>
    </rPh>
    <rPh sb="6" eb="7">
      <t>ジュン</t>
    </rPh>
    <rPh sb="7" eb="9">
      <t>メイショウ</t>
    </rPh>
    <phoneticPr fontId="2"/>
  </si>
  <si>
    <t>「=OFFSET(UNJC0030_IF_LIST_BUN_SORT_START,,,IF(UNJC0030_IF_LIST_BUN_SORT_KENSU=0,1,UNJC0030_IF_LIST_BUN_SORT_KENSU),1)」</t>
    <phoneticPr fontId="2"/>
  </si>
  <si>
    <t>test2</t>
  </si>
  <si>
    <t>test1</t>
  </si>
  <si>
    <t>NAGA1</t>
  </si>
  <si>
    <t>NAGA2</t>
  </si>
  <si>
    <t>UNJC0030_IF_LIST_BUN_SORT_CODE</t>
    <phoneticPr fontId="2"/>
  </si>
  <si>
    <t>UNJC0030_IF_LIST_BUN_SORT_SEQ</t>
    <phoneticPr fontId="2"/>
  </si>
  <si>
    <t>「=OFFSET(UNJC0030_IF_LIST_BUN_SORT_SEQ_START,,,IF(UNJC0030_IF_LIST_BUN_SORT_KENSU=0,1,UNJC0030_IF_LIST_BUN_SORT_KENSU),1)」</t>
    <phoneticPr fontId="2"/>
  </si>
  <si>
    <t>2</t>
    <phoneticPr fontId="2"/>
  </si>
  <si>
    <t>40</t>
    <phoneticPr fontId="2"/>
  </si>
  <si>
    <t>分析項目並び順取得</t>
    <rPh sb="0" eb="2">
      <t>ブンセキ</t>
    </rPh>
    <rPh sb="2" eb="4">
      <t>コウモク</t>
    </rPh>
    <rPh sb="4" eb="5">
      <t>ナラ</t>
    </rPh>
    <rPh sb="6" eb="7">
      <t>ジュン</t>
    </rPh>
    <rPh sb="7" eb="9">
      <t>シュトク</t>
    </rPh>
    <phoneticPr fontId="2"/>
  </si>
  <si>
    <t>UNJC0030_SQL_BUN_SORT</t>
    <phoneticPr fontId="2"/>
  </si>
  <si>
    <t>デフォルト設定フラグ</t>
    <rPh sb="5" eb="7">
      <t>セッテイ</t>
    </rPh>
    <phoneticPr fontId="2"/>
  </si>
  <si>
    <t>デフォルト設定フラグ</t>
    <rPh sb="5" eb="7">
      <t>セッテイ</t>
    </rPh>
    <phoneticPr fontId="2"/>
  </si>
  <si>
    <t>UNJC0030_IF_LIST_BUN_SORT_MEI</t>
    <phoneticPr fontId="2"/>
  </si>
  <si>
    <t>UNJC0030_IF_LIST_DEFAULT_FLG</t>
    <phoneticPr fontId="2"/>
  </si>
  <si>
    <t>「=OFFSET(UNJC0030_IF_LIST_BUN_SORT_MEI_START,,,IF(UNJC0030_IF_LIST_BUN_SORT_KENSU=0,1,UNJC0030_IF_LIST_BUN_SORT_KENSU),1)」</t>
    <phoneticPr fontId="2"/>
  </si>
  <si>
    <t>「=OFFSET(UNJC0030_IF_LIST_DEFAULT_FLG_START,,,IF(UNJC0030_IF_LIST_BUN_SORT_KENSU=0,1,UNJC0030_IF_LIST_BUN_SORT_KENSU),1)」</t>
    <phoneticPr fontId="2"/>
  </si>
  <si>
    <t>受付者名▼</t>
    <rPh sb="0" eb="2">
      <t>ウケツケ</t>
    </rPh>
    <rPh sb="2" eb="3">
      <t>シャ</t>
    </rPh>
    <rPh sb="3" eb="4">
      <t>メイ</t>
    </rPh>
    <phoneticPr fontId="2"/>
  </si>
  <si>
    <t>受付者名</t>
    <rPh sb="0" eb="2">
      <t>ウケツケ</t>
    </rPh>
    <rPh sb="2" eb="3">
      <t>シャ</t>
    </rPh>
    <rPh sb="3" eb="4">
      <t>メイ</t>
    </rPh>
    <phoneticPr fontId="2"/>
  </si>
  <si>
    <t>SELECT BUNSEKI_HOHO_CD,SEQ,BUN_SORT_MEI,DEFAULT_FLG
FROM M_BUN_SORT_H
ORDER BY BUNSEKI_HOHO_CD,SEQ</t>
    <phoneticPr fontId="2"/>
  </si>
  <si>
    <t xml:space="preserve">SELECT DATA_1
      ,MEISHO_CD
  FROM M_MEISHO_B
 WHERE MEISHO_KBN = 'K017'
 ORDER BY
       SORT_NO ASC
      ,MEISHO_CD ASC
</t>
    <phoneticPr fontId="2"/>
  </si>
  <si>
    <t xml:space="preserve">SELECT M_MEISHO_B.MEISHO_CD    AS 分析コード,M_MEISHO_B.DATA_1    AS 分析方法
  FROM M_MEISHO_B
 WHERE M_MEISHO_B.MEISHO_KBN  = 'K017'
   AND M_MEISHO_B.MISHIYO_FLG = 'False'
 ORDER BY
       M_MEISHO_B.SORT_NO ASC
      ,M_MEISHO_B.MEISHO_CD ASC
</t>
    <phoneticPr fontId="2"/>
  </si>
  <si>
    <t>UNJC_COMMON_SQL_BUN_SORT_SEQ_SEARCH</t>
    <phoneticPr fontId="2"/>
  </si>
  <si>
    <t>SELECT M_BUN_SORT_H.BUNSEKI_HOHO_CD  AS 分析方法CD
      ,M_BUN_SORT_H.SEQ
      ,M_BUN_SORT_H.BUN_SORT_MEI     AS 並び順名称
      ,CASE
       WHEN M_BUN_SORT_H.DEFAULT_FLG = 'True'
       THEN '※'
       ELSE ''
       END                           AS デフォルト設定
  FROM M_BUN_SORT_H
 WHERE BUNSEKI_HOHO_CD ='</t>
    <phoneticPr fontId="2"/>
  </si>
  <si>
    <t xml:space="preserve">
  , M_MEISHO_B.DATA_1  AS  STATE_MEI
  , SOKUTEI_DATE
  , SOKUTEISHA_MEI
  , K_BIKO</t>
    <phoneticPr fontId="2"/>
  </si>
  <si>
    <t>備考プリセット検索用SQL</t>
    <rPh sb="0" eb="2">
      <t>ビコウ</t>
    </rPh>
    <rPh sb="7" eb="9">
      <t>ケンサク</t>
    </rPh>
    <rPh sb="9" eb="10">
      <t>ヨウ</t>
    </rPh>
    <phoneticPr fontId="2"/>
  </si>
  <si>
    <t>UNJC0190_SQL_BIKO_SEARCH</t>
    <phoneticPr fontId="2"/>
  </si>
  <si>
    <t>SELECT MEISHO_CD  AS CD
      ,DATA_1     AS プリセット
  FROM M_MEISHO_B
 WHERE MEISHO_KBN = 'K037'</t>
    <phoneticPr fontId="2"/>
  </si>
  <si>
    <t>備考展開位置</t>
    <rPh sb="0" eb="2">
      <t>ビコウ</t>
    </rPh>
    <rPh sb="2" eb="4">
      <t>テンカイ</t>
    </rPh>
    <rPh sb="4" eb="6">
      <t>イチ</t>
    </rPh>
    <phoneticPr fontId="2"/>
  </si>
  <si>
    <t>UNJC0190_B_BIKO</t>
    <phoneticPr fontId="2"/>
  </si>
  <si>
    <t>裏書フラグ</t>
    <phoneticPr fontId="2"/>
  </si>
  <si>
    <t>ROWNUM</t>
    <phoneticPr fontId="2"/>
  </si>
  <si>
    <t>あああああああああああああああああああああああああああああああああああああああい</t>
    <phoneticPr fontId="2"/>
  </si>
  <si>
    <t>テスト試料名１6</t>
    <rPh sb="3" eb="5">
      <t>シリョウ</t>
    </rPh>
    <rPh sb="5" eb="6">
      <t>メイ</t>
    </rPh>
    <phoneticPr fontId="2"/>
  </si>
  <si>
    <t xml:space="preserve">SELECT W_URAGAKI_LABEL.JURI_NO
      ,W_URAGAKI_LABEL.SOKUTEI_DATE
      ,W_URAGAKI_LABEL.SOKUTEISHA_MEI
      ,W_URAGAKI_LABEL.BUNSEKI_MEI
      ,W_URAGAKI_LABEL.BUNSEKI_FLOW
      ,CONVERT(VARCHAR(10), W_URAGAKI_LABEL.NYURYOKU_DATETIME,111)
      ,W_URAGAKI_LABEL.ATENA
      ,W_URAGAKI_LABEL.SEIKYU_MEI
      ,W_URAGAKI_LABEL.JURI_EDA_NO
      ,W_URAGAKI_LABEL.SHIRYO_MEI
      ,W_URAGAKI_LABEL.K_BIKO
      ,ROW_NUMBER() OVER (ORDER BY W_URAGAKI_LABEL.JURI_NO, W_URAGAKI_LABEL.JURI_EDA_NO)
</t>
    <phoneticPr fontId="2"/>
  </si>
  <si>
    <t>枝
番</t>
    <rPh sb="0" eb="1">
      <t>エダ</t>
    </rPh>
    <rPh sb="2" eb="3">
      <t>バン</t>
    </rPh>
    <phoneticPr fontId="2"/>
  </si>
  <si>
    <t>エラーフラグ</t>
  </si>
  <si>
    <t>1:OK　2：エラー</t>
  </si>
  <si>
    <t>SELECT SHOHIN_BUNRUI
      ,KOBAN
      ,MEISHO
      ,NYURYOKU
      ,KATA
      ,ALL_KETA
      ,SHOSU_KETA
      ,SETTEICHI
      ,URAGAKI_FLG</t>
    <phoneticPr fontId="2"/>
  </si>
  <si>
    <t>SELECT MEISHO_CD    AS CD
      ,DATA_1       AS 商品分類区分
  FROM M_MEISHO_B
 WHERE MEISHO_KBN = 'K025'
   AND MEISHO_CD IN ('1502','1508','1510','1511','1512','1524')
 ORDER BY
       SORT_NO
      ,CAST(MEISHO_CD AS INT)</t>
    <phoneticPr fontId="2"/>
  </si>
  <si>
    <t>'
 ORDER BY SEQ  DESC</t>
    <phoneticPr fontId="2"/>
  </si>
  <si>
    <t>枝番備考：</t>
    <rPh sb="0" eb="1">
      <t>エダ</t>
    </rPh>
    <rPh sb="1" eb="2">
      <t>バン</t>
    </rPh>
    <rPh sb="2" eb="4">
      <t>ビコウ</t>
    </rPh>
    <phoneticPr fontId="2"/>
  </si>
  <si>
    <t>分析項目群CD</t>
    <rPh sb="4" eb="5">
      <t>グン</t>
    </rPh>
    <phoneticPr fontId="2"/>
  </si>
  <si>
    <t>枝番備考</t>
    <rPh sb="0" eb="1">
      <t>エダ</t>
    </rPh>
    <rPh sb="1" eb="2">
      <t>バン</t>
    </rPh>
    <rPh sb="2" eb="4">
      <t>ビコウ</t>
    </rPh>
    <phoneticPr fontId="2"/>
  </si>
  <si>
    <t>分析項目群CD</t>
    <rPh sb="4" eb="5">
      <t>グン</t>
    </rPh>
    <phoneticPr fontId="2"/>
  </si>
  <si>
    <t>枝番備考</t>
    <rPh sb="0" eb="1">
      <t>エダ</t>
    </rPh>
    <rPh sb="1" eb="2">
      <t>バン</t>
    </rPh>
    <rPh sb="2" eb="4">
      <t>ビコウ</t>
    </rPh>
    <phoneticPr fontId="2"/>
  </si>
  <si>
    <t>分析項目群名</t>
    <rPh sb="0" eb="5">
      <t>ブンセキコウモクグン</t>
    </rPh>
    <rPh sb="5" eb="6">
      <t>メイ</t>
    </rPh>
    <phoneticPr fontId="2"/>
  </si>
  <si>
    <t>SELECT DISTINCT W_BUN_JUCHU.JURI_EDA_NO AS 枝番,COUNT(*) AS 分析項目数,EBIKO AS 枝番備考
 FROM W_BUN_JUCHU</t>
    <rPh sb="43" eb="44">
      <t>エダ</t>
    </rPh>
    <rPh sb="44" eb="45">
      <t>バン</t>
    </rPh>
    <phoneticPr fontId="2"/>
  </si>
  <si>
    <t xml:space="preserve"> GROUP BY W_BUN_JUCHU.JURI_EDA_NO,EBIKO</t>
    <phoneticPr fontId="2"/>
  </si>
  <si>
    <t>分析項目CD群</t>
    <rPh sb="6" eb="7">
      <t>グン</t>
    </rPh>
    <phoneticPr fontId="2"/>
  </si>
  <si>
    <t>分析項目群名</t>
    <rPh sb="4" eb="5">
      <t>グン</t>
    </rPh>
    <phoneticPr fontId="2"/>
  </si>
  <si>
    <t>枝番備考</t>
    <rPh sb="0" eb="1">
      <t>エダ</t>
    </rPh>
    <rPh sb="1" eb="2">
      <t>バン</t>
    </rPh>
    <rPh sb="2" eb="4">
      <t>ビコウ</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</si>
</sst>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176" formatCode="yyyy/mm/dd\ hh:mm:ss;@"/>
    <numFmt numFmtId="177" formatCode="yyyy/mm/dd"/>
    <numFmt numFmtId="178" formatCode="0_);[Red]\(0\)"/>
    <numFmt numFmtId="179" formatCode="0.000_ "/>
    <numFmt numFmtId="180" formatCode="0.0%"/>
    <numFmt numFmtId="181" formatCode="#,##0_ ;[Red]\-#,##0\ "/>
    <numFmt numFmtId="182" formatCode="#,##0.00_ ;[Red]\-#,##0.00\ "/>
    <numFmt numFmtId="183" formatCode="ggge&quot;年&quot;m&quot;月&quot;d&quot;日&quot;"/>
    <numFmt numFmtId="184" formatCode="ggge&quot;年&quot;mm&quot;月&quot;dd&quot;日&quot;"/>
    <numFmt numFmtId="185" formatCode="yyyy/mm/dd\ hh:mm:ss"/>
    <numFmt numFmtId="186" formatCode="h:mm;@"/>
    <numFmt numFmtId="187" formatCode="[$-F800]dddd\,\ mmmm\ dd\,\ yyyy"/>
    <numFmt numFmtId="188" formatCode="000000000000"/>
    <numFmt numFmtId="189" formatCode="gggyy&quot;年&quot;mm&quot;月&quot;dd&quot;日&quot;"/>
    <numFmt numFmtId="190" formatCode="gggyy&quot;年&quot;mm&quot;月&quot;dd&quot;日&quot;\ hh:mm:ss"/>
    <numFmt numFmtId="191" formatCode="#0.0"/>
    <numFmt numFmtId="192" formatCode="#"/>
    <numFmt numFmtId="193" formatCode="00"/>
    <numFmt numFmtId="194" formatCode="mmdd"/>
    <numFmt numFmtId="195" formatCode="yyyy/mm/dd\ hh:mm:ss;"/>
    <numFmt numFmtId="196" formatCode="yyyy/mm/dd\ h:mm:ss"/>
    <numFmt numFmtId="197" formatCode="#,##0_ "/>
    <numFmt numFmtId="198" formatCode="mm/dd"/>
    <numFmt numFmtId="199" formatCode="0.0_ "/>
    <numFmt numFmtId="200" formatCode="#,##0.00_ "/>
    <numFmt numFmtId="201" formatCode="yyyy/mm/dd\ h:mm:ss.000"/>
    <numFmt numFmtId="203" formatCode="yyyy/m/d;@"/>
  </numFmts>
  <fonts count="96">
    <font>
      <sz val="11"/>
      <color theme="1"/>
      <name val="ＭＳ Ｐゴシック"/>
      <family val="2"/>
      <charset val="128"/>
      <scheme val="minor"/>
    </font>
    <font>
      <sz val="11"/>
      <name val="ＭＳ Ｐゴシック"/>
      <family val="3"/>
      <charset val="128"/>
    </font>
    <font>
      <sz val="6"/>
      <name val="ＭＳ Ｐゴシック"/>
      <family val="2"/>
      <charset val="128"/>
      <scheme val="minor"/>
    </font>
    <font>
      <sz val="8"/>
      <color theme="3" tint="-0.499984740745262"/>
      <name val="メイリオ"/>
      <family val="3"/>
      <charset val="128"/>
    </font>
    <font>
      <sz val="10"/>
      <color theme="3" tint="-0.499984740745262"/>
      <name val="メイリオ"/>
      <family val="3"/>
      <charset val="128"/>
    </font>
    <font>
      <sz val="9"/>
      <color theme="3" tint="-0.499984740745262"/>
      <name val="メイリオ"/>
      <family val="3"/>
      <charset val="128"/>
    </font>
    <font>
      <sz val="8"/>
      <color theme="1"/>
      <name val="メイリオ"/>
      <family val="3"/>
      <charset val="128"/>
    </font>
    <font>
      <b/>
      <sz val="12"/>
      <color theme="0"/>
      <name val="メイリオ"/>
      <family val="3"/>
      <charset val="128"/>
    </font>
    <font>
      <sz val="10"/>
      <color theme="1"/>
      <name val="メイリオ"/>
      <family val="3"/>
      <charset val="128"/>
    </font>
    <font>
      <sz val="10"/>
      <color rgb="FFFF0000"/>
      <name val="メイリオ"/>
      <family val="3"/>
      <charset val="128"/>
    </font>
    <font>
      <b/>
      <sz val="10"/>
      <color theme="1"/>
      <name val="メイリオ"/>
      <family val="3"/>
      <charset val="128"/>
    </font>
    <font>
      <sz val="9"/>
      <color rgb="FF000000"/>
      <name val="Meiryo UI"/>
      <family val="3"/>
      <charset val="128"/>
    </font>
    <font>
      <b/>
      <sz val="11"/>
      <color theme="1"/>
      <name val="ＭＳ ゴシック"/>
      <family val="3"/>
      <charset val="128"/>
    </font>
    <font>
      <sz val="11"/>
      <color theme="1"/>
      <name val="ＭＳ ゴシック"/>
      <family val="3"/>
      <charset val="128"/>
    </font>
    <font>
      <b/>
      <sz val="11"/>
      <color theme="1"/>
      <name val="ＭＳ Ｐゴシック"/>
      <family val="3"/>
      <charset val="128"/>
      <scheme val="minor"/>
    </font>
    <font>
      <sz val="11"/>
      <color indexed="8"/>
      <name val="ＭＳ Ｐゴシック"/>
      <family val="3"/>
      <charset val="128"/>
    </font>
    <font>
      <b/>
      <sz val="11"/>
      <color indexed="8"/>
      <name val="ＭＳ Ｐゴシック"/>
      <family val="3"/>
      <charset val="128"/>
    </font>
    <font>
      <u/>
      <sz val="20"/>
      <color theme="1"/>
      <name val="メイリオ"/>
      <family val="3"/>
      <charset val="128"/>
    </font>
    <font>
      <sz val="20"/>
      <color theme="1"/>
      <name val="メイリオ"/>
      <family val="3"/>
      <charset val="128"/>
    </font>
    <font>
      <sz val="12"/>
      <color theme="1"/>
      <name val="メイリオ"/>
      <family val="3"/>
      <charset val="128"/>
    </font>
    <font>
      <sz val="9"/>
      <color theme="1"/>
      <name val="メイリオ"/>
      <family val="3"/>
      <charset val="128"/>
    </font>
    <font>
      <sz val="9"/>
      <color theme="1"/>
      <name val="ＭＳ Ｐゴシック"/>
      <family val="2"/>
      <charset val="128"/>
      <scheme val="minor"/>
    </font>
    <font>
      <b/>
      <sz val="10"/>
      <color rgb="FFFF0000"/>
      <name val="メイリオ"/>
      <family val="3"/>
      <charset val="128"/>
    </font>
    <font>
      <b/>
      <sz val="20"/>
      <color theme="0" tint="-0.34998626667073579"/>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b/>
      <sz val="11"/>
      <color rgb="FFFF0000"/>
      <name val="ＭＳ Ｐゴシック"/>
      <family val="3"/>
      <charset val="128"/>
      <scheme val="minor"/>
    </font>
    <font>
      <sz val="11"/>
      <color rgb="FF000000"/>
      <name val="ＭＳ Ｐゴシック"/>
      <family val="3"/>
      <charset val="128"/>
    </font>
    <font>
      <b/>
      <sz val="8"/>
      <color theme="3" tint="-0.499984740745262"/>
      <name val="メイリオ"/>
      <family val="3"/>
      <charset val="128"/>
    </font>
    <font>
      <sz val="10"/>
      <color theme="1"/>
      <name val="ＭＳ Ｐゴシック"/>
      <family val="3"/>
      <charset val="128"/>
      <scheme val="minor"/>
    </font>
    <font>
      <sz val="10"/>
      <color theme="3" tint="-0.499984740745262"/>
      <name val="ＭＳ Ｐゴシック"/>
      <family val="3"/>
      <charset val="128"/>
      <scheme val="minor"/>
    </font>
    <font>
      <b/>
      <sz val="11"/>
      <color theme="1"/>
      <name val="メイリオ"/>
      <family val="3"/>
      <charset val="128"/>
    </font>
    <font>
      <sz val="11"/>
      <color theme="1"/>
      <name val="メイリオ"/>
      <family val="3"/>
      <charset val="128"/>
    </font>
    <font>
      <sz val="11"/>
      <color theme="1"/>
      <name val="ＭＳ Ｐゴシック"/>
      <family val="3"/>
      <charset val="128"/>
      <scheme val="minor"/>
    </font>
    <font>
      <sz val="11"/>
      <name val="ＭＳ Ｐゴシック"/>
      <family val="3"/>
      <charset val="128"/>
      <scheme val="minor"/>
    </font>
    <font>
      <b/>
      <sz val="12"/>
      <color theme="1"/>
      <name val="メイリオ"/>
      <family val="3"/>
      <charset val="128"/>
    </font>
    <font>
      <sz val="10"/>
      <color theme="0" tint="-0.14999847407452621"/>
      <name val="メイリオ"/>
      <family val="3"/>
      <charset val="128"/>
    </font>
    <font>
      <sz val="22"/>
      <color theme="1"/>
      <name val="メイリオ"/>
      <family val="3"/>
      <charset val="128"/>
    </font>
    <font>
      <u/>
      <sz val="16"/>
      <color theme="1"/>
      <name val="メイリオ"/>
      <family val="3"/>
      <charset val="128"/>
    </font>
    <font>
      <sz val="16"/>
      <color theme="1"/>
      <name val="メイリオ"/>
      <family val="3"/>
      <charset val="128"/>
    </font>
    <font>
      <sz val="11"/>
      <name val="ＭＳ Ｐゴシック"/>
      <family val="2"/>
      <charset val="128"/>
      <scheme val="minor"/>
    </font>
    <font>
      <sz val="9"/>
      <color rgb="FF000000"/>
      <name val="MS UI Gothic"/>
      <family val="3"/>
      <charset val="128"/>
    </font>
    <font>
      <sz val="11"/>
      <name val="メイリオ"/>
      <family val="3"/>
      <charset val="128"/>
    </font>
    <font>
      <u/>
      <sz val="8"/>
      <color theme="1"/>
      <name val="メイリオ"/>
      <family val="3"/>
      <charset val="128"/>
    </font>
    <font>
      <sz val="8"/>
      <color theme="1"/>
      <name val="ＭＳ Ｐゴシック"/>
      <family val="3"/>
      <charset val="128"/>
    </font>
    <font>
      <sz val="8"/>
      <color theme="1"/>
      <name val="ＭＳ Ｐゴシック"/>
      <family val="3"/>
      <charset val="128"/>
      <scheme val="minor"/>
    </font>
    <font>
      <u/>
      <sz val="8"/>
      <color theme="1"/>
      <name val="ＭＳ Ｐゴシック"/>
      <family val="2"/>
      <charset val="128"/>
      <scheme val="minor"/>
    </font>
    <font>
      <u/>
      <sz val="10"/>
      <color theme="1"/>
      <name val="メイリオ"/>
      <family val="3"/>
      <charset val="128"/>
    </font>
    <font>
      <sz val="8"/>
      <name val="メイリオ"/>
      <family val="3"/>
      <charset val="128"/>
    </font>
    <font>
      <sz val="10"/>
      <name val="メイリオ"/>
      <family val="3"/>
      <charset val="128"/>
    </font>
    <font>
      <sz val="8"/>
      <color theme="1"/>
      <name val="ＭＳ Ｐゴシック"/>
      <family val="2"/>
      <charset val="128"/>
      <scheme val="minor"/>
    </font>
    <font>
      <sz val="11"/>
      <color indexed="22"/>
      <name val="ＭＳ Ｐゴシック"/>
      <family val="3"/>
      <charset val="128"/>
    </font>
    <font>
      <sz val="9"/>
      <color indexed="81"/>
      <name val="ＭＳ Ｐゴシック"/>
      <family val="3"/>
      <charset val="128"/>
    </font>
    <font>
      <sz val="24"/>
      <color theme="1"/>
      <name val="CODE39"/>
      <family val="2"/>
    </font>
    <font>
      <b/>
      <sz val="9"/>
      <color theme="1"/>
      <name val="ＭＳ Ｐゴシック"/>
      <family val="3"/>
      <charset val="128"/>
    </font>
    <font>
      <sz val="9"/>
      <color theme="1"/>
      <name val="ＭＳ Ｐゴシック"/>
      <family val="3"/>
      <charset val="128"/>
    </font>
    <font>
      <b/>
      <u/>
      <sz val="9"/>
      <color theme="1"/>
      <name val="ＭＳ Ｐゴシック"/>
      <family val="3"/>
      <charset val="128"/>
    </font>
    <font>
      <strike/>
      <sz val="11"/>
      <color theme="1"/>
      <name val="ＭＳ Ｐゴシック"/>
      <family val="3"/>
      <charset val="128"/>
      <scheme val="minor"/>
    </font>
    <font>
      <strike/>
      <sz val="11"/>
      <color theme="1"/>
      <name val="メイリオ"/>
      <family val="3"/>
      <charset val="128"/>
    </font>
    <font>
      <strike/>
      <sz val="10"/>
      <color theme="1"/>
      <name val="メイリオ"/>
      <family val="3"/>
      <charset val="128"/>
    </font>
    <font>
      <sz val="9"/>
      <color theme="1"/>
      <name val="ＭＳ Ｐゴシック"/>
      <family val="3"/>
      <charset val="128"/>
      <scheme val="minor"/>
    </font>
    <font>
      <sz val="10"/>
      <color theme="1"/>
      <name val="ＭＳ Ｐゴシック"/>
      <family val="3"/>
      <charset val="128"/>
    </font>
    <font>
      <u/>
      <sz val="20"/>
      <color theme="1"/>
      <name val="ＭＳ Ｐゴシック"/>
      <family val="3"/>
      <charset val="128"/>
      <scheme val="minor"/>
    </font>
    <font>
      <sz val="12"/>
      <color theme="1"/>
      <name val="ＭＳ Ｐゴシック"/>
      <family val="3"/>
      <charset val="128"/>
    </font>
    <font>
      <sz val="12"/>
      <color theme="1"/>
      <name val="ＭＳ Ｐゴシック"/>
      <family val="3"/>
      <charset val="128"/>
      <scheme val="minor"/>
    </font>
    <font>
      <b/>
      <sz val="10"/>
      <color rgb="FFFF0000"/>
      <name val="ＭＳ Ｐゴシック"/>
      <family val="3"/>
      <charset val="128"/>
      <scheme val="minor"/>
    </font>
    <font>
      <sz val="11"/>
      <color theme="1"/>
      <name val="ＭＳ Ｐゴシック"/>
      <family val="3"/>
      <charset val="128"/>
    </font>
    <font>
      <sz val="10"/>
      <color theme="1"/>
      <name val="ＭＳ Ｐゴシック"/>
      <family val="3"/>
      <charset val="128"/>
      <scheme val="major"/>
    </font>
    <font>
      <sz val="12"/>
      <color theme="1"/>
      <name val="ＭＳ Ｐゴシック"/>
      <family val="3"/>
      <charset val="128"/>
      <scheme val="major"/>
    </font>
    <font>
      <sz val="11"/>
      <color theme="1"/>
      <name val="ＭＳ Ｐゴシック"/>
      <family val="3"/>
      <charset val="128"/>
      <scheme val="major"/>
    </font>
    <font>
      <sz val="9"/>
      <color theme="1"/>
      <name val="ＭＳ Ｐゴシック"/>
      <family val="3"/>
      <charset val="128"/>
      <scheme val="major"/>
    </font>
    <font>
      <sz val="10"/>
      <color rgb="FFFF0000"/>
      <name val="ＭＳ Ｐゴシック"/>
      <family val="3"/>
      <charset val="128"/>
      <scheme val="minor"/>
    </font>
    <font>
      <sz val="26"/>
      <color rgb="FFFF0000"/>
      <name val="ＭＳ Ｐゴシック"/>
      <family val="3"/>
      <charset val="128"/>
      <scheme val="minor"/>
    </font>
    <font>
      <b/>
      <sz val="10"/>
      <color theme="1"/>
      <name val="ＭＳ Ｐゴシック"/>
      <family val="3"/>
      <charset val="128"/>
      <scheme val="minor"/>
    </font>
    <font>
      <sz val="9"/>
      <color rgb="FFFF0000"/>
      <name val="ＭＳ Ｐゴシック"/>
      <family val="3"/>
      <charset val="128"/>
      <scheme val="minor"/>
    </font>
    <font>
      <sz val="9"/>
      <color indexed="8"/>
      <name val="ＭＳ Ｐゴシック"/>
      <family val="3"/>
      <charset val="128"/>
    </font>
    <font>
      <b/>
      <sz val="9"/>
      <color indexed="8"/>
      <name val="ＭＳ Ｐゴシック"/>
      <family val="3"/>
      <charset val="128"/>
    </font>
    <font>
      <b/>
      <sz val="9"/>
      <color theme="0"/>
      <name val="メイリオ"/>
      <family val="3"/>
      <charset val="128"/>
    </font>
    <font>
      <sz val="11"/>
      <color rgb="FF7F878F"/>
      <name val="ＭＳ Ｐゴシック"/>
      <family val="3"/>
      <charset val="128"/>
      <scheme val="minor"/>
    </font>
    <font>
      <b/>
      <sz val="14"/>
      <color theme="1"/>
      <name val="ＭＳ Ｐゴシック"/>
      <family val="3"/>
      <charset val="128"/>
      <scheme val="major"/>
    </font>
    <font>
      <sz val="10"/>
      <color theme="1"/>
      <name val="ＭＳ Ｐゴシック"/>
      <family val="2"/>
      <charset val="128"/>
      <scheme val="minor"/>
    </font>
  </fonts>
  <fills count="66">
    <fill>
      <patternFill patternType="none"/>
    </fill>
    <fill>
      <patternFill patternType="gray125"/>
    </fill>
    <fill>
      <patternFill patternType="solid">
        <fgColor theme="3" tint="0.59999389629810485"/>
        <bgColor indexed="64"/>
      </patternFill>
    </fill>
    <fill>
      <patternFill patternType="solid">
        <fgColor rgb="FF0033CC"/>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FF99"/>
        <bgColor indexed="64"/>
      </patternFill>
    </fill>
    <fill>
      <patternFill patternType="solid">
        <fgColor theme="9"/>
        <bgColor indexed="64"/>
      </patternFill>
    </fill>
    <fill>
      <patternFill patternType="solid">
        <fgColor theme="0"/>
        <bgColor indexed="64"/>
      </patternFill>
    </fill>
    <fill>
      <patternFill patternType="solid">
        <fgColor theme="0" tint="-0.14996795556505021"/>
        <bgColor indexed="64"/>
      </patternFill>
    </fill>
    <fill>
      <patternFill patternType="solid">
        <fgColor rgb="FF00FF00"/>
        <bgColor indexed="64"/>
      </patternFill>
    </fill>
    <fill>
      <patternFill patternType="solid">
        <fgColor rgb="FFFFFF00"/>
        <bgColor indexed="64"/>
      </patternFill>
    </fill>
    <fill>
      <patternFill patternType="solid">
        <fgColor rgb="FF87E7AD"/>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rgb="FF8DB4E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FFF66"/>
        <bgColor indexed="64"/>
      </patternFill>
    </fill>
    <fill>
      <patternFill patternType="solid">
        <fgColor rgb="FFFFFF97"/>
        <bgColor indexed="64"/>
      </patternFill>
    </fill>
    <fill>
      <patternFill patternType="solid">
        <fgColor theme="9" tint="0.79998168889431442"/>
        <bgColor indexed="64"/>
      </patternFill>
    </fill>
    <fill>
      <patternFill patternType="solid">
        <fgColor rgb="FFCCFFFF"/>
        <bgColor indexed="64"/>
      </patternFill>
    </fill>
    <fill>
      <patternFill patternType="solid">
        <fgColor rgb="FFFFFFCC"/>
        <bgColor indexed="64"/>
      </patternFill>
    </fill>
    <fill>
      <patternFill patternType="solid">
        <fgColor rgb="FFFFFFC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rgb="FFD9D9D9"/>
        <bgColor indexed="64"/>
      </patternFill>
    </fill>
    <fill>
      <patternFill patternType="solid">
        <fgColor theme="8" tint="0.39997558519241921"/>
        <bgColor indexed="64"/>
      </patternFill>
    </fill>
    <fill>
      <patternFill patternType="solid">
        <fgColor theme="0" tint="-0.24994659260841701"/>
        <bgColor indexed="64"/>
      </patternFill>
    </fill>
    <fill>
      <patternFill patternType="solid">
        <fgColor theme="3" tint="0.59996337778862885"/>
        <bgColor indexed="64"/>
      </patternFill>
    </fill>
    <fill>
      <patternFill patternType="solid">
        <fgColor theme="8" tint="0.39994506668294322"/>
        <bgColor indexed="64"/>
      </patternFill>
    </fill>
    <fill>
      <patternFill patternType="solid">
        <fgColor rgb="FFB7DEE8"/>
        <bgColor indexed="64"/>
      </patternFill>
    </fill>
    <fill>
      <patternFill patternType="solid">
        <fgColor rgb="FFB5DEE8"/>
        <bgColor indexed="64"/>
      </patternFill>
    </fill>
    <fill>
      <patternFill patternType="solid">
        <fgColor rgb="FF68B8CE"/>
        <bgColor indexed="64"/>
      </patternFill>
    </fill>
    <fill>
      <patternFill patternType="solid">
        <fgColor rgb="FFEDF7F9"/>
        <bgColor indexed="64"/>
      </patternFill>
    </fill>
    <fill>
      <patternFill patternType="solid">
        <fgColor rgb="FFFFC000"/>
        <bgColor indexed="64"/>
      </patternFill>
    </fill>
  </fills>
  <borders count="15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0" tint="-0.34998626667073579"/>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theme="0" tint="-0.34998626667073579"/>
      </bottom>
      <diagonal/>
    </border>
    <border>
      <left/>
      <right style="thin">
        <color indexed="64"/>
      </right>
      <top style="thin">
        <color indexed="64"/>
      </top>
      <bottom style="thin">
        <color theme="0" tint="-0.34998626667073579"/>
      </bottom>
      <diagonal/>
    </border>
    <border>
      <left/>
      <right/>
      <top/>
      <bottom style="thin">
        <color theme="0" tint="-0.34998626667073579"/>
      </bottom>
      <diagonal/>
    </border>
    <border>
      <left style="thin">
        <color indexed="64"/>
      </left>
      <right style="thin">
        <color theme="0" tint="-0.34998626667073579"/>
      </right>
      <top style="thin">
        <color indexed="64"/>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right style="thin">
        <color indexed="64"/>
      </right>
      <top style="thin">
        <color indexed="64"/>
      </top>
      <bottom/>
      <diagonal/>
    </border>
    <border>
      <left style="thin">
        <color indexed="64"/>
      </left>
      <right/>
      <top style="thin">
        <color indexed="64"/>
      </top>
      <bottom style="thin">
        <color theme="0" tint="-0.34998626667073579"/>
      </bottom>
      <diagonal/>
    </border>
    <border>
      <left/>
      <right style="thin">
        <color theme="0" tint="-0.249977111117893"/>
      </right>
      <top/>
      <bottom/>
      <diagonal/>
    </border>
    <border>
      <left/>
      <right/>
      <top style="dotted">
        <color auto="1"/>
      </top>
      <bottom style="dotted">
        <color auto="1"/>
      </bottom>
      <diagonal/>
    </border>
    <border>
      <left style="dotted">
        <color auto="1"/>
      </left>
      <right style="dotted">
        <color auto="1"/>
      </right>
      <top style="dotted">
        <color auto="1"/>
      </top>
      <bottom/>
      <diagonal/>
    </border>
    <border>
      <left style="dotted">
        <color auto="1"/>
      </left>
      <right style="dotted">
        <color auto="1"/>
      </right>
      <top/>
      <bottom style="dotted">
        <color auto="1"/>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otted">
        <color auto="1"/>
      </left>
      <right style="dotted">
        <color auto="1"/>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diagonalDown="1">
      <left/>
      <right/>
      <top/>
      <bottom/>
      <diagonal style="thin">
        <color auto="1"/>
      </diagonal>
    </border>
    <border>
      <left style="dashed">
        <color auto="1"/>
      </left>
      <right style="dashed">
        <color auto="1"/>
      </right>
      <top/>
      <bottom/>
      <diagonal/>
    </border>
    <border>
      <left style="dashed">
        <color auto="1"/>
      </left>
      <right style="dashed">
        <color auto="1"/>
      </right>
      <top/>
      <bottom style="dashed">
        <color auto="1"/>
      </bottom>
      <diagonal/>
    </border>
    <border>
      <left style="thin">
        <color indexed="64"/>
      </left>
      <right style="thin">
        <color indexed="64"/>
      </right>
      <top/>
      <bottom/>
      <diagonal/>
    </border>
    <border>
      <left/>
      <right/>
      <top style="mediumDashDot">
        <color auto="1"/>
      </top>
      <bottom style="thin">
        <color theme="0" tint="-0.24994659260841701"/>
      </bottom>
      <diagonal/>
    </border>
    <border>
      <left/>
      <right style="dotted">
        <color auto="1"/>
      </right>
      <top/>
      <bottom/>
      <diagonal/>
    </border>
    <border>
      <left style="dotted">
        <color auto="1"/>
      </left>
      <right style="dotted">
        <color auto="1"/>
      </right>
      <top/>
      <bottom style="mediumDashDot">
        <color auto="1"/>
      </bottom>
      <diagonal/>
    </border>
    <border>
      <left/>
      <right/>
      <top style="mediumDashDot">
        <color auto="1"/>
      </top>
      <bottom style="mediumDashDot">
        <color auto="1"/>
      </bottom>
      <diagonal/>
    </border>
    <border>
      <left/>
      <right/>
      <top/>
      <bottom style="dotted">
        <color auto="1"/>
      </bottom>
      <diagonal/>
    </border>
    <border>
      <left/>
      <right/>
      <top style="dotted">
        <color auto="1"/>
      </top>
      <bottom/>
      <diagonal/>
    </border>
    <border>
      <left/>
      <right/>
      <top style="dotted">
        <color auto="1"/>
      </top>
      <bottom style="dashDot">
        <color auto="1"/>
      </bottom>
      <diagonal/>
    </border>
    <border>
      <left/>
      <right/>
      <top style="dashDot">
        <color auto="1"/>
      </top>
      <bottom style="dashDot">
        <color auto="1"/>
      </bottom>
      <diagonal/>
    </border>
    <border>
      <left/>
      <right/>
      <top style="dashDot">
        <color auto="1"/>
      </top>
      <bottom style="dotted">
        <color auto="1"/>
      </bottom>
      <diagonal/>
    </border>
    <border>
      <left/>
      <right/>
      <top style="dashDot">
        <color auto="1"/>
      </top>
      <bottom/>
      <diagonal/>
    </border>
    <border>
      <left/>
      <right/>
      <top style="mediumDashDotDot">
        <color auto="1"/>
      </top>
      <bottom style="dotted">
        <color auto="1"/>
      </bottom>
      <diagonal/>
    </border>
    <border>
      <left/>
      <right/>
      <top style="dotted">
        <color auto="1"/>
      </top>
      <bottom style="thin">
        <color theme="0" tint="-0.24994659260841701"/>
      </bottom>
      <diagonal/>
    </border>
    <border>
      <left style="hair">
        <color indexed="64"/>
      </left>
      <right/>
      <top style="thin">
        <color indexed="64"/>
      </top>
      <bottom/>
      <diagonal/>
    </border>
    <border>
      <left style="hair">
        <color indexed="64"/>
      </left>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tted">
        <color indexed="64"/>
      </left>
      <right/>
      <top style="dotted">
        <color indexed="64"/>
      </top>
      <bottom/>
      <diagonal/>
    </border>
    <border>
      <left/>
      <right style="dotted">
        <color indexed="64"/>
      </right>
      <top style="dotted">
        <color indexed="64"/>
      </top>
      <bottom/>
      <diagonal/>
    </border>
    <border>
      <left style="dotted">
        <color indexed="64"/>
      </left>
      <right/>
      <top/>
      <bottom style="dotted">
        <color indexed="64"/>
      </bottom>
      <diagonal/>
    </border>
    <border>
      <left/>
      <right style="dotted">
        <color indexed="64"/>
      </right>
      <top/>
      <bottom style="dotted">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thin">
        <color auto="1"/>
      </right>
      <top style="double">
        <color indexed="64"/>
      </top>
      <bottom style="thin">
        <color indexed="64"/>
      </bottom>
      <diagonal/>
    </border>
    <border>
      <left style="thin">
        <color indexed="64"/>
      </left>
      <right/>
      <top style="double">
        <color indexed="64"/>
      </top>
      <bottom style="thin">
        <color indexed="64"/>
      </bottom>
      <diagonal/>
    </border>
    <border>
      <left style="dotted">
        <color auto="1"/>
      </left>
      <right style="dotted">
        <color auto="1"/>
      </right>
      <top style="thin">
        <color theme="0" tint="-0.24994659260841701"/>
      </top>
      <bottom/>
      <diagonal/>
    </border>
    <border diagonalDown="1">
      <left/>
      <right/>
      <top style="dotted">
        <color auto="1"/>
      </top>
      <bottom style="dotted">
        <color auto="1"/>
      </bottom>
      <diagonal style="dotted">
        <color auto="1"/>
      </diagonal>
    </border>
    <border>
      <left/>
      <right/>
      <top style="mediumDashDotDot">
        <color auto="1"/>
      </top>
      <bottom style="thin">
        <color theme="0" tint="-0.24994659260841701"/>
      </bottom>
      <diagonal/>
    </border>
    <border>
      <left/>
      <right/>
      <top style="mediumDashDotDot">
        <color auto="1"/>
      </top>
      <bottom/>
      <diagonal/>
    </border>
    <border>
      <left style="dashed">
        <color auto="1"/>
      </left>
      <right style="dashed">
        <color auto="1"/>
      </right>
      <top style="dashed">
        <color auto="1"/>
      </top>
      <bottom style="dashed">
        <color auto="1"/>
      </bottom>
      <diagonal/>
    </border>
    <border>
      <left style="dotted">
        <color indexed="64"/>
      </left>
      <right/>
      <top/>
      <bottom/>
      <diagonal/>
    </border>
    <border diagonalUp="1">
      <left style="thin">
        <color indexed="64"/>
      </left>
      <right style="thin">
        <color indexed="64"/>
      </right>
      <top style="thin">
        <color indexed="64"/>
      </top>
      <bottom style="thin">
        <color indexed="64"/>
      </bottom>
      <diagonal style="thin">
        <color indexed="64"/>
      </diagonal>
    </border>
    <border diagonalUp="1">
      <left/>
      <right/>
      <top/>
      <bottom/>
      <diagonal style="thin">
        <color indexed="64"/>
      </diagonal>
    </border>
    <border diagonalUp="1">
      <left style="thin">
        <color indexed="64"/>
      </left>
      <right style="thin">
        <color indexed="64"/>
      </right>
      <top style="thin">
        <color indexed="64"/>
      </top>
      <bottom/>
      <diagonal style="thin">
        <color indexed="64"/>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style="thin">
        <color indexed="64"/>
      </top>
      <bottom style="hair">
        <color indexed="64"/>
      </bottom>
      <diagonal/>
    </border>
    <border>
      <left/>
      <right style="thin">
        <color indexed="64"/>
      </right>
      <top style="hair">
        <color indexed="64"/>
      </top>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style="hair">
        <color indexed="64"/>
      </top>
      <bottom style="dashed">
        <color indexed="64"/>
      </bottom>
      <diagonal/>
    </border>
    <border>
      <left/>
      <right/>
      <top style="hair">
        <color indexed="64"/>
      </top>
      <bottom style="dashed">
        <color indexed="64"/>
      </bottom>
      <diagonal/>
    </border>
    <border>
      <left/>
      <right style="hair">
        <color indexed="64"/>
      </right>
      <top style="hair">
        <color indexed="64"/>
      </top>
      <bottom style="dashed">
        <color indexed="64"/>
      </bottom>
      <diagonal/>
    </border>
    <border>
      <left style="hair">
        <color indexed="64"/>
      </left>
      <right/>
      <top style="hair">
        <color indexed="64"/>
      </top>
      <bottom style="dashed">
        <color indexed="64"/>
      </bottom>
      <diagonal/>
    </border>
    <border>
      <left/>
      <right style="thin">
        <color indexed="64"/>
      </right>
      <top style="hair">
        <color indexed="64"/>
      </top>
      <bottom style="dashed">
        <color indexed="64"/>
      </bottom>
      <diagonal/>
    </border>
    <border>
      <left style="thin">
        <color indexed="64"/>
      </left>
      <right/>
      <top style="dashed">
        <color indexed="64"/>
      </top>
      <bottom style="hair">
        <color indexed="64"/>
      </bottom>
      <diagonal/>
    </border>
    <border>
      <left/>
      <right/>
      <top style="dashed">
        <color indexed="64"/>
      </top>
      <bottom style="hair">
        <color indexed="64"/>
      </bottom>
      <diagonal/>
    </border>
    <border>
      <left/>
      <right style="hair">
        <color indexed="64"/>
      </right>
      <top style="dashed">
        <color indexed="64"/>
      </top>
      <bottom style="hair">
        <color indexed="64"/>
      </bottom>
      <diagonal/>
    </border>
    <border>
      <left style="hair">
        <color indexed="64"/>
      </left>
      <right/>
      <top style="dashed">
        <color indexed="64"/>
      </top>
      <bottom style="hair">
        <color indexed="64"/>
      </bottom>
      <diagonal/>
    </border>
    <border>
      <left/>
      <right style="thin">
        <color indexed="64"/>
      </right>
      <top style="dashed">
        <color indexed="64"/>
      </top>
      <bottom style="hair">
        <color indexed="64"/>
      </bottom>
      <diagonal/>
    </border>
    <border>
      <left style="thin">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44">
    <xf numFmtId="0" fontId="0" fillId="0" borderId="0">
      <alignment vertical="center"/>
    </xf>
    <xf numFmtId="0" fontId="1" fillId="0" borderId="0"/>
    <xf numFmtId="0" fontId="1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41" applyNumberFormat="0" applyFill="0" applyAlignment="0" applyProtection="0">
      <alignment vertical="center"/>
    </xf>
    <xf numFmtId="0" fontId="27" fillId="0" borderId="42" applyNumberFormat="0" applyFill="0" applyAlignment="0" applyProtection="0">
      <alignment vertical="center"/>
    </xf>
    <xf numFmtId="0" fontId="28" fillId="0" borderId="43" applyNumberFormat="0" applyFill="0" applyAlignment="0" applyProtection="0">
      <alignment vertical="center"/>
    </xf>
    <xf numFmtId="0" fontId="28" fillId="0" borderId="0" applyNumberFormat="0" applyFill="0" applyBorder="0" applyAlignment="0" applyProtection="0">
      <alignment vertical="center"/>
    </xf>
    <xf numFmtId="0" fontId="29" fillId="13" borderId="0" applyNumberFormat="0" applyBorder="0" applyAlignment="0" applyProtection="0">
      <alignment vertical="center"/>
    </xf>
    <xf numFmtId="0" fontId="30" fillId="14" borderId="0" applyNumberFormat="0" applyBorder="0" applyAlignment="0" applyProtection="0">
      <alignment vertical="center"/>
    </xf>
    <xf numFmtId="0" fontId="31" fillId="15" borderId="0" applyNumberFormat="0" applyBorder="0" applyAlignment="0" applyProtection="0">
      <alignment vertical="center"/>
    </xf>
    <xf numFmtId="0" fontId="32" fillId="16" borderId="44" applyNumberFormat="0" applyAlignment="0" applyProtection="0">
      <alignment vertical="center"/>
    </xf>
    <xf numFmtId="0" fontId="33" fillId="17" borderId="45" applyNumberFormat="0" applyAlignment="0" applyProtection="0">
      <alignment vertical="center"/>
    </xf>
    <xf numFmtId="0" fontId="34" fillId="17" borderId="44" applyNumberFormat="0" applyAlignment="0" applyProtection="0">
      <alignment vertical="center"/>
    </xf>
    <xf numFmtId="0" fontId="35" fillId="0" borderId="46" applyNumberFormat="0" applyFill="0" applyAlignment="0" applyProtection="0">
      <alignment vertical="center"/>
    </xf>
    <xf numFmtId="0" fontId="36" fillId="18" borderId="47" applyNumberFormat="0" applyAlignment="0" applyProtection="0">
      <alignment vertical="center"/>
    </xf>
    <xf numFmtId="0" fontId="37" fillId="0" borderId="0" applyNumberFormat="0" applyFill="0" applyBorder="0" applyAlignment="0" applyProtection="0">
      <alignment vertical="center"/>
    </xf>
    <xf numFmtId="0" fontId="24" fillId="19" borderId="48" applyNumberFormat="0" applyFont="0" applyAlignment="0" applyProtection="0">
      <alignment vertical="center"/>
    </xf>
    <xf numFmtId="0" fontId="38" fillId="0" borderId="0" applyNumberFormat="0" applyFill="0" applyBorder="0" applyAlignment="0" applyProtection="0">
      <alignment vertical="center"/>
    </xf>
    <xf numFmtId="0" fontId="39" fillId="0" borderId="49" applyNumberFormat="0" applyFill="0" applyAlignment="0" applyProtection="0">
      <alignment vertical="center"/>
    </xf>
    <xf numFmtId="0" fontId="40" fillId="20" borderId="0" applyNumberFormat="0" applyBorder="0" applyAlignment="0" applyProtection="0">
      <alignment vertical="center"/>
    </xf>
    <xf numFmtId="0" fontId="24" fillId="21" borderId="0" applyNumberFormat="0" applyBorder="0" applyAlignment="0" applyProtection="0">
      <alignment vertical="center"/>
    </xf>
    <xf numFmtId="0" fontId="24" fillId="22" borderId="0" applyNumberFormat="0" applyBorder="0" applyAlignment="0" applyProtection="0">
      <alignment vertical="center"/>
    </xf>
    <xf numFmtId="0" fontId="40" fillId="23" borderId="0" applyNumberFormat="0" applyBorder="0" applyAlignment="0" applyProtection="0">
      <alignment vertical="center"/>
    </xf>
    <xf numFmtId="0" fontId="40" fillId="24" borderId="0" applyNumberFormat="0" applyBorder="0" applyAlignment="0" applyProtection="0">
      <alignment vertical="center"/>
    </xf>
    <xf numFmtId="0" fontId="24" fillId="25" borderId="0" applyNumberFormat="0" applyBorder="0" applyAlignment="0" applyProtection="0">
      <alignment vertical="center"/>
    </xf>
    <xf numFmtId="0" fontId="24" fillId="26" borderId="0" applyNumberFormat="0" applyBorder="0" applyAlignment="0" applyProtection="0">
      <alignment vertical="center"/>
    </xf>
    <xf numFmtId="0" fontId="40" fillId="27" borderId="0" applyNumberFormat="0" applyBorder="0" applyAlignment="0" applyProtection="0">
      <alignment vertical="center"/>
    </xf>
    <xf numFmtId="0" fontId="40" fillId="28" borderId="0" applyNumberFormat="0" applyBorder="0" applyAlignment="0" applyProtection="0">
      <alignment vertical="center"/>
    </xf>
    <xf numFmtId="0" fontId="24" fillId="29" borderId="0" applyNumberFormat="0" applyBorder="0" applyAlignment="0" applyProtection="0">
      <alignment vertical="center"/>
    </xf>
    <xf numFmtId="0" fontId="24" fillId="30" borderId="0" applyNumberFormat="0" applyBorder="0" applyAlignment="0" applyProtection="0">
      <alignment vertical="center"/>
    </xf>
    <xf numFmtId="0" fontId="40" fillId="31" borderId="0" applyNumberFormat="0" applyBorder="0" applyAlignment="0" applyProtection="0">
      <alignment vertical="center"/>
    </xf>
    <xf numFmtId="0" fontId="40"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40" fillId="35" borderId="0" applyNumberFormat="0" applyBorder="0" applyAlignment="0" applyProtection="0">
      <alignment vertical="center"/>
    </xf>
    <xf numFmtId="0" fontId="40"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40" fillId="39" borderId="0" applyNumberFormat="0" applyBorder="0" applyAlignment="0" applyProtection="0">
      <alignment vertical="center"/>
    </xf>
    <xf numFmtId="0" fontId="40"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40" fillId="43" borderId="0" applyNumberFormat="0" applyBorder="0" applyAlignment="0" applyProtection="0">
      <alignment vertical="center"/>
    </xf>
  </cellStyleXfs>
  <cellXfs count="1958">
    <xf numFmtId="0" fontId="0" fillId="0" borderId="0" xfId="0">
      <alignment vertical="center"/>
    </xf>
    <xf numFmtId="0" fontId="7" fillId="3" borderId="0" xfId="0" applyFont="1" applyFill="1" applyBorder="1" applyAlignment="1">
      <alignment vertical="center"/>
    </xf>
    <xf numFmtId="0" fontId="8" fillId="0" borderId="0" xfId="0" applyFont="1" applyBorder="1" applyAlignment="1">
      <alignment vertical="center"/>
    </xf>
    <xf numFmtId="0" fontId="8" fillId="2" borderId="1" xfId="0" applyFont="1" applyFill="1" applyBorder="1" applyAlignment="1">
      <alignment horizontal="center" vertical="center"/>
    </xf>
    <xf numFmtId="0" fontId="8" fillId="4" borderId="15" xfId="0" applyFont="1" applyFill="1" applyBorder="1" applyAlignment="1">
      <alignment vertical="center"/>
    </xf>
    <xf numFmtId="0" fontId="8" fillId="4" borderId="17" xfId="0" applyFont="1" applyFill="1" applyBorder="1" applyAlignment="1">
      <alignment vertical="center"/>
    </xf>
    <xf numFmtId="0" fontId="8" fillId="0" borderId="1" xfId="0" applyFont="1" applyBorder="1" applyAlignment="1">
      <alignment vertical="center"/>
    </xf>
    <xf numFmtId="0" fontId="8" fillId="4" borderId="5" xfId="0" applyFont="1" applyFill="1" applyBorder="1" applyAlignment="1">
      <alignment horizontal="right" vertical="center"/>
    </xf>
    <xf numFmtId="0" fontId="8" fillId="2" borderId="12" xfId="0" applyFont="1" applyFill="1" applyBorder="1" applyAlignment="1">
      <alignment horizontal="center" vertical="center" shrinkToFit="1"/>
    </xf>
    <xf numFmtId="0" fontId="8" fillId="4" borderId="1" xfId="0" applyFont="1" applyFill="1" applyBorder="1" applyAlignment="1">
      <alignment horizontal="center" vertical="center" shrinkToFit="1"/>
    </xf>
    <xf numFmtId="0" fontId="8" fillId="4" borderId="1" xfId="0" applyFont="1" applyFill="1" applyBorder="1" applyAlignment="1">
      <alignment vertical="center" shrinkToFit="1"/>
    </xf>
    <xf numFmtId="0" fontId="9" fillId="4" borderId="0" xfId="0" applyFont="1" applyFill="1" applyBorder="1" applyAlignment="1">
      <alignment vertical="center"/>
    </xf>
    <xf numFmtId="0" fontId="8" fillId="4" borderId="0" xfId="0" applyFont="1" applyFill="1" applyBorder="1" applyAlignment="1">
      <alignment horizontal="left" vertical="center"/>
    </xf>
    <xf numFmtId="0" fontId="8" fillId="4" borderId="1" xfId="0" applyFont="1" applyFill="1" applyBorder="1" applyAlignment="1" applyProtection="1">
      <alignment horizontal="center" vertical="center" shrinkToFit="1"/>
    </xf>
    <xf numFmtId="0" fontId="8" fillId="8" borderId="10" xfId="0" applyFont="1" applyFill="1" applyBorder="1" applyAlignment="1">
      <alignment horizontal="right" vertical="center"/>
    </xf>
    <xf numFmtId="176" fontId="8" fillId="4" borderId="1" xfId="0" applyNumberFormat="1" applyFont="1" applyFill="1" applyBorder="1" applyAlignment="1">
      <alignment horizontal="center" vertical="center" shrinkToFit="1"/>
    </xf>
    <xf numFmtId="0" fontId="8" fillId="0" borderId="1" xfId="0" applyFont="1" applyFill="1" applyBorder="1" applyAlignment="1">
      <alignment vertical="center" shrinkToFit="1"/>
    </xf>
    <xf numFmtId="0" fontId="8" fillId="8" borderId="2" xfId="0" applyFont="1" applyFill="1" applyBorder="1" applyAlignment="1">
      <alignment horizontal="right" vertical="center"/>
    </xf>
    <xf numFmtId="0" fontId="8" fillId="8" borderId="3" xfId="0" applyFont="1" applyFill="1" applyBorder="1" applyAlignment="1">
      <alignment horizontal="right" vertical="center"/>
    </xf>
    <xf numFmtId="0" fontId="8" fillId="8" borderId="9" xfId="0" applyFont="1" applyFill="1" applyBorder="1" applyAlignment="1">
      <alignment horizontal="right" vertical="center"/>
    </xf>
    <xf numFmtId="0" fontId="8" fillId="2" borderId="21" xfId="0" applyFont="1" applyFill="1" applyBorder="1" applyAlignment="1">
      <alignment horizontal="center" vertical="center" shrinkToFit="1"/>
    </xf>
    <xf numFmtId="0" fontId="8" fillId="0" borderId="0" xfId="0" applyFont="1" applyFill="1" applyBorder="1" applyAlignment="1">
      <alignment vertical="center" shrinkToFit="1"/>
    </xf>
    <xf numFmtId="0" fontId="8" fillId="10" borderId="1" xfId="0" applyFont="1" applyFill="1" applyBorder="1" applyAlignment="1" applyProtection="1">
      <alignment vertical="center"/>
      <protection locked="0"/>
    </xf>
    <xf numFmtId="0" fontId="10" fillId="2" borderId="1" xfId="0" applyFont="1" applyFill="1" applyBorder="1" applyAlignment="1">
      <alignment horizontal="center" vertical="center" shrinkToFit="1"/>
    </xf>
    <xf numFmtId="0" fontId="0" fillId="11" borderId="0" xfId="0" applyFill="1" applyAlignment="1">
      <alignment vertical="center" shrinkToFit="1"/>
    </xf>
    <xf numFmtId="0" fontId="13" fillId="0" borderId="0" xfId="0" applyFont="1" applyAlignment="1">
      <alignment vertical="center" shrinkToFit="1"/>
    </xf>
    <xf numFmtId="0" fontId="13" fillId="0" borderId="0" xfId="0" applyFont="1">
      <alignment vertical="center"/>
    </xf>
    <xf numFmtId="0" fontId="0" fillId="11" borderId="0" xfId="0" applyNumberFormat="1" applyFill="1" applyAlignment="1">
      <alignment vertical="center" shrinkToFit="1"/>
    </xf>
    <xf numFmtId="0" fontId="8" fillId="4" borderId="1" xfId="0" applyFont="1" applyFill="1" applyBorder="1" applyAlignment="1">
      <alignment vertical="center"/>
    </xf>
    <xf numFmtId="0" fontId="8" fillId="4" borderId="0" xfId="0" applyFont="1" applyFill="1" applyBorder="1" applyAlignment="1">
      <alignment horizontal="right" vertical="center" shrinkToFit="1"/>
    </xf>
    <xf numFmtId="0" fontId="10" fillId="4" borderId="0" xfId="0" applyFont="1" applyFill="1" applyBorder="1" applyAlignment="1">
      <alignment horizontal="right" vertical="center"/>
    </xf>
    <xf numFmtId="0" fontId="8" fillId="10" borderId="1" xfId="0" applyFont="1" applyFill="1" applyBorder="1" applyAlignment="1" applyProtection="1">
      <alignment horizontal="center" vertical="center"/>
      <protection locked="0"/>
    </xf>
    <xf numFmtId="0" fontId="8" fillId="0" borderId="1" xfId="0" applyFont="1" applyFill="1" applyBorder="1" applyAlignment="1" applyProtection="1">
      <alignment vertical="center"/>
      <protection locked="0"/>
    </xf>
    <xf numFmtId="0" fontId="0" fillId="11" borderId="0" xfId="0" applyFill="1">
      <alignment vertical="center"/>
    </xf>
    <xf numFmtId="0" fontId="0" fillId="11" borderId="0" xfId="0" applyFill="1" applyAlignment="1">
      <alignment vertical="center" wrapText="1"/>
    </xf>
    <xf numFmtId="0" fontId="14" fillId="0" borderId="0" xfId="0" applyFont="1">
      <alignment vertical="center"/>
    </xf>
    <xf numFmtId="0" fontId="0" fillId="0" borderId="0" xfId="0" applyAlignment="1">
      <alignment vertical="center" shrinkToFit="1"/>
    </xf>
    <xf numFmtId="0" fontId="0" fillId="11" borderId="0" xfId="0" applyFill="1" applyAlignment="1">
      <alignment horizontal="center" vertical="center"/>
    </xf>
    <xf numFmtId="0" fontId="0" fillId="0" borderId="0" xfId="0" applyAlignment="1">
      <alignment horizontal="center" vertical="center"/>
    </xf>
    <xf numFmtId="0" fontId="8" fillId="4" borderId="0" xfId="0" applyFont="1" applyFill="1" applyBorder="1" applyAlignment="1">
      <alignment vertical="center"/>
    </xf>
    <xf numFmtId="0" fontId="0" fillId="0" borderId="0" xfId="0">
      <alignment vertical="center"/>
    </xf>
    <xf numFmtId="0" fontId="0" fillId="0" borderId="1" xfId="0" applyBorder="1" applyAlignment="1">
      <alignment vertical="center" shrinkToFit="1"/>
    </xf>
    <xf numFmtId="0" fontId="0" fillId="11" borderId="1" xfId="0" applyFill="1" applyBorder="1" applyAlignment="1">
      <alignment vertical="center" shrinkToFit="1"/>
    </xf>
    <xf numFmtId="0" fontId="0" fillId="11" borderId="0" xfId="0" applyFill="1" applyBorder="1" applyAlignment="1">
      <alignment horizontal="right" vertical="center" shrinkToFit="1"/>
    </xf>
    <xf numFmtId="0" fontId="0" fillId="0" borderId="0" xfId="0" applyFill="1" applyBorder="1" applyAlignment="1">
      <alignment vertical="center" shrinkToFit="1"/>
    </xf>
    <xf numFmtId="0" fontId="0" fillId="0" borderId="0" xfId="0" applyFill="1">
      <alignment vertical="center"/>
    </xf>
    <xf numFmtId="22" fontId="0" fillId="11" borderId="0" xfId="0" applyNumberFormat="1" applyFill="1" applyAlignment="1">
      <alignment vertical="center" shrinkToFit="1"/>
    </xf>
    <xf numFmtId="0" fontId="8" fillId="0" borderId="0" xfId="0" applyFont="1" applyFill="1" applyBorder="1" applyAlignment="1" applyProtection="1">
      <alignment vertical="center"/>
      <protection locked="0"/>
    </xf>
    <xf numFmtId="0" fontId="8" fillId="0" borderId="0" xfId="0" applyFont="1" applyFill="1" applyBorder="1" applyAlignment="1" applyProtection="1">
      <alignment vertical="center" shrinkToFit="1"/>
      <protection locked="0"/>
    </xf>
    <xf numFmtId="0" fontId="0" fillId="6" borderId="0" xfId="0" applyFill="1">
      <alignment vertical="center"/>
    </xf>
    <xf numFmtId="0" fontId="8" fillId="8" borderId="3" xfId="0" applyFont="1" applyFill="1" applyBorder="1" applyAlignment="1">
      <alignment vertical="center" shrinkToFit="1"/>
    </xf>
    <xf numFmtId="0" fontId="8" fillId="8" borderId="20" xfId="0" applyFont="1" applyFill="1" applyBorder="1" applyAlignment="1">
      <alignment vertical="center" shrinkToFit="1"/>
    </xf>
    <xf numFmtId="0" fontId="8" fillId="8" borderId="10" xfId="0" applyFont="1" applyFill="1" applyBorder="1" applyAlignment="1">
      <alignment vertical="center" shrinkToFit="1"/>
    </xf>
    <xf numFmtId="0" fontId="8" fillId="8" borderId="11" xfId="0" applyFont="1" applyFill="1" applyBorder="1" applyAlignment="1">
      <alignment vertical="center" shrinkToFit="1"/>
    </xf>
    <xf numFmtId="0" fontId="8" fillId="4" borderId="14" xfId="0" applyFont="1" applyFill="1" applyBorder="1" applyAlignment="1" applyProtection="1">
      <alignment horizontal="center" vertical="center" shrinkToFit="1"/>
    </xf>
    <xf numFmtId="0" fontId="8" fillId="4" borderId="14" xfId="0" applyFont="1" applyFill="1" applyBorder="1" applyAlignment="1">
      <alignment horizontal="center" vertical="center" shrinkToFit="1"/>
    </xf>
    <xf numFmtId="0" fontId="0" fillId="0" borderId="0" xfId="0">
      <alignment vertical="center"/>
    </xf>
    <xf numFmtId="0" fontId="0" fillId="0" borderId="0" xfId="0" applyAlignment="1">
      <alignment vertical="center" shrinkToFit="1"/>
    </xf>
    <xf numFmtId="0" fontId="0" fillId="0" borderId="0" xfId="0">
      <alignment vertical="center"/>
    </xf>
    <xf numFmtId="0" fontId="0" fillId="0" borderId="0" xfId="0" applyAlignment="1">
      <alignment vertical="center" shrinkToFit="1"/>
    </xf>
    <xf numFmtId="0" fontId="0" fillId="11" borderId="0" xfId="0" applyFill="1">
      <alignment vertical="center"/>
    </xf>
    <xf numFmtId="0" fontId="0" fillId="11" borderId="0" xfId="0" applyFill="1" applyAlignment="1">
      <alignment vertical="center" wrapText="1"/>
    </xf>
    <xf numFmtId="177" fontId="8" fillId="4" borderId="14" xfId="0" applyNumberFormat="1" applyFont="1" applyFill="1" applyBorder="1" applyAlignment="1">
      <alignment horizontal="center" vertical="center" shrinkToFit="1"/>
    </xf>
    <xf numFmtId="0" fontId="13" fillId="11" borderId="0" xfId="0" applyFont="1" applyFill="1" applyAlignment="1">
      <alignment vertical="center" wrapText="1"/>
    </xf>
    <xf numFmtId="0" fontId="13" fillId="0" borderId="23" xfId="0" applyFont="1" applyBorder="1" applyAlignment="1">
      <alignment vertical="center" shrinkToFit="1"/>
    </xf>
    <xf numFmtId="0" fontId="0" fillId="11" borderId="0" xfId="0" applyFill="1" applyAlignment="1">
      <alignment horizontal="left" vertical="center" wrapText="1"/>
    </xf>
    <xf numFmtId="0" fontId="0" fillId="0" borderId="0" xfId="0">
      <alignment vertical="center"/>
    </xf>
    <xf numFmtId="0" fontId="0" fillId="0" borderId="0" xfId="0" applyAlignment="1">
      <alignment vertical="center" shrinkToFit="1"/>
    </xf>
    <xf numFmtId="0" fontId="0" fillId="11" borderId="0" xfId="0" applyFill="1" applyAlignment="1">
      <alignment vertical="center" shrinkToFit="1"/>
    </xf>
    <xf numFmtId="0" fontId="8" fillId="8" borderId="10" xfId="0" applyFont="1" applyFill="1" applyBorder="1" applyAlignment="1">
      <alignment horizontal="left" vertical="center" shrinkToFit="1"/>
    </xf>
    <xf numFmtId="0" fontId="8" fillId="8" borderId="3" xfId="0" applyFont="1" applyFill="1" applyBorder="1" applyAlignment="1">
      <alignment horizontal="left" vertical="center" shrinkToFit="1"/>
    </xf>
    <xf numFmtId="49" fontId="8" fillId="8" borderId="1" xfId="0" applyNumberFormat="1" applyFont="1" applyFill="1" applyBorder="1" applyAlignment="1" applyProtection="1">
      <alignment horizontal="left" vertical="center"/>
      <protection locked="0"/>
    </xf>
    <xf numFmtId="177" fontId="8" fillId="10" borderId="1" xfId="0" applyNumberFormat="1" applyFont="1" applyFill="1" applyBorder="1" applyAlignment="1" applyProtection="1">
      <alignment horizontal="center" vertical="center"/>
      <protection locked="0"/>
    </xf>
    <xf numFmtId="0" fontId="7" fillId="3" borderId="0" xfId="0" applyFont="1" applyFill="1" applyBorder="1" applyAlignment="1">
      <alignment vertical="center"/>
    </xf>
    <xf numFmtId="0" fontId="8" fillId="4" borderId="0" xfId="0" applyFont="1" applyFill="1" applyBorder="1" applyAlignment="1">
      <alignment vertical="center"/>
    </xf>
    <xf numFmtId="0" fontId="8" fillId="4" borderId="0" xfId="0" applyFont="1" applyFill="1" applyBorder="1" applyAlignment="1">
      <alignment horizontal="right" vertical="center"/>
    </xf>
    <xf numFmtId="0" fontId="8" fillId="0" borderId="1" xfId="0" applyFont="1" applyFill="1" applyBorder="1" applyAlignment="1">
      <alignment vertical="center"/>
    </xf>
    <xf numFmtId="0" fontId="8" fillId="4" borderId="0" xfId="0" applyFont="1" applyFill="1" applyBorder="1" applyAlignment="1">
      <alignment horizontal="center" vertical="center" shrinkToFit="1"/>
    </xf>
    <xf numFmtId="0" fontId="8" fillId="0" borderId="0" xfId="0" applyFont="1" applyFill="1" applyBorder="1" applyAlignment="1" applyProtection="1">
      <alignment vertical="center"/>
      <protection locked="0"/>
    </xf>
    <xf numFmtId="0" fontId="8" fillId="11" borderId="0" xfId="0" applyFont="1" applyFill="1" applyBorder="1" applyAlignment="1" applyProtection="1">
      <alignment vertical="center"/>
      <protection locked="0"/>
    </xf>
    <xf numFmtId="0" fontId="8" fillId="0" borderId="0" xfId="0" applyFont="1" applyFill="1" applyBorder="1" applyAlignment="1" applyProtection="1">
      <alignment vertical="center" shrinkToFit="1"/>
      <protection locked="0"/>
    </xf>
    <xf numFmtId="0" fontId="8" fillId="11" borderId="0" xfId="0" applyFont="1" applyFill="1" applyBorder="1" applyAlignment="1" applyProtection="1">
      <alignment vertical="center"/>
    </xf>
    <xf numFmtId="0" fontId="8" fillId="0" borderId="0" xfId="0" applyFont="1" applyFill="1" applyBorder="1" applyAlignment="1" applyProtection="1">
      <alignment vertical="center"/>
    </xf>
    <xf numFmtId="0" fontId="8" fillId="4" borderId="0" xfId="0" applyFont="1" applyFill="1" applyBorder="1" applyAlignment="1">
      <alignment vertical="center" shrinkToFit="1"/>
    </xf>
    <xf numFmtId="0" fontId="8" fillId="4" borderId="0" xfId="0" applyFont="1" applyFill="1" applyBorder="1" applyAlignment="1" applyProtection="1">
      <alignment vertical="center"/>
    </xf>
    <xf numFmtId="0" fontId="8" fillId="0" borderId="0" xfId="0" applyFont="1" applyFill="1" applyBorder="1" applyAlignment="1" applyProtection="1">
      <alignment vertical="center" shrinkToFit="1"/>
    </xf>
    <xf numFmtId="0" fontId="8" fillId="0" borderId="14" xfId="0" applyFont="1" applyFill="1" applyBorder="1" applyAlignment="1" applyProtection="1">
      <alignment horizontal="center" vertical="center" shrinkToFit="1"/>
      <protection locked="0"/>
    </xf>
    <xf numFmtId="0" fontId="0" fillId="0" borderId="0" xfId="0" applyProtection="1">
      <alignment vertical="center"/>
    </xf>
    <xf numFmtId="0" fontId="8" fillId="4" borderId="0" xfId="0" applyFont="1" applyFill="1" applyBorder="1" applyAlignment="1">
      <alignment horizontal="center" vertical="center"/>
    </xf>
    <xf numFmtId="0" fontId="0" fillId="0" borderId="0" xfId="0" applyAlignment="1" applyProtection="1">
      <alignment vertical="center" shrinkToFit="1"/>
    </xf>
    <xf numFmtId="0" fontId="0" fillId="11" borderId="0" xfId="0" applyFill="1" applyProtection="1">
      <alignment vertical="center"/>
    </xf>
    <xf numFmtId="0" fontId="0" fillId="0" borderId="22" xfId="0" applyBorder="1" applyProtection="1">
      <alignment vertical="center"/>
    </xf>
    <xf numFmtId="0" fontId="8" fillId="0" borderId="0" xfId="0" applyFont="1" applyFill="1" applyBorder="1" applyAlignment="1" applyProtection="1">
      <alignment vertical="center"/>
      <protection locked="0"/>
    </xf>
    <xf numFmtId="0" fontId="8" fillId="11" borderId="0" xfId="0" applyFont="1" applyFill="1" applyBorder="1" applyAlignment="1" applyProtection="1">
      <alignment vertical="center"/>
      <protection locked="0"/>
    </xf>
    <xf numFmtId="0" fontId="8" fillId="0" borderId="0" xfId="0" applyFont="1" applyFill="1" applyBorder="1" applyAlignment="1" applyProtection="1">
      <alignment vertical="center" shrinkToFit="1"/>
      <protection locked="0"/>
    </xf>
    <xf numFmtId="0" fontId="0" fillId="11" borderId="0" xfId="0" applyFill="1" applyAlignment="1">
      <alignment horizontal="center" vertical="center" shrinkToFit="1"/>
    </xf>
    <xf numFmtId="0" fontId="0" fillId="11" borderId="0" xfId="0" applyFill="1" applyAlignment="1">
      <alignment vertical="top" wrapText="1"/>
    </xf>
    <xf numFmtId="0" fontId="8" fillId="0" borderId="1" xfId="0" applyFont="1" applyFill="1" applyBorder="1" applyAlignment="1" applyProtection="1">
      <alignment horizontal="center" vertical="center" shrinkToFit="1"/>
      <protection locked="0"/>
    </xf>
    <xf numFmtId="0" fontId="0" fillId="0" borderId="0" xfId="0">
      <alignment vertical="center"/>
    </xf>
    <xf numFmtId="0" fontId="8" fillId="4" borderId="0" xfId="0" applyFont="1" applyFill="1" applyBorder="1" applyAlignment="1">
      <alignment horizontal="right" vertical="center"/>
    </xf>
    <xf numFmtId="0" fontId="0" fillId="0" borderId="0" xfId="0" applyAlignment="1">
      <alignment vertical="center" shrinkToFit="1"/>
    </xf>
    <xf numFmtId="0" fontId="0" fillId="0" borderId="1" xfId="0" applyBorder="1" applyAlignment="1">
      <alignment vertical="center" shrinkToFit="1"/>
    </xf>
    <xf numFmtId="0" fontId="0" fillId="11" borderId="1" xfId="0" applyFill="1" applyBorder="1" applyAlignment="1">
      <alignment vertical="center" shrinkToFit="1"/>
    </xf>
    <xf numFmtId="0" fontId="0" fillId="11" borderId="0" xfId="0" applyFill="1" applyBorder="1" applyAlignment="1">
      <alignment horizontal="right" vertical="center" shrinkToFit="1"/>
    </xf>
    <xf numFmtId="0" fontId="0" fillId="11" borderId="0" xfId="0" applyFill="1" applyAlignment="1">
      <alignment vertical="center" shrinkToFit="1"/>
    </xf>
    <xf numFmtId="0" fontId="0" fillId="11" borderId="0" xfId="0" applyFill="1">
      <alignment vertical="center"/>
    </xf>
    <xf numFmtId="0" fontId="16" fillId="12" borderId="1" xfId="2" applyFont="1" applyFill="1" applyBorder="1">
      <alignment vertical="center"/>
    </xf>
    <xf numFmtId="177" fontId="0" fillId="11" borderId="0" xfId="0" applyNumberFormat="1" applyFill="1" applyAlignment="1">
      <alignment vertical="center" shrinkToFit="1"/>
    </xf>
    <xf numFmtId="0" fontId="8" fillId="2" borderId="1" xfId="0" applyFont="1" applyFill="1" applyBorder="1" applyAlignment="1">
      <alignment horizontal="center" vertical="center" shrinkToFit="1"/>
    </xf>
    <xf numFmtId="0" fontId="8" fillId="0" borderId="0" xfId="0" applyFont="1" applyFill="1" applyBorder="1" applyAlignment="1" applyProtection="1">
      <alignment vertical="center"/>
      <protection locked="0"/>
    </xf>
    <xf numFmtId="0" fontId="8" fillId="4" borderId="0" xfId="0" applyFont="1" applyFill="1" applyBorder="1" applyAlignment="1">
      <alignment vertical="center"/>
    </xf>
    <xf numFmtId="0" fontId="8" fillId="0" borderId="0" xfId="0" applyFont="1" applyFill="1" applyBorder="1" applyAlignment="1">
      <alignment vertical="center"/>
    </xf>
    <xf numFmtId="9" fontId="8" fillId="4" borderId="1" xfId="0" applyNumberFormat="1" applyFont="1" applyFill="1" applyBorder="1" applyAlignment="1">
      <alignment horizontal="center" vertical="center"/>
    </xf>
    <xf numFmtId="0" fontId="8" fillId="4" borderId="7" xfId="0" applyFont="1" applyFill="1" applyBorder="1" applyAlignment="1">
      <alignment vertical="center"/>
    </xf>
    <xf numFmtId="0" fontId="8" fillId="4" borderId="5" xfId="0" applyFont="1" applyFill="1" applyBorder="1" applyAlignment="1">
      <alignment vertical="center"/>
    </xf>
    <xf numFmtId="179" fontId="0" fillId="11" borderId="0" xfId="0" applyNumberFormat="1" applyFill="1">
      <alignment vertical="center"/>
    </xf>
    <xf numFmtId="0" fontId="8" fillId="0" borderId="0" xfId="0" applyFont="1" applyFill="1" applyBorder="1" applyAlignment="1" applyProtection="1">
      <alignment vertical="center"/>
      <protection locked="0"/>
    </xf>
    <xf numFmtId="0" fontId="8" fillId="0" borderId="0" xfId="0" applyFont="1" applyFill="1" applyBorder="1" applyAlignment="1" applyProtection="1">
      <alignment vertical="center" shrinkToFit="1"/>
      <protection locked="0"/>
    </xf>
    <xf numFmtId="0" fontId="8" fillId="0" borderId="0" xfId="0" applyFont="1" applyFill="1" applyBorder="1" applyAlignment="1" applyProtection="1">
      <alignment vertical="center"/>
      <protection locked="0"/>
    </xf>
    <xf numFmtId="0" fontId="8" fillId="0" borderId="0" xfId="0" applyFont="1" applyFill="1" applyBorder="1" applyAlignment="1" applyProtection="1">
      <alignment vertical="center" shrinkToFit="1"/>
      <protection locked="0"/>
    </xf>
    <xf numFmtId="0" fontId="8" fillId="0" borderId="0" xfId="0" applyFont="1" applyFill="1" applyBorder="1" applyAlignment="1" applyProtection="1">
      <alignment vertical="center"/>
      <protection locked="0"/>
    </xf>
    <xf numFmtId="0" fontId="8" fillId="0" borderId="0" xfId="0" applyFont="1" applyFill="1" applyBorder="1" applyAlignment="1" applyProtection="1">
      <alignment vertical="center" shrinkToFit="1"/>
      <protection locked="0"/>
    </xf>
    <xf numFmtId="0" fontId="8" fillId="0" borderId="0" xfId="0" applyFont="1" applyFill="1" applyBorder="1" applyAlignment="1">
      <alignment vertical="center"/>
    </xf>
    <xf numFmtId="0" fontId="8" fillId="0" borderId="0" xfId="0" applyFont="1" applyFill="1" applyBorder="1" applyAlignment="1" applyProtection="1">
      <alignment vertical="center"/>
      <protection locked="0"/>
    </xf>
    <xf numFmtId="0" fontId="8" fillId="0" borderId="0" xfId="0" applyFont="1" applyFill="1" applyBorder="1" applyAlignment="1" applyProtection="1">
      <alignment vertical="center" shrinkToFit="1"/>
      <protection locked="0"/>
    </xf>
    <xf numFmtId="0" fontId="0" fillId="0" borderId="0" xfId="0">
      <alignment vertical="center"/>
    </xf>
    <xf numFmtId="0" fontId="8" fillId="0" borderId="0" xfId="0" applyFont="1" applyFill="1" applyBorder="1" applyAlignment="1" applyProtection="1">
      <alignment vertical="center"/>
      <protection locked="0"/>
    </xf>
    <xf numFmtId="0" fontId="8" fillId="0" borderId="0" xfId="0" applyFont="1" applyFill="1" applyBorder="1" applyAlignment="1" applyProtection="1">
      <alignment vertical="center" shrinkToFit="1"/>
      <protection locked="0"/>
    </xf>
    <xf numFmtId="0" fontId="8" fillId="11" borderId="0" xfId="0" applyFont="1" applyFill="1" applyBorder="1" applyAlignment="1">
      <alignment vertical="center"/>
    </xf>
    <xf numFmtId="180" fontId="8" fillId="4" borderId="1" xfId="0" applyNumberFormat="1" applyFont="1" applyFill="1" applyBorder="1" applyAlignment="1">
      <alignment horizontal="center" vertical="center"/>
    </xf>
    <xf numFmtId="181" fontId="8" fillId="4" borderId="1" xfId="0" quotePrefix="1" applyNumberFormat="1" applyFont="1" applyFill="1" applyBorder="1" applyAlignment="1">
      <alignment horizontal="center" vertical="center"/>
    </xf>
    <xf numFmtId="181" fontId="8" fillId="4" borderId="1" xfId="0" applyNumberFormat="1" applyFont="1" applyFill="1" applyBorder="1" applyAlignment="1">
      <alignment horizontal="center" vertical="center"/>
    </xf>
    <xf numFmtId="0" fontId="0" fillId="11" borderId="24" xfId="0" applyFill="1" applyBorder="1">
      <alignment vertical="center"/>
    </xf>
    <xf numFmtId="0" fontId="0" fillId="11" borderId="25" xfId="0" applyFill="1" applyBorder="1">
      <alignment vertical="center"/>
    </xf>
    <xf numFmtId="0" fontId="8" fillId="6" borderId="0" xfId="0" applyFont="1" applyFill="1" applyBorder="1" applyAlignment="1" applyProtection="1">
      <alignment vertical="center"/>
      <protection locked="0"/>
    </xf>
    <xf numFmtId="0" fontId="8" fillId="0" borderId="1" xfId="0" applyFont="1" applyBorder="1" applyAlignment="1" applyProtection="1">
      <alignment vertical="center"/>
      <protection locked="0"/>
    </xf>
    <xf numFmtId="0" fontId="8" fillId="4" borderId="1" xfId="0" applyFont="1" applyFill="1" applyBorder="1" applyAlignment="1" applyProtection="1">
      <alignment vertical="center"/>
    </xf>
    <xf numFmtId="0" fontId="0" fillId="0" borderId="10" xfId="0" applyBorder="1">
      <alignment vertical="center"/>
    </xf>
    <xf numFmtId="0" fontId="0" fillId="0" borderId="11" xfId="0" applyBorder="1">
      <alignment vertical="center"/>
    </xf>
    <xf numFmtId="182" fontId="8" fillId="0" borderId="1" xfId="0" quotePrefix="1" applyNumberFormat="1" applyFont="1" applyBorder="1" applyAlignment="1" applyProtection="1">
      <alignment horizontal="right" vertical="center" shrinkToFit="1"/>
      <protection locked="0"/>
    </xf>
    <xf numFmtId="182" fontId="8" fillId="4" borderId="1" xfId="0" quotePrefix="1" applyNumberFormat="1" applyFont="1" applyFill="1" applyBorder="1" applyAlignment="1">
      <alignment horizontal="right" vertical="center" shrinkToFit="1"/>
    </xf>
    <xf numFmtId="182" fontId="8" fillId="4" borderId="1" xfId="0" quotePrefix="1" applyNumberFormat="1" applyFont="1" applyFill="1" applyBorder="1" applyAlignment="1" applyProtection="1">
      <alignment horizontal="right" vertical="center" shrinkToFit="1"/>
    </xf>
    <xf numFmtId="180" fontId="8" fillId="4" borderId="1" xfId="0" applyNumberFormat="1" applyFont="1" applyFill="1" applyBorder="1" applyAlignment="1">
      <alignment horizontal="right" vertical="center" shrinkToFit="1"/>
    </xf>
    <xf numFmtId="0" fontId="0" fillId="4" borderId="0" xfId="0" applyFill="1">
      <alignment vertical="center"/>
    </xf>
    <xf numFmtId="0" fontId="0" fillId="4" borderId="10" xfId="0" applyFill="1" applyBorder="1" applyProtection="1">
      <alignment vertical="center"/>
    </xf>
    <xf numFmtId="0" fontId="0" fillId="4" borderId="11" xfId="0" applyFill="1" applyBorder="1" applyProtection="1">
      <alignment vertical="center"/>
    </xf>
    <xf numFmtId="0" fontId="14" fillId="0" borderId="0" xfId="0" applyFont="1" applyAlignment="1">
      <alignment vertical="center" shrinkToFit="1"/>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pplyAlignment="1">
      <alignment vertical="center" shrinkToFit="1"/>
    </xf>
    <xf numFmtId="0" fontId="0" fillId="11" borderId="0" xfId="0" applyFill="1" applyAlignment="1">
      <alignment vertical="center" shrinkToFit="1"/>
    </xf>
    <xf numFmtId="0" fontId="15" fillId="12" borderId="1" xfId="2" applyFont="1" applyFill="1" applyBorder="1">
      <alignment vertical="center"/>
    </xf>
    <xf numFmtId="0" fontId="0" fillId="0" borderId="0" xfId="0">
      <alignment vertical="center"/>
    </xf>
    <xf numFmtId="0" fontId="0" fillId="11" borderId="0" xfId="0" applyFill="1">
      <alignment vertical="center"/>
    </xf>
    <xf numFmtId="0" fontId="0" fillId="11" borderId="0" xfId="0" applyFill="1" applyAlignment="1">
      <alignment vertical="center" shrinkToFit="1"/>
    </xf>
    <xf numFmtId="0" fontId="0" fillId="0" borderId="0" xfId="0">
      <alignment vertical="center"/>
    </xf>
    <xf numFmtId="0" fontId="0" fillId="0" borderId="0" xfId="0" applyAlignment="1">
      <alignment vertical="center" shrinkToFit="1"/>
    </xf>
    <xf numFmtId="179" fontId="0" fillId="11" borderId="0" xfId="0" applyNumberFormat="1" applyFill="1" applyAlignment="1">
      <alignment vertical="center" shrinkToFit="1"/>
    </xf>
    <xf numFmtId="0" fontId="0" fillId="0" borderId="0" xfId="0">
      <alignment vertical="center"/>
    </xf>
    <xf numFmtId="0" fontId="0" fillId="0" borderId="0" xfId="0" applyAlignment="1">
      <alignment vertical="center" shrinkToFit="1"/>
    </xf>
    <xf numFmtId="0" fontId="0" fillId="0" borderId="0" xfId="0">
      <alignment vertical="center"/>
    </xf>
    <xf numFmtId="0" fontId="0" fillId="0" borderId="0" xfId="0">
      <alignment vertical="center"/>
    </xf>
    <xf numFmtId="0" fontId="0" fillId="0" borderId="0" xfId="0">
      <alignment vertical="center"/>
    </xf>
    <xf numFmtId="0" fontId="0" fillId="0" borderId="0" xfId="0" applyAlignment="1">
      <alignment vertical="center" shrinkToFit="1"/>
    </xf>
    <xf numFmtId="0" fontId="0" fillId="0" borderId="0" xfId="0">
      <alignment vertical="center"/>
    </xf>
    <xf numFmtId="0" fontId="0" fillId="0" borderId="0" xfId="0" applyAlignment="1">
      <alignment vertical="center" shrinkToFit="1"/>
    </xf>
    <xf numFmtId="0" fontId="0" fillId="11" borderId="0" xfId="0" applyFill="1">
      <alignment vertical="center"/>
    </xf>
    <xf numFmtId="0" fontId="0" fillId="0" borderId="0" xfId="0">
      <alignment vertical="center"/>
    </xf>
    <xf numFmtId="0" fontId="8" fillId="4" borderId="1" xfId="0" applyFont="1" applyFill="1" applyBorder="1" applyAlignment="1">
      <alignment horizontal="center" vertical="center" shrinkToFit="1"/>
    </xf>
    <xf numFmtId="0" fontId="0" fillId="0" borderId="0" xfId="0" applyAlignment="1">
      <alignment vertical="center" shrinkToFit="1"/>
    </xf>
    <xf numFmtId="0" fontId="8" fillId="2" borderId="1" xfId="0" applyFont="1" applyFill="1" applyBorder="1" applyAlignment="1">
      <alignment horizontal="center" vertical="center" shrinkToFit="1"/>
    </xf>
    <xf numFmtId="0" fontId="0" fillId="0" borderId="0" xfId="0">
      <alignment vertical="center"/>
    </xf>
    <xf numFmtId="0" fontId="14" fillId="0" borderId="0" xfId="0" applyFont="1">
      <alignment vertical="center"/>
    </xf>
    <xf numFmtId="0" fontId="0" fillId="0" borderId="0" xfId="0" applyAlignment="1">
      <alignment vertical="center" shrinkToFit="1"/>
    </xf>
    <xf numFmtId="0" fontId="0" fillId="11" borderId="0" xfId="0" applyFill="1">
      <alignment vertical="center"/>
    </xf>
    <xf numFmtId="0" fontId="14" fillId="0" borderId="0" xfId="0" applyFont="1" applyAlignment="1">
      <alignment horizontal="center" vertical="center"/>
    </xf>
    <xf numFmtId="0" fontId="8" fillId="0" borderId="0" xfId="0" applyFont="1" applyFill="1" applyBorder="1" applyAlignment="1" applyProtection="1">
      <alignment vertical="center"/>
      <protection locked="0"/>
    </xf>
    <xf numFmtId="0" fontId="8" fillId="0" borderId="0" xfId="0" applyFont="1" applyFill="1" applyBorder="1" applyAlignment="1" applyProtection="1">
      <alignment vertical="center" shrinkToFit="1"/>
      <protection locked="0"/>
    </xf>
    <xf numFmtId="0" fontId="8" fillId="11" borderId="0" xfId="0" applyFont="1" applyFill="1" applyBorder="1" applyAlignment="1">
      <alignment vertical="center"/>
    </xf>
    <xf numFmtId="0" fontId="8" fillId="0" borderId="0" xfId="0" applyFont="1" applyFill="1" applyBorder="1" applyAlignment="1" applyProtection="1">
      <alignment vertical="center"/>
      <protection locked="0"/>
    </xf>
    <xf numFmtId="0" fontId="8" fillId="0" borderId="0" xfId="0" applyFont="1" applyFill="1" applyBorder="1" applyAlignment="1" applyProtection="1">
      <alignment vertical="center" shrinkToFit="1"/>
      <protection locked="0"/>
    </xf>
    <xf numFmtId="0" fontId="8" fillId="11" borderId="0" xfId="0" applyFont="1" applyFill="1" applyBorder="1" applyAlignment="1" applyProtection="1">
      <alignment vertical="center"/>
      <protection locked="0"/>
    </xf>
    <xf numFmtId="0" fontId="0" fillId="0" borderId="0" xfId="0">
      <alignment vertical="center"/>
    </xf>
    <xf numFmtId="0" fontId="8" fillId="0" borderId="0" xfId="0" applyFont="1" applyFill="1" applyBorder="1" applyAlignment="1" applyProtection="1">
      <alignment vertical="center"/>
      <protection locked="0"/>
    </xf>
    <xf numFmtId="0" fontId="8" fillId="0" borderId="0" xfId="0" applyFont="1" applyFill="1" applyBorder="1" applyAlignment="1" applyProtection="1">
      <alignment vertical="center" shrinkToFit="1"/>
      <protection locked="0"/>
    </xf>
    <xf numFmtId="0" fontId="8" fillId="11" borderId="0" xfId="0" applyFont="1" applyFill="1" applyBorder="1" applyAlignment="1" applyProtection="1">
      <alignment vertical="center"/>
      <protection locked="0"/>
    </xf>
    <xf numFmtId="0" fontId="8" fillId="0" borderId="0" xfId="0" applyFont="1" applyFill="1" applyBorder="1" applyAlignment="1">
      <alignment vertical="center"/>
    </xf>
    <xf numFmtId="0" fontId="8" fillId="0" borderId="28" xfId="0" applyFont="1" applyBorder="1" applyAlignment="1">
      <alignment horizontal="center" vertical="center" shrinkToFit="1"/>
    </xf>
    <xf numFmtId="0" fontId="8" fillId="0" borderId="27" xfId="0" applyFont="1" applyBorder="1" applyAlignment="1">
      <alignment vertical="center"/>
    </xf>
    <xf numFmtId="0" fontId="22" fillId="0" borderId="27" xfId="0" applyFont="1" applyBorder="1" applyAlignment="1">
      <alignment vertical="center"/>
    </xf>
    <xf numFmtId="0" fontId="8" fillId="0" borderId="33" xfId="0" applyFont="1" applyBorder="1" applyAlignment="1">
      <alignment horizontal="center" vertical="center"/>
    </xf>
    <xf numFmtId="0" fontId="8" fillId="0" borderId="34" xfId="0" applyFont="1" applyBorder="1" applyAlignment="1">
      <alignment horizontal="center" vertical="center" shrinkToFit="1"/>
    </xf>
    <xf numFmtId="0" fontId="23" fillId="0" borderId="0" xfId="0" applyFont="1" applyBorder="1" applyAlignment="1">
      <alignment vertical="center"/>
    </xf>
    <xf numFmtId="0" fontId="8" fillId="0" borderId="38" xfId="0" applyFont="1" applyBorder="1" applyAlignment="1">
      <alignment horizontal="center" vertical="center"/>
    </xf>
    <xf numFmtId="0" fontId="8" fillId="0" borderId="32" xfId="0" applyFont="1" applyBorder="1" applyAlignment="1">
      <alignment vertical="center"/>
    </xf>
    <xf numFmtId="0" fontId="0" fillId="11" borderId="40" xfId="0" applyFill="1" applyBorder="1">
      <alignment vertical="center"/>
    </xf>
    <xf numFmtId="0" fontId="0" fillId="0" borderId="40" xfId="0" applyBorder="1">
      <alignment vertical="center"/>
    </xf>
    <xf numFmtId="0" fontId="8" fillId="11" borderId="25" xfId="0" applyFont="1" applyFill="1" applyBorder="1" applyAlignment="1" applyProtection="1">
      <alignment vertical="center"/>
      <protection locked="0"/>
    </xf>
    <xf numFmtId="0" fontId="0" fillId="11" borderId="40" xfId="0" applyFill="1" applyBorder="1" applyProtection="1">
      <alignment vertical="center"/>
      <protection locked="0"/>
    </xf>
    <xf numFmtId="0" fontId="0" fillId="0" borderId="0" xfId="0" applyAlignment="1">
      <alignment vertical="center" shrinkToFit="1"/>
    </xf>
    <xf numFmtId="0" fontId="8" fillId="0" borderId="1" xfId="0" applyFont="1" applyFill="1" applyBorder="1" applyAlignment="1" applyProtection="1">
      <alignment horizontal="center" vertical="center"/>
      <protection locked="0"/>
    </xf>
    <xf numFmtId="0" fontId="8" fillId="4" borderId="0" xfId="0" applyFont="1" applyFill="1" applyBorder="1" applyAlignment="1" applyProtection="1">
      <alignment horizontal="center" vertical="center"/>
    </xf>
    <xf numFmtId="0" fontId="0" fillId="0" borderId="0" xfId="0">
      <alignment vertical="center"/>
    </xf>
    <xf numFmtId="0" fontId="8" fillId="4" borderId="0" xfId="0" applyFont="1" applyFill="1" applyBorder="1" applyAlignment="1">
      <alignment vertical="center"/>
    </xf>
    <xf numFmtId="0" fontId="8" fillId="4" borderId="0" xfId="0" applyFont="1" applyFill="1" applyBorder="1" applyAlignment="1">
      <alignment horizontal="right" vertical="center"/>
    </xf>
    <xf numFmtId="0" fontId="8" fillId="4" borderId="1" xfId="0" applyFont="1" applyFill="1" applyBorder="1" applyAlignment="1">
      <alignment horizontal="center" vertical="center"/>
    </xf>
    <xf numFmtId="0" fontId="10" fillId="4" borderId="0" xfId="0" applyFont="1" applyFill="1" applyBorder="1" applyAlignment="1">
      <alignment horizontal="right" vertical="center"/>
    </xf>
    <xf numFmtId="0" fontId="12" fillId="0" borderId="0" xfId="0" applyFont="1">
      <alignment vertical="center"/>
    </xf>
    <xf numFmtId="0" fontId="13" fillId="0" borderId="0" xfId="0" applyFont="1" applyAlignment="1">
      <alignment vertical="center" shrinkToFit="1"/>
    </xf>
    <xf numFmtId="0" fontId="13" fillId="11" borderId="0" xfId="0" applyFont="1" applyFill="1" applyAlignment="1">
      <alignment vertical="center" wrapText="1"/>
    </xf>
    <xf numFmtId="0" fontId="8" fillId="4" borderId="0" xfId="0" applyFont="1" applyFill="1" applyBorder="1" applyAlignment="1">
      <alignment horizontal="right" vertical="center" shrinkToFit="1"/>
    </xf>
    <xf numFmtId="0" fontId="8" fillId="4" borderId="0" xfId="0" applyFont="1" applyFill="1" applyBorder="1" applyAlignment="1" applyProtection="1">
      <alignment vertical="center"/>
    </xf>
    <xf numFmtId="0" fontId="8" fillId="4" borderId="0" xfId="0" applyFont="1" applyFill="1" applyBorder="1" applyAlignment="1" applyProtection="1">
      <alignment horizontal="right" vertical="center"/>
    </xf>
    <xf numFmtId="0" fontId="8" fillId="4" borderId="1"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177" fontId="8" fillId="4" borderId="1" xfId="0" applyNumberFormat="1" applyFont="1" applyFill="1" applyBorder="1" applyAlignment="1" applyProtection="1">
      <alignment horizontal="center" vertical="center"/>
    </xf>
    <xf numFmtId="49" fontId="8" fillId="4" borderId="1" xfId="0" applyNumberFormat="1" applyFont="1" applyFill="1" applyBorder="1" applyAlignment="1" applyProtection="1">
      <alignment horizontal="center" vertical="center" shrinkToFit="1"/>
    </xf>
    <xf numFmtId="0" fontId="8" fillId="4" borderId="13" xfId="0" applyNumberFormat="1" applyFont="1" applyFill="1" applyBorder="1" applyAlignment="1" applyProtection="1">
      <alignment horizontal="center" vertical="center"/>
    </xf>
    <xf numFmtId="49" fontId="8" fillId="4" borderId="13" xfId="0" applyNumberFormat="1" applyFont="1" applyFill="1" applyBorder="1" applyAlignment="1" applyProtection="1">
      <alignment horizontal="center" vertical="center"/>
    </xf>
    <xf numFmtId="0" fontId="8" fillId="4" borderId="0" xfId="0" applyFont="1" applyFill="1" applyBorder="1" applyAlignment="1" applyProtection="1">
      <alignment horizontal="right" vertical="center" shrinkToFit="1"/>
    </xf>
    <xf numFmtId="176" fontId="0" fillId="11" borderId="0" xfId="0" applyNumberFormat="1" applyFill="1" applyAlignment="1">
      <alignment vertical="center" shrinkToFit="1"/>
    </xf>
    <xf numFmtId="0" fontId="8" fillId="0" borderId="1" xfId="0" applyFont="1" applyFill="1" applyBorder="1" applyAlignment="1">
      <alignment horizontal="center" vertical="center" shrinkToFit="1"/>
    </xf>
    <xf numFmtId="0" fontId="8" fillId="44" borderId="0" xfId="0" applyFont="1" applyFill="1" applyBorder="1" applyAlignment="1">
      <alignment vertical="center"/>
    </xf>
    <xf numFmtId="0" fontId="8" fillId="44" borderId="0" xfId="0" applyFont="1" applyFill="1" applyBorder="1" applyAlignment="1" applyProtection="1">
      <alignment vertical="center" shrinkToFit="1"/>
      <protection locked="0"/>
    </xf>
    <xf numFmtId="0" fontId="8" fillId="44" borderId="0" xfId="0" applyFont="1" applyFill="1" applyBorder="1" applyAlignment="1" applyProtection="1">
      <alignment vertical="center"/>
      <protection locked="0"/>
    </xf>
    <xf numFmtId="0" fontId="0" fillId="0" borderId="0" xfId="0">
      <alignment vertical="center"/>
    </xf>
    <xf numFmtId="0" fontId="8" fillId="0" borderId="0" xfId="0" applyFont="1" applyBorder="1" applyAlignment="1">
      <alignment vertical="center"/>
    </xf>
    <xf numFmtId="0" fontId="8" fillId="0" borderId="0" xfId="0" applyFont="1" applyFill="1" applyBorder="1" applyAlignment="1">
      <alignment vertical="center"/>
    </xf>
    <xf numFmtId="0" fontId="8" fillId="11" borderId="0" xfId="0" applyFont="1" applyFill="1" applyBorder="1" applyAlignment="1">
      <alignment vertical="center"/>
    </xf>
    <xf numFmtId="0" fontId="0" fillId="0" borderId="0" xfId="0" applyAlignment="1">
      <alignment vertical="center" shrinkToFit="1"/>
    </xf>
    <xf numFmtId="0" fontId="13" fillId="0" borderId="0" xfId="0" applyFont="1" applyAlignment="1">
      <alignment vertical="center" shrinkToFit="1"/>
    </xf>
    <xf numFmtId="0" fontId="13" fillId="0" borderId="0" xfId="0" applyFont="1">
      <alignment vertical="center"/>
    </xf>
    <xf numFmtId="0" fontId="0" fillId="11" borderId="0" xfId="0" applyFill="1">
      <alignment vertical="center"/>
    </xf>
    <xf numFmtId="0" fontId="14" fillId="0" borderId="0" xfId="0" applyFont="1">
      <alignment vertical="center"/>
    </xf>
    <xf numFmtId="0" fontId="0" fillId="11" borderId="0" xfId="0" applyFill="1" applyAlignment="1">
      <alignment vertical="center" wrapText="1"/>
    </xf>
    <xf numFmtId="0" fontId="14" fillId="0" borderId="0" xfId="0" applyFont="1" applyAlignment="1">
      <alignment vertical="center" shrinkToFit="1"/>
    </xf>
    <xf numFmtId="0" fontId="13" fillId="11" borderId="0" xfId="0" applyFont="1" applyFill="1" applyAlignment="1">
      <alignment vertical="center" wrapText="1"/>
    </xf>
    <xf numFmtId="0" fontId="13" fillId="11" borderId="0" xfId="0" applyFont="1" applyFill="1">
      <alignment vertical="center"/>
    </xf>
    <xf numFmtId="0" fontId="13" fillId="0" borderId="0" xfId="0" applyFont="1" applyBorder="1">
      <alignment vertical="center"/>
    </xf>
    <xf numFmtId="0" fontId="13" fillId="11" borderId="0" xfId="0" applyFont="1" applyFill="1" applyBorder="1" applyAlignment="1">
      <alignment vertical="center" wrapText="1"/>
    </xf>
    <xf numFmtId="0" fontId="18" fillId="0" borderId="0" xfId="0" applyFont="1" applyBorder="1" applyAlignment="1">
      <alignment horizontal="centerContinuous" vertical="center"/>
    </xf>
    <xf numFmtId="0" fontId="8" fillId="0" borderId="0" xfId="0" applyFont="1" applyBorder="1" applyAlignment="1">
      <alignment horizontal="centerContinuous" vertical="center"/>
    </xf>
    <xf numFmtId="0" fontId="8" fillId="0" borderId="0" xfId="0" applyFont="1" applyFill="1" applyBorder="1" applyAlignment="1">
      <alignment horizontal="centerContinuous" vertical="center"/>
    </xf>
    <xf numFmtId="0" fontId="18" fillId="0" borderId="0" xfId="0" applyFont="1" applyBorder="1" applyAlignment="1">
      <alignment vertical="center"/>
    </xf>
    <xf numFmtId="0" fontId="8" fillId="0" borderId="0" xfId="0" applyFont="1" applyBorder="1" applyAlignment="1">
      <alignment horizontal="right" vertical="center"/>
    </xf>
    <xf numFmtId="0" fontId="19" fillId="0" borderId="0" xfId="0" applyFont="1" applyBorder="1" applyAlignment="1">
      <alignment vertical="center"/>
    </xf>
    <xf numFmtId="0" fontId="8" fillId="0" borderId="1" xfId="0" applyFont="1" applyBorder="1" applyAlignment="1">
      <alignment horizontal="center" vertical="center"/>
    </xf>
    <xf numFmtId="0" fontId="8" fillId="0" borderId="0" xfId="0" applyFont="1" applyFill="1" applyBorder="1" applyAlignment="1">
      <alignment horizontal="right" vertical="center"/>
    </xf>
    <xf numFmtId="0" fontId="8" fillId="0" borderId="0" xfId="0" applyFont="1" applyFill="1" applyBorder="1" applyAlignment="1" applyProtection="1">
      <alignment vertical="center" shrinkToFit="1"/>
      <protection locked="0"/>
    </xf>
    <xf numFmtId="0" fontId="0" fillId="0" borderId="0" xfId="0" applyAlignment="1">
      <alignment horizontal="right" vertical="center"/>
    </xf>
    <xf numFmtId="0" fontId="0" fillId="0" borderId="0" xfId="0" applyFont="1">
      <alignment vertical="center"/>
    </xf>
    <xf numFmtId="0" fontId="0" fillId="0" borderId="1" xfId="0" applyBorder="1">
      <alignment vertical="center"/>
    </xf>
    <xf numFmtId="0" fontId="19" fillId="0" borderId="9" xfId="0" applyFont="1" applyBorder="1" applyAlignment="1">
      <alignment horizontal="left" vertical="center" shrinkToFit="1"/>
    </xf>
    <xf numFmtId="56" fontId="0" fillId="0" borderId="0" xfId="0" applyNumberFormat="1">
      <alignment vertical="center"/>
    </xf>
    <xf numFmtId="49" fontId="8" fillId="10" borderId="1" xfId="0" applyNumberFormat="1" applyFont="1" applyFill="1" applyBorder="1" applyAlignment="1" applyProtection="1">
      <alignment horizontal="center" vertical="center" shrinkToFit="1"/>
      <protection locked="0"/>
    </xf>
    <xf numFmtId="0" fontId="8" fillId="10" borderId="1" xfId="0" applyFont="1" applyFill="1" applyBorder="1" applyAlignment="1" applyProtection="1">
      <alignment horizontal="center" vertical="center" shrinkToFit="1"/>
      <protection locked="0"/>
    </xf>
    <xf numFmtId="0" fontId="8" fillId="10" borderId="13" xfId="0" applyNumberFormat="1" applyFont="1" applyFill="1" applyBorder="1" applyAlignment="1" applyProtection="1">
      <alignment horizontal="center" vertical="center"/>
      <protection locked="0"/>
    </xf>
    <xf numFmtId="49" fontId="8" fillId="0" borderId="13" xfId="0" applyNumberFormat="1" applyFont="1" applyFill="1" applyBorder="1" applyAlignment="1" applyProtection="1">
      <alignment horizontal="center" vertical="center"/>
      <protection locked="0"/>
    </xf>
    <xf numFmtId="0" fontId="12" fillId="0" borderId="0" xfId="0" applyFont="1">
      <alignment vertical="center"/>
    </xf>
    <xf numFmtId="0" fontId="13" fillId="0" borderId="0" xfId="0" applyFont="1" applyAlignment="1">
      <alignment vertical="center" shrinkToFit="1"/>
    </xf>
    <xf numFmtId="0" fontId="12" fillId="0" borderId="0" xfId="0" applyFont="1">
      <alignment vertical="center"/>
    </xf>
    <xf numFmtId="0" fontId="13" fillId="0" borderId="0" xfId="0" applyFont="1" applyAlignment="1">
      <alignment vertical="center" shrinkToFit="1"/>
    </xf>
    <xf numFmtId="0" fontId="13" fillId="11" borderId="0" xfId="0" applyFont="1" applyFill="1" applyAlignment="1">
      <alignment vertical="center" wrapText="1"/>
    </xf>
    <xf numFmtId="0" fontId="8" fillId="2" borderId="1" xfId="0" applyFont="1" applyFill="1" applyBorder="1" applyAlignment="1">
      <alignment horizontal="center" vertical="center" shrinkToFit="1"/>
    </xf>
    <xf numFmtId="0" fontId="41" fillId="0" borderId="0" xfId="0" applyFont="1">
      <alignment vertical="center"/>
    </xf>
    <xf numFmtId="0" fontId="0" fillId="6" borderId="0" xfId="0" applyFill="1" applyAlignment="1">
      <alignment vertical="center" wrapText="1"/>
    </xf>
    <xf numFmtId="182" fontId="8" fillId="0" borderId="1" xfId="0" quotePrefix="1" applyNumberFormat="1" applyFont="1" applyFill="1" applyBorder="1" applyAlignment="1" applyProtection="1">
      <alignment horizontal="right" vertical="center" shrinkToFit="1"/>
      <protection locked="0"/>
    </xf>
    <xf numFmtId="0" fontId="0" fillId="0" borderId="0" xfId="0">
      <alignment vertical="center"/>
    </xf>
    <xf numFmtId="0" fontId="8" fillId="4" borderId="1" xfId="0" applyFont="1" applyFill="1" applyBorder="1" applyAlignment="1">
      <alignment vertical="center"/>
    </xf>
    <xf numFmtId="0" fontId="0" fillId="11" borderId="0" xfId="0" applyFill="1">
      <alignment vertical="center"/>
    </xf>
    <xf numFmtId="0" fontId="0" fillId="0" borderId="0" xfId="0" applyFill="1">
      <alignment vertical="center"/>
    </xf>
    <xf numFmtId="0" fontId="8" fillId="4" borderId="1" xfId="0" applyFont="1" applyFill="1" applyBorder="1" applyAlignment="1" applyProtection="1">
      <alignment vertical="center"/>
    </xf>
    <xf numFmtId="182" fontId="8" fillId="4" borderId="1" xfId="0" quotePrefix="1" applyNumberFormat="1" applyFont="1" applyFill="1" applyBorder="1" applyAlignment="1" applyProtection="1">
      <alignment horizontal="right" vertical="center" shrinkToFit="1"/>
    </xf>
    <xf numFmtId="0" fontId="0" fillId="0" borderId="0" xfId="0">
      <alignment vertical="center"/>
    </xf>
    <xf numFmtId="0" fontId="0" fillId="0" borderId="0" xfId="0">
      <alignment vertical="center"/>
    </xf>
    <xf numFmtId="0" fontId="14" fillId="0" borderId="0" xfId="0" applyFont="1">
      <alignment vertical="center"/>
    </xf>
    <xf numFmtId="0" fontId="0" fillId="0" borderId="0" xfId="0" applyAlignment="1">
      <alignment vertical="center" shrinkToFit="1"/>
    </xf>
    <xf numFmtId="0" fontId="0" fillId="11" borderId="0" xfId="0" applyFill="1" applyAlignment="1">
      <alignment vertical="center" shrinkToFit="1"/>
    </xf>
    <xf numFmtId="0" fontId="0" fillId="0" borderId="0" xfId="0" applyFill="1">
      <alignment vertical="center"/>
    </xf>
    <xf numFmtId="0" fontId="8" fillId="4" borderId="1" xfId="0" applyFont="1" applyFill="1" applyBorder="1" applyAlignment="1" applyProtection="1">
      <alignment vertical="center"/>
    </xf>
    <xf numFmtId="182" fontId="8" fillId="4" borderId="1" xfId="0" quotePrefix="1" applyNumberFormat="1" applyFont="1" applyFill="1" applyBorder="1" applyAlignment="1" applyProtection="1">
      <alignment horizontal="right" vertical="center" shrinkToFit="1"/>
    </xf>
    <xf numFmtId="0" fontId="0" fillId="0" borderId="0" xfId="0" applyBorder="1" applyProtection="1">
      <alignment vertical="center"/>
    </xf>
    <xf numFmtId="0" fontId="0" fillId="0" borderId="0" xfId="0" applyBorder="1" applyAlignment="1" applyProtection="1">
      <alignment vertical="center" shrinkToFit="1"/>
    </xf>
    <xf numFmtId="0" fontId="0" fillId="11" borderId="0" xfId="0" applyFill="1" applyBorder="1" applyProtection="1">
      <alignment vertical="center"/>
    </xf>
    <xf numFmtId="0" fontId="8" fillId="4" borderId="5" xfId="0" applyFont="1" applyFill="1" applyBorder="1" applyAlignment="1" applyProtection="1">
      <alignment vertical="center"/>
    </xf>
    <xf numFmtId="0" fontId="13" fillId="0" borderId="0" xfId="0" applyFont="1" applyAlignment="1">
      <alignment vertical="center" shrinkToFit="1"/>
    </xf>
    <xf numFmtId="0" fontId="13" fillId="0" borderId="0" xfId="0" applyFont="1">
      <alignment vertical="center"/>
    </xf>
    <xf numFmtId="0" fontId="13" fillId="11" borderId="0" xfId="0" applyFont="1" applyFill="1" applyBorder="1" applyAlignment="1">
      <alignment vertical="center" wrapText="1"/>
    </xf>
    <xf numFmtId="0" fontId="8" fillId="4" borderId="0" xfId="0" applyFont="1" applyFill="1" applyBorder="1" applyAlignment="1">
      <alignment horizontal="center" vertical="center"/>
    </xf>
    <xf numFmtId="0" fontId="7" fillId="0" borderId="0" xfId="0" applyFont="1" applyFill="1" applyBorder="1" applyAlignment="1" applyProtection="1">
      <alignment vertical="center"/>
    </xf>
    <xf numFmtId="0" fontId="7" fillId="0" borderId="0" xfId="0" applyFont="1" applyFill="1" applyBorder="1" applyAlignment="1" applyProtection="1">
      <alignment vertical="center" shrinkToFit="1"/>
    </xf>
    <xf numFmtId="0" fontId="7" fillId="3" borderId="0" xfId="0" applyFont="1" applyFill="1" applyBorder="1" applyAlignment="1" applyProtection="1">
      <alignment vertical="center"/>
    </xf>
    <xf numFmtId="0" fontId="10" fillId="0" borderId="0" xfId="0" applyFont="1" applyFill="1" applyBorder="1" applyAlignment="1">
      <alignment vertical="center"/>
    </xf>
    <xf numFmtId="178" fontId="0" fillId="0" borderId="0" xfId="0" applyNumberFormat="1" applyAlignment="1">
      <alignment vertical="center" shrinkToFit="1"/>
    </xf>
    <xf numFmtId="0" fontId="8" fillId="9" borderId="0" xfId="0" applyFont="1" applyFill="1" applyBorder="1" applyAlignment="1" applyProtection="1">
      <alignment vertical="center"/>
    </xf>
    <xf numFmtId="0" fontId="4" fillId="0" borderId="0" xfId="1" applyFont="1" applyBorder="1" applyAlignment="1">
      <alignment vertical="center"/>
    </xf>
    <xf numFmtId="0" fontId="4" fillId="0" borderId="0" xfId="1" applyFont="1" applyBorder="1" applyAlignment="1">
      <alignment vertical="center" shrinkToFit="1"/>
    </xf>
    <xf numFmtId="178" fontId="8" fillId="11" borderId="0" xfId="0" applyNumberFormat="1" applyFont="1" applyFill="1" applyBorder="1" applyAlignment="1" applyProtection="1">
      <alignment vertical="center"/>
      <protection locked="0"/>
    </xf>
    <xf numFmtId="0" fontId="8" fillId="8" borderId="50" xfId="0" applyFont="1" applyFill="1" applyBorder="1" applyAlignment="1" applyProtection="1">
      <alignment horizontal="right" vertical="center"/>
    </xf>
    <xf numFmtId="0" fontId="8" fillId="8" borderId="51" xfId="0" applyFont="1" applyFill="1" applyBorder="1" applyAlignment="1" applyProtection="1">
      <alignment horizontal="right" vertical="center"/>
    </xf>
    <xf numFmtId="0" fontId="8" fillId="8" borderId="6" xfId="0" applyFont="1" applyFill="1" applyBorder="1" applyAlignment="1" applyProtection="1">
      <alignment horizontal="right" vertical="center"/>
    </xf>
    <xf numFmtId="0" fontId="8" fillId="8" borderId="7" xfId="0" applyFont="1" applyFill="1" applyBorder="1" applyAlignment="1" applyProtection="1">
      <alignment horizontal="right" vertical="center"/>
    </xf>
    <xf numFmtId="0" fontId="8" fillId="8" borderId="53" xfId="0" applyFont="1" applyFill="1" applyBorder="1" applyAlignment="1" applyProtection="1">
      <alignment horizontal="right" vertical="center"/>
    </xf>
    <xf numFmtId="0" fontId="8" fillId="4" borderId="5" xfId="0" applyFont="1" applyFill="1" applyBorder="1" applyAlignment="1" applyProtection="1">
      <alignment horizontal="right" vertical="center"/>
    </xf>
    <xf numFmtId="0" fontId="4" fillId="0" borderId="0" xfId="1" applyFont="1" applyFill="1" applyBorder="1" applyAlignment="1">
      <alignment vertical="center"/>
    </xf>
    <xf numFmtId="0" fontId="3" fillId="0" borderId="0" xfId="1" applyFont="1" applyFill="1" applyBorder="1" applyAlignment="1">
      <alignment vertical="center" shrinkToFit="1"/>
    </xf>
    <xf numFmtId="49" fontId="8" fillId="11" borderId="0" xfId="0" applyNumberFormat="1" applyFont="1" applyFill="1" applyBorder="1" applyAlignment="1" applyProtection="1">
      <alignment vertical="center"/>
      <protection locked="0"/>
    </xf>
    <xf numFmtId="0" fontId="3" fillId="0" borderId="0" xfId="1" applyFont="1" applyFill="1" applyBorder="1" applyAlignment="1">
      <alignment vertical="center"/>
    </xf>
    <xf numFmtId="0" fontId="3" fillId="0" borderId="0" xfId="1" applyFont="1" applyBorder="1" applyAlignment="1">
      <alignment vertical="center" shrinkToFit="1"/>
    </xf>
    <xf numFmtId="178" fontId="3" fillId="11" borderId="0" xfId="1" applyNumberFormat="1" applyFont="1" applyFill="1" applyBorder="1" applyAlignment="1">
      <alignment vertical="center"/>
    </xf>
    <xf numFmtId="0" fontId="8" fillId="4" borderId="0" xfId="0" applyFont="1" applyFill="1" applyBorder="1" applyAlignment="1" applyProtection="1">
      <alignment horizontal="center" vertical="center" shrinkToFit="1"/>
    </xf>
    <xf numFmtId="0" fontId="3" fillId="0" borderId="0" xfId="1" applyFont="1" applyBorder="1" applyAlignment="1">
      <alignment vertical="center"/>
    </xf>
    <xf numFmtId="0" fontId="43" fillId="0" borderId="0" xfId="1" applyFont="1" applyFill="1" applyBorder="1" applyAlignment="1">
      <alignment vertical="center"/>
    </xf>
    <xf numFmtId="178" fontId="3" fillId="0" borderId="0" xfId="1" applyNumberFormat="1" applyFont="1" applyFill="1" applyBorder="1" applyAlignment="1">
      <alignment vertical="center"/>
    </xf>
    <xf numFmtId="178" fontId="8" fillId="11" borderId="0" xfId="0" applyNumberFormat="1" applyFont="1" applyFill="1" applyBorder="1" applyAlignment="1" applyProtection="1">
      <alignment vertical="center"/>
    </xf>
    <xf numFmtId="178" fontId="3" fillId="0" borderId="0" xfId="1" applyNumberFormat="1" applyFont="1" applyBorder="1" applyAlignment="1">
      <alignment vertical="center"/>
    </xf>
    <xf numFmtId="0" fontId="8" fillId="0" borderId="55" xfId="0" applyFont="1" applyFill="1" applyBorder="1" applyAlignment="1">
      <alignment vertical="center"/>
    </xf>
    <xf numFmtId="0" fontId="8" fillId="0" borderId="55" xfId="0" applyFont="1" applyFill="1" applyBorder="1" applyAlignment="1">
      <alignment vertical="center" shrinkToFit="1"/>
    </xf>
    <xf numFmtId="178" fontId="44" fillId="11" borderId="55" xfId="0" applyNumberFormat="1" applyFont="1" applyFill="1" applyBorder="1" applyAlignment="1">
      <alignment vertical="center"/>
    </xf>
    <xf numFmtId="178" fontId="45" fillId="11" borderId="55" xfId="1" applyNumberFormat="1" applyFont="1" applyFill="1" applyBorder="1" applyAlignment="1">
      <alignment vertical="center"/>
    </xf>
    <xf numFmtId="49" fontId="44" fillId="11" borderId="55" xfId="0" applyNumberFormat="1" applyFont="1" applyFill="1" applyBorder="1" applyAlignment="1">
      <alignment vertical="center"/>
    </xf>
    <xf numFmtId="0" fontId="8" fillId="9" borderId="0" xfId="0" applyFont="1" applyFill="1" applyBorder="1" applyAlignment="1">
      <alignment vertical="center"/>
    </xf>
    <xf numFmtId="0" fontId="8" fillId="45" borderId="1" xfId="0" applyFont="1" applyFill="1" applyBorder="1" applyAlignment="1">
      <alignment horizontal="center" vertical="center" shrinkToFit="1"/>
    </xf>
    <xf numFmtId="0" fontId="8" fillId="4" borderId="0" xfId="0" applyFont="1" applyFill="1" applyBorder="1" applyAlignment="1" applyProtection="1">
      <alignment vertical="center" shrinkToFit="1"/>
    </xf>
    <xf numFmtId="0" fontId="8" fillId="8" borderId="0" xfId="0" applyFont="1" applyFill="1" applyBorder="1" applyAlignment="1">
      <alignment vertical="center"/>
    </xf>
    <xf numFmtId="49" fontId="8" fillId="4" borderId="0" xfId="0" applyNumberFormat="1" applyFont="1" applyFill="1" applyBorder="1" applyAlignment="1">
      <alignment horizontal="center" vertical="center" shrinkToFit="1"/>
    </xf>
    <xf numFmtId="49" fontId="8" fillId="4" borderId="0" xfId="0" applyNumberFormat="1" applyFont="1" applyFill="1" applyBorder="1" applyAlignment="1" applyProtection="1">
      <alignment horizontal="center" vertical="center" shrinkToFit="1"/>
    </xf>
    <xf numFmtId="49" fontId="8" fillId="4" borderId="0" xfId="0" applyNumberFormat="1" applyFont="1" applyFill="1" applyBorder="1" applyAlignment="1">
      <alignment vertical="center" shrinkToFit="1"/>
    </xf>
    <xf numFmtId="49" fontId="8" fillId="4" borderId="0" xfId="0" applyNumberFormat="1" applyFont="1" applyFill="1" applyBorder="1" applyAlignment="1">
      <alignment horizontal="left" vertical="center" shrinkToFit="1"/>
    </xf>
    <xf numFmtId="0" fontId="0" fillId="0" borderId="0" xfId="0" applyAlignment="1">
      <alignment vertical="center"/>
    </xf>
    <xf numFmtId="49" fontId="8" fillId="8" borderId="14" xfId="0" applyNumberFormat="1" applyFont="1" applyFill="1" applyBorder="1" applyAlignment="1" applyProtection="1">
      <alignment horizontal="center" vertical="center" shrinkToFit="1"/>
      <protection locked="0"/>
    </xf>
    <xf numFmtId="49" fontId="8" fillId="4" borderId="14" xfId="0" applyNumberFormat="1" applyFont="1" applyFill="1" applyBorder="1" applyAlignment="1">
      <alignment horizontal="left" vertical="center" shrinkToFit="1"/>
    </xf>
    <xf numFmtId="178" fontId="8" fillId="11" borderId="56" xfId="0" applyNumberFormat="1" applyFont="1" applyFill="1" applyBorder="1" applyAlignment="1" applyProtection="1">
      <alignment vertical="center"/>
      <protection locked="0"/>
    </xf>
    <xf numFmtId="0" fontId="0" fillId="0" borderId="0" xfId="0" applyAlignment="1">
      <alignment horizontal="center" vertical="center" shrinkToFit="1"/>
    </xf>
    <xf numFmtId="0" fontId="0" fillId="0" borderId="0" xfId="0" applyFill="1" applyAlignment="1">
      <alignment horizontal="center" vertical="center"/>
    </xf>
    <xf numFmtId="14" fontId="0" fillId="0" borderId="0" xfId="0" applyNumberFormat="1">
      <alignment vertical="center"/>
    </xf>
    <xf numFmtId="0" fontId="8" fillId="11" borderId="57" xfId="0" applyFont="1" applyFill="1" applyBorder="1" applyAlignment="1" applyProtection="1">
      <alignment vertical="center"/>
      <protection locked="0"/>
    </xf>
    <xf numFmtId="0" fontId="0" fillId="0" borderId="1" xfId="0" applyBorder="1" applyAlignment="1">
      <alignment horizontal="left" vertical="center"/>
    </xf>
    <xf numFmtId="0" fontId="0" fillId="11" borderId="13" xfId="0" applyFill="1" applyBorder="1" applyAlignment="1">
      <alignment vertical="center"/>
    </xf>
    <xf numFmtId="0" fontId="0" fillId="0" borderId="58" xfId="0" applyFill="1" applyBorder="1" applyAlignment="1">
      <alignment vertical="center"/>
    </xf>
    <xf numFmtId="0" fontId="14" fillId="46" borderId="59" xfId="0" applyFont="1" applyFill="1" applyBorder="1">
      <alignment vertical="center"/>
    </xf>
    <xf numFmtId="0" fontId="0" fillId="46" borderId="59" xfId="0" applyFill="1" applyBorder="1">
      <alignment vertical="center"/>
    </xf>
    <xf numFmtId="0" fontId="0" fillId="46" borderId="59" xfId="0" applyFill="1" applyBorder="1" applyAlignment="1">
      <alignment vertical="center" shrinkToFit="1"/>
    </xf>
    <xf numFmtId="0" fontId="0" fillId="46" borderId="59" xfId="0" applyFill="1" applyBorder="1" applyAlignment="1">
      <alignment horizontal="left" vertical="center"/>
    </xf>
    <xf numFmtId="0" fontId="0" fillId="46" borderId="59" xfId="0" applyFill="1" applyBorder="1" applyAlignment="1">
      <alignment horizontal="center" vertical="center"/>
    </xf>
    <xf numFmtId="0" fontId="0" fillId="0" borderId="0" xfId="0" applyFont="1" applyFill="1">
      <alignment vertical="center"/>
    </xf>
    <xf numFmtId="0" fontId="0" fillId="0" borderId="0" xfId="0" applyFont="1" applyFill="1" applyAlignment="1">
      <alignment horizontal="left" vertical="center"/>
    </xf>
    <xf numFmtId="0" fontId="0" fillId="0" borderId="40" xfId="0" applyFont="1" applyFill="1" applyBorder="1" applyAlignment="1">
      <alignment horizontal="center" vertical="center"/>
    </xf>
    <xf numFmtId="0" fontId="8" fillId="0" borderId="40" xfId="0" applyFont="1" applyFill="1" applyBorder="1" applyAlignment="1">
      <alignment horizontal="left" vertical="center"/>
    </xf>
    <xf numFmtId="0" fontId="8" fillId="0" borderId="40" xfId="0" applyFont="1" applyFill="1" applyBorder="1" applyAlignment="1">
      <alignment horizontal="center" vertical="center"/>
    </xf>
    <xf numFmtId="0" fontId="0" fillId="47" borderId="0" xfId="0" applyFont="1" applyFill="1">
      <alignment vertical="center"/>
    </xf>
    <xf numFmtId="0" fontId="4" fillId="47" borderId="0" xfId="1" applyFont="1" applyFill="1" applyBorder="1" applyAlignment="1">
      <alignment vertical="center"/>
    </xf>
    <xf numFmtId="0" fontId="4" fillId="47" borderId="0" xfId="1" applyFont="1" applyFill="1" applyBorder="1" applyAlignment="1">
      <alignment vertical="center" shrinkToFit="1"/>
    </xf>
    <xf numFmtId="0" fontId="0" fillId="47" borderId="0" xfId="0" applyFont="1" applyFill="1" applyAlignment="1">
      <alignment horizontal="left" vertical="center"/>
    </xf>
    <xf numFmtId="0" fontId="0" fillId="47" borderId="40" xfId="0" applyFont="1" applyFill="1" applyBorder="1" applyAlignment="1">
      <alignment horizontal="center" vertical="center"/>
    </xf>
    <xf numFmtId="0" fontId="8" fillId="47" borderId="40" xfId="0" applyFont="1" applyFill="1" applyBorder="1" applyAlignment="1">
      <alignment horizontal="left" vertical="center"/>
    </xf>
    <xf numFmtId="0" fontId="8" fillId="47" borderId="40" xfId="0" applyFont="1" applyFill="1" applyBorder="1" applyAlignment="1">
      <alignment horizontal="center" vertical="center"/>
    </xf>
    <xf numFmtId="0" fontId="0" fillId="47" borderId="0" xfId="0" applyFill="1">
      <alignment vertical="center"/>
    </xf>
    <xf numFmtId="0" fontId="0" fillId="0" borderId="0" xfId="0" applyFont="1" applyAlignment="1">
      <alignment horizontal="left" vertical="center"/>
    </xf>
    <xf numFmtId="0" fontId="4" fillId="0" borderId="40" xfId="1" applyFont="1" applyBorder="1" applyAlignment="1">
      <alignment horizontal="left" vertical="center" shrinkToFit="1"/>
    </xf>
    <xf numFmtId="0" fontId="4" fillId="0" borderId="40" xfId="1" applyFont="1" applyBorder="1" applyAlignment="1">
      <alignment horizontal="center" vertical="center" shrinkToFit="1"/>
    </xf>
    <xf numFmtId="0" fontId="4" fillId="47" borderId="40" xfId="1" applyFont="1" applyFill="1" applyBorder="1" applyAlignment="1">
      <alignment horizontal="left" vertical="center" shrinkToFit="1"/>
    </xf>
    <xf numFmtId="0" fontId="4" fillId="47" borderId="40" xfId="1" applyFont="1" applyFill="1" applyBorder="1" applyAlignment="1">
      <alignment horizontal="center" vertical="center" shrinkToFit="1"/>
    </xf>
    <xf numFmtId="0" fontId="4" fillId="0" borderId="0" xfId="1" applyFont="1" applyFill="1" applyBorder="1" applyAlignment="1">
      <alignment vertical="center" shrinkToFit="1"/>
    </xf>
    <xf numFmtId="0" fontId="4" fillId="0" borderId="40" xfId="1" applyFont="1" applyFill="1" applyBorder="1" applyAlignment="1">
      <alignment horizontal="left" vertical="center" shrinkToFit="1"/>
    </xf>
    <xf numFmtId="0" fontId="4" fillId="0" borderId="40" xfId="1" applyFont="1" applyFill="1" applyBorder="1" applyAlignment="1">
      <alignment horizontal="center" vertical="center" shrinkToFit="1"/>
    </xf>
    <xf numFmtId="0" fontId="20" fillId="47" borderId="0" xfId="0" applyFont="1" applyFill="1" applyBorder="1" applyAlignment="1">
      <alignment vertical="center"/>
    </xf>
    <xf numFmtId="0" fontId="0" fillId="47" borderId="0" xfId="0" applyFont="1" applyFill="1" applyAlignment="1">
      <alignment vertical="center" shrinkToFit="1"/>
    </xf>
    <xf numFmtId="0" fontId="0" fillId="47" borderId="40" xfId="0" quotePrefix="1" applyFont="1" applyFill="1" applyBorder="1" applyAlignment="1">
      <alignment horizontal="center" vertical="center"/>
    </xf>
    <xf numFmtId="0" fontId="8" fillId="47" borderId="40" xfId="0" applyFont="1" applyFill="1" applyBorder="1" applyAlignment="1" applyProtection="1">
      <alignment horizontal="left" vertical="center" shrinkToFit="1"/>
    </xf>
    <xf numFmtId="0" fontId="8" fillId="47" borderId="60" xfId="0" applyFont="1" applyFill="1" applyBorder="1" applyAlignment="1">
      <alignment horizontal="center" vertical="top" wrapText="1"/>
    </xf>
    <xf numFmtId="0" fontId="8" fillId="47" borderId="40" xfId="0" applyFont="1" applyFill="1" applyBorder="1" applyAlignment="1">
      <alignment horizontal="center" vertical="top" wrapText="1"/>
    </xf>
    <xf numFmtId="0" fontId="20" fillId="0" borderId="0" xfId="0" applyFont="1" applyFill="1" applyBorder="1" applyAlignment="1">
      <alignment vertical="center"/>
    </xf>
    <xf numFmtId="0" fontId="0" fillId="0" borderId="0" xfId="0" applyFont="1" applyFill="1" applyAlignment="1">
      <alignment vertical="center" shrinkToFit="1"/>
    </xf>
    <xf numFmtId="0" fontId="0" fillId="0" borderId="40" xfId="0" quotePrefix="1" applyFont="1" applyFill="1" applyBorder="1" applyAlignment="1">
      <alignment horizontal="center" vertical="center"/>
    </xf>
    <xf numFmtId="0" fontId="8" fillId="0" borderId="40" xfId="0" applyFont="1" applyFill="1" applyBorder="1" applyAlignment="1" applyProtection="1">
      <alignment horizontal="left" vertical="center" shrinkToFit="1"/>
    </xf>
    <xf numFmtId="0" fontId="0" fillId="0" borderId="60" xfId="0" applyFont="1" applyFill="1" applyBorder="1">
      <alignment vertical="center"/>
    </xf>
    <xf numFmtId="0" fontId="8" fillId="0" borderId="40" xfId="0" applyFont="1" applyFill="1" applyBorder="1" applyAlignment="1" applyProtection="1">
      <alignment horizontal="center" vertical="center" shrinkToFit="1"/>
    </xf>
    <xf numFmtId="0" fontId="0" fillId="47" borderId="0" xfId="0" applyFill="1" applyAlignment="1">
      <alignment vertical="center" shrinkToFit="1"/>
    </xf>
    <xf numFmtId="0" fontId="8" fillId="47" borderId="40" xfId="0" applyFont="1" applyFill="1" applyBorder="1" applyAlignment="1">
      <alignment horizontal="left" vertical="center" wrapText="1"/>
    </xf>
    <xf numFmtId="0" fontId="0" fillId="47" borderId="60" xfId="0" applyFont="1" applyFill="1" applyBorder="1">
      <alignment vertical="center"/>
    </xf>
    <xf numFmtId="0" fontId="8" fillId="0" borderId="40" xfId="0" applyFont="1" applyFill="1" applyBorder="1" applyAlignment="1">
      <alignment horizontal="left" vertical="center" wrapText="1"/>
    </xf>
    <xf numFmtId="0" fontId="8" fillId="0" borderId="60" xfId="0" applyFont="1" applyFill="1" applyBorder="1" applyAlignment="1">
      <alignment horizontal="center" vertical="top" wrapText="1"/>
    </xf>
    <xf numFmtId="0" fontId="8" fillId="0" borderId="40" xfId="0" applyFont="1" applyFill="1" applyBorder="1" applyAlignment="1">
      <alignment horizontal="center" vertical="top" wrapText="1"/>
    </xf>
    <xf numFmtId="0" fontId="5" fillId="0" borderId="0" xfId="1" applyFont="1" applyFill="1" applyBorder="1" applyAlignment="1">
      <alignment vertical="center"/>
    </xf>
    <xf numFmtId="0" fontId="0" fillId="0" borderId="0" xfId="0" applyFont="1" applyFill="1" applyAlignment="1">
      <alignment horizontal="left" vertical="top" wrapText="1"/>
    </xf>
    <xf numFmtId="0" fontId="5" fillId="47" borderId="0" xfId="1" applyFont="1" applyFill="1" applyBorder="1" applyAlignment="1">
      <alignment vertical="center"/>
    </xf>
    <xf numFmtId="0" fontId="3" fillId="47" borderId="0" xfId="1" applyFont="1" applyFill="1" applyBorder="1" applyAlignment="1">
      <alignment vertical="center" shrinkToFit="1"/>
    </xf>
    <xf numFmtId="0" fontId="20" fillId="47" borderId="0" xfId="0" applyFont="1" applyFill="1" applyBorder="1" applyAlignment="1">
      <alignment horizontal="left" vertical="center"/>
    </xf>
    <xf numFmtId="178" fontId="4" fillId="0" borderId="40" xfId="1" applyNumberFormat="1" applyFont="1" applyFill="1" applyBorder="1" applyAlignment="1" applyProtection="1">
      <alignment horizontal="left" vertical="center"/>
    </xf>
    <xf numFmtId="178" fontId="4" fillId="47" borderId="40" xfId="1" applyNumberFormat="1" applyFont="1" applyFill="1" applyBorder="1" applyAlignment="1" applyProtection="1">
      <alignment horizontal="left" vertical="center"/>
    </xf>
    <xf numFmtId="0" fontId="0" fillId="8" borderId="0" xfId="0" applyFont="1" applyFill="1">
      <alignment vertical="center"/>
    </xf>
    <xf numFmtId="0" fontId="0" fillId="8" borderId="0" xfId="0" applyFont="1" applyFill="1" applyAlignment="1">
      <alignment horizontal="left" vertical="center"/>
    </xf>
    <xf numFmtId="0" fontId="0" fillId="8" borderId="40" xfId="0" applyFont="1" applyFill="1" applyBorder="1" applyAlignment="1">
      <alignment horizontal="center" vertical="center"/>
    </xf>
    <xf numFmtId="0" fontId="0" fillId="8" borderId="0" xfId="0" applyFill="1">
      <alignment vertical="center"/>
    </xf>
    <xf numFmtId="0" fontId="20" fillId="47" borderId="0" xfId="0" applyFont="1" applyFill="1">
      <alignment vertical="center"/>
    </xf>
    <xf numFmtId="0" fontId="20" fillId="0" borderId="0" xfId="0" applyFont="1" applyFill="1" applyBorder="1" applyAlignment="1" applyProtection="1">
      <alignment vertical="center" shrinkToFit="1"/>
    </xf>
    <xf numFmtId="0" fontId="20" fillId="0" borderId="0" xfId="0" applyFont="1" applyFill="1">
      <alignment vertical="center"/>
    </xf>
    <xf numFmtId="178" fontId="8" fillId="0" borderId="40" xfId="0" applyNumberFormat="1" applyFont="1" applyFill="1" applyBorder="1" applyAlignment="1" applyProtection="1">
      <alignment horizontal="left" vertical="center"/>
    </xf>
    <xf numFmtId="0" fontId="46" fillId="0" borderId="0" xfId="0" applyFont="1" applyFill="1" applyBorder="1" applyAlignment="1">
      <alignment vertical="center"/>
    </xf>
    <xf numFmtId="0" fontId="0" fillId="0" borderId="0" xfId="0" applyFill="1" applyAlignment="1">
      <alignment horizontal="left" vertical="center"/>
    </xf>
    <xf numFmtId="0" fontId="0" fillId="0" borderId="61" xfId="0" applyFill="1" applyBorder="1" applyAlignment="1">
      <alignment horizontal="left" vertical="top" wrapText="1"/>
    </xf>
    <xf numFmtId="0" fontId="47" fillId="0" borderId="61" xfId="0" applyFont="1" applyFill="1" applyBorder="1" applyAlignment="1">
      <alignment horizontal="left" vertical="center"/>
    </xf>
    <xf numFmtId="0" fontId="0" fillId="0" borderId="62" xfId="0" applyFont="1" applyFill="1" applyBorder="1">
      <alignment vertical="center"/>
    </xf>
    <xf numFmtId="0" fontId="46" fillId="0" borderId="62" xfId="0" applyFont="1" applyFill="1" applyBorder="1" applyAlignment="1">
      <alignment vertical="center"/>
    </xf>
    <xf numFmtId="0" fontId="0" fillId="0" borderId="62" xfId="0" applyFont="1" applyFill="1" applyBorder="1" applyAlignment="1">
      <alignment vertical="center" shrinkToFit="1"/>
    </xf>
    <xf numFmtId="0" fontId="0" fillId="0" borderId="62" xfId="0" applyBorder="1" applyAlignment="1">
      <alignment horizontal="left" vertical="center"/>
    </xf>
    <xf numFmtId="0" fontId="0" fillId="0" borderId="62" xfId="0" applyBorder="1" applyAlignment="1">
      <alignment horizontal="left" vertical="top" wrapText="1"/>
    </xf>
    <xf numFmtId="0" fontId="0" fillId="0" borderId="62" xfId="0" applyBorder="1">
      <alignment vertical="center"/>
    </xf>
    <xf numFmtId="0" fontId="14" fillId="0" borderId="63" xfId="0" applyFont="1" applyBorder="1" applyAlignment="1">
      <alignment vertical="center" wrapText="1" shrinkToFit="1"/>
    </xf>
    <xf numFmtId="0" fontId="0" fillId="0" borderId="63" xfId="0" applyBorder="1" applyAlignment="1">
      <alignment vertical="center" shrinkToFit="1"/>
    </xf>
    <xf numFmtId="0" fontId="0" fillId="0" borderId="63" xfId="0" applyBorder="1">
      <alignment vertical="center"/>
    </xf>
    <xf numFmtId="0" fontId="14" fillId="0" borderId="23" xfId="0" applyFont="1" applyBorder="1" applyAlignment="1">
      <alignment vertical="center" wrapText="1" shrinkToFit="1"/>
    </xf>
    <xf numFmtId="0" fontId="0" fillId="0" borderId="23" xfId="0" applyBorder="1" applyAlignment="1">
      <alignment vertical="center" shrinkToFit="1"/>
    </xf>
    <xf numFmtId="0" fontId="0" fillId="0" borderId="23" xfId="0" applyBorder="1">
      <alignment vertical="center"/>
    </xf>
    <xf numFmtId="0" fontId="48" fillId="0" borderId="23" xfId="0" applyFont="1" applyBorder="1" applyAlignment="1">
      <alignment vertical="top"/>
    </xf>
    <xf numFmtId="0" fontId="39" fillId="0" borderId="23" xfId="0" applyFont="1" applyBorder="1" applyAlignment="1">
      <alignment vertical="center" wrapText="1" shrinkToFit="1"/>
    </xf>
    <xf numFmtId="0" fontId="39" fillId="0" borderId="23" xfId="0" applyFont="1" applyBorder="1" applyAlignment="1">
      <alignment vertical="center" shrinkToFit="1"/>
    </xf>
    <xf numFmtId="0" fontId="48" fillId="0" borderId="23" xfId="0" applyFont="1" applyBorder="1" applyAlignment="1">
      <alignment horizontal="left" vertical="top"/>
    </xf>
    <xf numFmtId="0" fontId="39" fillId="0" borderId="64" xfId="0" applyFont="1" applyBorder="1" applyAlignment="1">
      <alignment vertical="center" shrinkToFit="1"/>
    </xf>
    <xf numFmtId="0" fontId="0" fillId="0" borderId="64" xfId="0" applyBorder="1" applyAlignment="1">
      <alignment vertical="center" shrinkToFit="1"/>
    </xf>
    <xf numFmtId="0" fontId="48" fillId="0" borderId="64" xfId="0" applyFont="1" applyBorder="1" applyAlignment="1">
      <alignment vertical="top"/>
    </xf>
    <xf numFmtId="0" fontId="48" fillId="0" borderId="64" xfId="0" applyFont="1" applyFill="1" applyBorder="1" applyAlignment="1">
      <alignment horizontal="left" wrapText="1"/>
    </xf>
    <xf numFmtId="0" fontId="48" fillId="6" borderId="65" xfId="0" applyFont="1" applyFill="1" applyBorder="1" applyAlignment="1">
      <alignment horizontal="left" wrapText="1"/>
    </xf>
    <xf numFmtId="0" fontId="14" fillId="0" borderId="66" xfId="0" applyFont="1" applyBorder="1" applyAlignment="1">
      <alignment horizontal="left" vertical="center"/>
    </xf>
    <xf numFmtId="0" fontId="0" fillId="0" borderId="65" xfId="0" applyBorder="1" applyAlignment="1">
      <alignment vertical="center" shrinkToFit="1"/>
    </xf>
    <xf numFmtId="0" fontId="48" fillId="0" borderId="65" xfId="0" applyFont="1" applyBorder="1" applyAlignment="1">
      <alignment horizontal="left" vertical="top"/>
    </xf>
    <xf numFmtId="0" fontId="48" fillId="0" borderId="65" xfId="0" applyFont="1" applyBorder="1" applyAlignment="1">
      <alignment horizontal="left"/>
    </xf>
    <xf numFmtId="0" fontId="0" fillId="0" borderId="66" xfId="0" applyBorder="1" applyAlignment="1">
      <alignment vertical="center" shrinkToFit="1"/>
    </xf>
    <xf numFmtId="0" fontId="48" fillId="0" borderId="66" xfId="0" applyFont="1" applyBorder="1" applyAlignment="1">
      <alignment horizontal="left" vertical="top"/>
    </xf>
    <xf numFmtId="0" fontId="48" fillId="0" borderId="66" xfId="0" applyFont="1" applyBorder="1" applyAlignment="1">
      <alignment horizontal="left"/>
    </xf>
    <xf numFmtId="0" fontId="14" fillId="0" borderId="67" xfId="0" applyFont="1" applyBorder="1" applyAlignment="1">
      <alignment horizontal="left" vertical="center"/>
    </xf>
    <xf numFmtId="0" fontId="0" fillId="0" borderId="67" xfId="0" applyBorder="1" applyAlignment="1">
      <alignment vertical="center" shrinkToFit="1"/>
    </xf>
    <xf numFmtId="0" fontId="48" fillId="0" borderId="67" xfId="0" applyFont="1" applyBorder="1" applyAlignment="1">
      <alignment horizontal="left" vertical="top"/>
    </xf>
    <xf numFmtId="0" fontId="48" fillId="0" borderId="67" xfId="0" applyFont="1" applyBorder="1" applyAlignment="1">
      <alignment horizontal="left"/>
    </xf>
    <xf numFmtId="0" fontId="14" fillId="0" borderId="0" xfId="0" applyFont="1" applyFill="1" applyBorder="1" applyAlignment="1">
      <alignment horizontal="left" vertical="center"/>
    </xf>
    <xf numFmtId="0" fontId="48" fillId="0" borderId="0" xfId="0" applyFont="1" applyAlignment="1">
      <alignment vertical="top"/>
    </xf>
    <xf numFmtId="0" fontId="48" fillId="0" borderId="0" xfId="0" applyFont="1" applyAlignment="1"/>
    <xf numFmtId="0" fontId="39" fillId="0" borderId="23" xfId="0" applyFont="1" applyFill="1" applyBorder="1" applyAlignment="1">
      <alignment vertical="center" shrinkToFit="1"/>
    </xf>
    <xf numFmtId="0" fontId="0" fillId="0" borderId="23" xfId="0" applyBorder="1" applyAlignment="1">
      <alignment vertical="center" wrapText="1"/>
    </xf>
    <xf numFmtId="0" fontId="39" fillId="0" borderId="0" xfId="0" applyFont="1" applyFill="1" applyBorder="1" applyAlignment="1">
      <alignment vertical="center" shrinkToFit="1"/>
    </xf>
    <xf numFmtId="0" fontId="39" fillId="0" borderId="63" xfId="0" applyFont="1" applyFill="1" applyBorder="1" applyAlignment="1">
      <alignment vertical="center" shrinkToFit="1"/>
    </xf>
    <xf numFmtId="0" fontId="48" fillId="0" borderId="63" xfId="0" applyFont="1" applyBorder="1" applyAlignment="1">
      <alignment vertical="top"/>
    </xf>
    <xf numFmtId="0" fontId="14" fillId="0" borderId="23" xfId="0" applyFont="1" applyBorder="1" applyAlignment="1">
      <alignment horizontal="left" vertical="center"/>
    </xf>
    <xf numFmtId="0" fontId="0" fillId="0" borderId="23" xfId="0" applyBorder="1" applyAlignment="1">
      <alignment horizontal="right" vertical="center"/>
    </xf>
    <xf numFmtId="0" fontId="0" fillId="6" borderId="23" xfId="0" applyFill="1" applyBorder="1" applyAlignment="1">
      <alignment horizontal="center" vertical="center"/>
    </xf>
    <xf numFmtId="0" fontId="49" fillId="0" borderId="23" xfId="0" applyFont="1" applyFill="1" applyBorder="1" applyAlignment="1">
      <alignment horizontal="left" vertical="top"/>
    </xf>
    <xf numFmtId="0" fontId="49" fillId="6" borderId="23" xfId="0" applyFont="1" applyFill="1" applyBorder="1" applyAlignment="1">
      <alignment horizontal="left" vertical="top" wrapText="1"/>
    </xf>
    <xf numFmtId="0" fontId="0" fillId="6" borderId="23" xfId="0" applyFill="1" applyBorder="1">
      <alignment vertical="center"/>
    </xf>
    <xf numFmtId="0" fontId="0" fillId="0" borderId="65" xfId="0" applyBorder="1">
      <alignment vertical="center"/>
    </xf>
    <xf numFmtId="0" fontId="0" fillId="0" borderId="66" xfId="0" applyBorder="1">
      <alignment vertical="center"/>
    </xf>
    <xf numFmtId="0" fontId="12" fillId="0" borderId="23" xfId="0" applyFont="1" applyBorder="1" applyAlignment="1">
      <alignment vertical="center" shrinkToFit="1"/>
    </xf>
    <xf numFmtId="0" fontId="0" fillId="0" borderId="68" xfId="0" applyBorder="1">
      <alignment vertical="center"/>
    </xf>
    <xf numFmtId="0" fontId="12" fillId="0" borderId="64" xfId="0" applyFont="1" applyBorder="1" applyAlignment="1">
      <alignment vertical="center" shrinkToFit="1"/>
    </xf>
    <xf numFmtId="0" fontId="13" fillId="0" borderId="64" xfId="0" applyFont="1" applyBorder="1" applyAlignment="1">
      <alignment vertical="center" shrinkToFit="1"/>
    </xf>
    <xf numFmtId="0" fontId="0" fillId="0" borderId="64" xfId="0" applyBorder="1">
      <alignment vertical="center"/>
    </xf>
    <xf numFmtId="0" fontId="0" fillId="0" borderId="69" xfId="0" applyBorder="1">
      <alignment vertical="center"/>
    </xf>
    <xf numFmtId="0" fontId="12" fillId="0" borderId="69" xfId="0" applyFont="1" applyBorder="1" applyAlignment="1">
      <alignment vertical="center" wrapText="1" shrinkToFit="1"/>
    </xf>
    <xf numFmtId="0" fontId="13" fillId="0" borderId="69" xfId="0" applyFont="1" applyBorder="1" applyAlignment="1">
      <alignment vertical="center" shrinkToFit="1"/>
    </xf>
    <xf numFmtId="0" fontId="14" fillId="0" borderId="23" xfId="0" applyFont="1" applyBorder="1" applyAlignment="1">
      <alignment vertical="center" wrapText="1"/>
    </xf>
    <xf numFmtId="0" fontId="14" fillId="0" borderId="70" xfId="0" applyFont="1" applyFill="1" applyBorder="1">
      <alignment vertical="center"/>
    </xf>
    <xf numFmtId="0" fontId="14" fillId="0" borderId="0" xfId="0" applyFont="1" applyAlignment="1">
      <alignment vertical="center" wrapText="1"/>
    </xf>
    <xf numFmtId="0" fontId="0" fillId="0" borderId="0" xfId="0" applyFill="1" applyAlignment="1">
      <alignment vertical="center" shrinkToFit="1"/>
    </xf>
    <xf numFmtId="0" fontId="48" fillId="0" borderId="0" xfId="0" applyFont="1" applyFill="1" applyAlignment="1">
      <alignment horizontal="left" vertical="top" wrapText="1"/>
    </xf>
    <xf numFmtId="0" fontId="13" fillId="0" borderId="0" xfId="0" applyFont="1" applyFill="1" applyBorder="1" applyAlignment="1">
      <alignment vertical="center" shrinkToFit="1"/>
    </xf>
    <xf numFmtId="0" fontId="7" fillId="0" borderId="0" xfId="0" applyFont="1" applyFill="1" applyBorder="1" applyAlignment="1">
      <alignment vertical="center"/>
    </xf>
    <xf numFmtId="49" fontId="8" fillId="11" borderId="24" xfId="0" applyNumberFormat="1" applyFont="1" applyFill="1" applyBorder="1" applyAlignment="1" applyProtection="1">
      <alignment vertical="center"/>
      <protection locked="0"/>
    </xf>
    <xf numFmtId="0" fontId="8" fillId="10" borderId="1" xfId="0" applyFont="1" applyFill="1" applyBorder="1" applyAlignment="1" applyProtection="1">
      <alignment vertical="center" shrinkToFit="1"/>
      <protection locked="0"/>
    </xf>
    <xf numFmtId="49" fontId="8" fillId="11" borderId="40" xfId="0" applyNumberFormat="1" applyFont="1" applyFill="1" applyBorder="1" applyAlignment="1" applyProtection="1">
      <alignment vertical="center" shrinkToFit="1"/>
      <protection locked="0"/>
    </xf>
    <xf numFmtId="22" fontId="8" fillId="0" borderId="0" xfId="0" applyNumberFormat="1" applyFont="1" applyFill="1" applyBorder="1" applyAlignment="1">
      <alignment vertical="center"/>
    </xf>
    <xf numFmtId="0" fontId="8" fillId="11" borderId="40" xfId="0" applyNumberFormat="1" applyFont="1" applyFill="1" applyBorder="1" applyAlignment="1" applyProtection="1">
      <alignment vertical="center"/>
      <protection locked="0"/>
    </xf>
    <xf numFmtId="0" fontId="8" fillId="10" borderId="1" xfId="0" applyFont="1" applyFill="1" applyBorder="1" applyAlignment="1" applyProtection="1">
      <alignment horizontal="left" vertical="center"/>
      <protection locked="0"/>
    </xf>
    <xf numFmtId="176" fontId="8" fillId="4" borderId="0" xfId="0" applyNumberFormat="1" applyFont="1" applyFill="1" applyBorder="1" applyAlignment="1">
      <alignment horizontal="center" vertical="center" shrinkToFit="1"/>
    </xf>
    <xf numFmtId="0" fontId="8" fillId="0" borderId="58" xfId="0" applyFont="1" applyFill="1" applyBorder="1" applyAlignment="1" applyProtection="1">
      <alignment horizontal="left" vertical="center"/>
      <protection locked="0"/>
    </xf>
    <xf numFmtId="0" fontId="8" fillId="5" borderId="1" xfId="0" applyFont="1" applyFill="1" applyBorder="1" applyAlignment="1" applyProtection="1">
      <alignment horizontal="left" vertical="center" shrinkToFit="1"/>
      <protection locked="0"/>
    </xf>
    <xf numFmtId="0" fontId="8" fillId="0" borderId="40" xfId="0" applyFont="1" applyFill="1" applyBorder="1" applyAlignment="1">
      <alignment vertical="center"/>
    </xf>
    <xf numFmtId="0" fontId="8" fillId="49" borderId="40" xfId="0" applyFont="1" applyFill="1" applyBorder="1" applyAlignment="1" applyProtection="1">
      <alignment vertical="center"/>
      <protection locked="0"/>
    </xf>
    <xf numFmtId="0" fontId="9" fillId="4" borderId="0" xfId="0" applyFont="1" applyFill="1" applyBorder="1" applyAlignment="1">
      <alignment horizontal="right" vertical="center"/>
    </xf>
    <xf numFmtId="0" fontId="8" fillId="49" borderId="25" xfId="0" applyFont="1" applyFill="1" applyBorder="1" applyAlignment="1" applyProtection="1">
      <alignment vertical="center"/>
      <protection locked="0"/>
    </xf>
    <xf numFmtId="0" fontId="8" fillId="11" borderId="24" xfId="0" applyFont="1" applyFill="1" applyBorder="1" applyAlignment="1">
      <alignment vertical="center"/>
    </xf>
    <xf numFmtId="0" fontId="8" fillId="0" borderId="1" xfId="0" applyFont="1" applyFill="1" applyBorder="1" applyAlignment="1" applyProtection="1">
      <alignment vertical="center" shrinkToFit="1"/>
      <protection locked="0"/>
    </xf>
    <xf numFmtId="0" fontId="8" fillId="11" borderId="40" xfId="0" applyFont="1" applyFill="1" applyBorder="1" applyAlignment="1">
      <alignment vertical="center"/>
    </xf>
    <xf numFmtId="20" fontId="8" fillId="0" borderId="1" xfId="0" applyNumberFormat="1" applyFont="1" applyFill="1" applyBorder="1" applyAlignment="1" applyProtection="1">
      <alignment horizontal="center" vertical="center"/>
      <protection locked="0"/>
    </xf>
    <xf numFmtId="0" fontId="8" fillId="11" borderId="25" xfId="0" applyFont="1" applyFill="1" applyBorder="1" applyAlignment="1">
      <alignment vertical="center"/>
    </xf>
    <xf numFmtId="0" fontId="8" fillId="0" borderId="1" xfId="0" applyFont="1" applyFill="1" applyBorder="1" applyAlignment="1">
      <alignment horizontal="left" vertical="center"/>
    </xf>
    <xf numFmtId="0" fontId="8" fillId="0" borderId="1" xfId="0" applyNumberFormat="1" applyFont="1" applyFill="1" applyBorder="1" applyAlignment="1" applyProtection="1">
      <alignment vertical="center" shrinkToFit="1"/>
      <protection locked="0"/>
    </xf>
    <xf numFmtId="0" fontId="8" fillId="0" borderId="1" xfId="0" applyFont="1" applyFill="1" applyBorder="1" applyAlignment="1" applyProtection="1">
      <alignment horizontal="right" vertical="center"/>
      <protection locked="0"/>
    </xf>
    <xf numFmtId="0" fontId="8" fillId="46" borderId="1" xfId="0" applyFont="1" applyFill="1" applyBorder="1" applyAlignment="1">
      <alignment horizontal="center" vertical="center"/>
    </xf>
    <xf numFmtId="0" fontId="8" fillId="46" borderId="1" xfId="0" applyFont="1" applyFill="1" applyBorder="1" applyAlignment="1">
      <alignment horizontal="center" vertical="center" shrinkToFit="1"/>
    </xf>
    <xf numFmtId="0" fontId="8" fillId="50" borderId="1" xfId="0" applyFont="1" applyFill="1" applyBorder="1" applyAlignment="1" applyProtection="1">
      <alignment horizontal="left" vertical="center" shrinkToFit="1"/>
      <protection locked="0"/>
    </xf>
    <xf numFmtId="0" fontId="8" fillId="50" borderId="1" xfId="0" applyFont="1" applyFill="1" applyBorder="1" applyAlignment="1" applyProtection="1">
      <alignment horizontal="center" vertical="center" shrinkToFit="1"/>
      <protection locked="0"/>
    </xf>
    <xf numFmtId="0" fontId="8" fillId="50" borderId="11" xfId="0" applyFont="1" applyFill="1" applyBorder="1" applyAlignment="1" applyProtection="1">
      <alignment horizontal="left" vertical="center" shrinkToFit="1"/>
      <protection locked="0"/>
    </xf>
    <xf numFmtId="0" fontId="8" fillId="50" borderId="1" xfId="0" applyFont="1" applyFill="1" applyBorder="1" applyAlignment="1">
      <alignment horizontal="center" vertical="center"/>
    </xf>
    <xf numFmtId="0" fontId="8" fillId="8" borderId="1" xfId="0" applyFont="1" applyFill="1" applyBorder="1" applyAlignment="1" applyProtection="1">
      <alignment horizontal="left" vertical="center" shrinkToFit="1"/>
      <protection locked="0"/>
    </xf>
    <xf numFmtId="0" fontId="8" fillId="8" borderId="1" xfId="0" applyFont="1" applyFill="1" applyBorder="1" applyAlignment="1" applyProtection="1">
      <alignment horizontal="center" vertical="center" shrinkToFit="1"/>
      <protection locked="0"/>
    </xf>
    <xf numFmtId="0" fontId="8" fillId="8" borderId="11" xfId="0" applyFont="1" applyFill="1" applyBorder="1" applyAlignment="1" applyProtection="1">
      <alignment horizontal="left" vertical="center" shrinkToFit="1"/>
      <protection locked="0"/>
    </xf>
    <xf numFmtId="0" fontId="8" fillId="0" borderId="1" xfId="0" applyFont="1" applyFill="1" applyBorder="1" applyAlignment="1">
      <alignment horizontal="center" vertical="center"/>
    </xf>
    <xf numFmtId="0" fontId="50" fillId="4" borderId="0" xfId="0" applyFont="1" applyFill="1" applyBorder="1" applyAlignment="1">
      <alignment vertical="center"/>
    </xf>
    <xf numFmtId="0" fontId="46" fillId="4" borderId="0" xfId="0" applyFont="1" applyFill="1" applyBorder="1" applyAlignment="1">
      <alignment horizontal="right" vertical="center"/>
    </xf>
    <xf numFmtId="0" fontId="46" fillId="4" borderId="1" xfId="0" applyFont="1" applyFill="1" applyBorder="1" applyAlignment="1">
      <alignment horizontal="center" vertical="center"/>
    </xf>
    <xf numFmtId="0" fontId="51" fillId="4" borderId="0" xfId="0" applyFont="1" applyFill="1" applyBorder="1" applyAlignment="1" applyProtection="1">
      <alignment vertical="center"/>
      <protection locked="0"/>
    </xf>
    <xf numFmtId="49" fontId="0" fillId="0" borderId="0" xfId="0" applyNumberFormat="1" applyAlignment="1">
      <alignment vertical="center" shrinkToFit="1"/>
    </xf>
    <xf numFmtId="0" fontId="41" fillId="0" borderId="0" xfId="0" applyFont="1" applyAlignment="1">
      <alignment vertical="center" shrinkToFit="1"/>
    </xf>
    <xf numFmtId="185" fontId="0" fillId="11" borderId="0" xfId="0" applyNumberFormat="1" applyFill="1" applyAlignment="1">
      <alignment vertical="center" shrinkToFit="1"/>
    </xf>
    <xf numFmtId="0" fontId="8" fillId="4" borderId="1" xfId="0" applyFont="1" applyFill="1" applyBorder="1" applyAlignment="1">
      <alignment horizontal="left" vertical="center" shrinkToFit="1"/>
    </xf>
    <xf numFmtId="0" fontId="8" fillId="0" borderId="1" xfId="0" applyFont="1" applyBorder="1" applyAlignment="1" applyProtection="1">
      <alignment horizontal="center" vertical="center" shrinkToFit="1"/>
      <protection locked="0"/>
    </xf>
    <xf numFmtId="0" fontId="8" fillId="11" borderId="0" xfId="0" applyNumberFormat="1" applyFont="1" applyFill="1" applyBorder="1" applyAlignment="1" applyProtection="1">
      <alignment vertical="center"/>
      <protection locked="0"/>
    </xf>
    <xf numFmtId="0" fontId="15" fillId="11" borderId="1" xfId="2" applyFont="1" applyFill="1" applyBorder="1">
      <alignment vertical="center"/>
    </xf>
    <xf numFmtId="177" fontId="0" fillId="0" borderId="0" xfId="0" applyNumberFormat="1" applyFill="1" applyAlignment="1">
      <alignment vertical="center" shrinkToFit="1"/>
    </xf>
    <xf numFmtId="186" fontId="0" fillId="0" borderId="0" xfId="0" applyNumberFormat="1" applyFill="1" applyAlignment="1">
      <alignment vertical="center" shrinkToFit="1"/>
    </xf>
    <xf numFmtId="49" fontId="8" fillId="0" borderId="1" xfId="0" quotePrefix="1" applyNumberFormat="1" applyFont="1" applyFill="1" applyBorder="1" applyAlignment="1" applyProtection="1">
      <alignment horizontal="left" vertical="center" shrinkToFit="1"/>
      <protection locked="0"/>
    </xf>
    <xf numFmtId="49" fontId="0" fillId="0" borderId="0" xfId="0" applyNumberFormat="1" applyFill="1" applyBorder="1" applyAlignment="1">
      <alignment vertical="center" shrinkToFit="1"/>
    </xf>
    <xf numFmtId="0" fontId="0" fillId="0" borderId="0" xfId="0" applyAlignment="1">
      <alignment horizontal="right" vertical="center" shrinkToFit="1"/>
    </xf>
    <xf numFmtId="0" fontId="8" fillId="0" borderId="1" xfId="0" applyNumberFormat="1" applyFont="1" applyFill="1" applyBorder="1" applyAlignment="1" applyProtection="1">
      <alignment horizontal="center" vertical="center" shrinkToFit="1"/>
      <protection locked="0"/>
    </xf>
    <xf numFmtId="14" fontId="0" fillId="11" borderId="0" xfId="0" applyNumberFormat="1" applyFill="1" applyAlignment="1">
      <alignment vertical="center" shrinkToFit="1"/>
    </xf>
    <xf numFmtId="0" fontId="0" fillId="11" borderId="55" xfId="0" applyFill="1" applyBorder="1" applyAlignment="1">
      <alignment vertical="center" shrinkToFit="1"/>
    </xf>
    <xf numFmtId="49" fontId="8" fillId="50" borderId="1" xfId="0" applyNumberFormat="1" applyFont="1" applyFill="1" applyBorder="1" applyAlignment="1" applyProtection="1">
      <alignment horizontal="left" vertical="center" shrinkToFit="1"/>
      <protection locked="0"/>
    </xf>
    <xf numFmtId="49" fontId="8" fillId="50" borderId="1" xfId="0" applyNumberFormat="1" applyFont="1" applyFill="1" applyBorder="1" applyAlignment="1" applyProtection="1">
      <alignment horizontal="center" vertical="center" shrinkToFit="1"/>
      <protection locked="0"/>
    </xf>
    <xf numFmtId="49" fontId="8" fillId="8" borderId="1" xfId="0" applyNumberFormat="1" applyFont="1" applyFill="1" applyBorder="1" applyAlignment="1" applyProtection="1">
      <alignment horizontal="left" vertical="center" shrinkToFit="1"/>
      <protection locked="0"/>
    </xf>
    <xf numFmtId="49" fontId="8" fillId="8" borderId="1" xfId="0" applyNumberFormat="1" applyFont="1" applyFill="1" applyBorder="1" applyAlignment="1" applyProtection="1">
      <alignment horizontal="center" vertical="center" shrinkToFit="1"/>
      <protection locked="0"/>
    </xf>
    <xf numFmtId="0" fontId="46" fillId="4" borderId="1" xfId="0" applyFont="1" applyFill="1" applyBorder="1" applyAlignment="1" applyProtection="1">
      <alignment horizontal="center" vertical="center"/>
    </xf>
    <xf numFmtId="0" fontId="46" fillId="4" borderId="0" xfId="0" applyFont="1" applyFill="1" applyBorder="1" applyAlignment="1" applyProtection="1">
      <alignment horizontal="right" vertical="center"/>
    </xf>
    <xf numFmtId="0" fontId="9" fillId="4" borderId="0" xfId="0" applyFont="1" applyFill="1" applyBorder="1" applyAlignment="1" applyProtection="1">
      <alignment vertical="center"/>
    </xf>
    <xf numFmtId="49" fontId="8" fillId="4" borderId="1" xfId="0" quotePrefix="1" applyNumberFormat="1" applyFont="1" applyFill="1" applyBorder="1" applyAlignment="1" applyProtection="1">
      <alignment horizontal="left" vertical="center" shrinkToFit="1"/>
    </xf>
    <xf numFmtId="20" fontId="8" fillId="4" borderId="1" xfId="0" applyNumberFormat="1" applyFont="1" applyFill="1" applyBorder="1" applyAlignment="1" applyProtection="1">
      <alignment horizontal="center" vertical="center"/>
    </xf>
    <xf numFmtId="0" fontId="8" fillId="4" borderId="0" xfId="0" applyFont="1" applyFill="1" applyBorder="1" applyAlignment="1" applyProtection="1">
      <alignment horizontal="left" vertical="center"/>
    </xf>
    <xf numFmtId="0" fontId="8" fillId="4" borderId="1" xfId="0" applyFont="1" applyFill="1" applyBorder="1" applyAlignment="1" applyProtection="1">
      <alignment horizontal="left" vertical="center" shrinkToFit="1"/>
    </xf>
    <xf numFmtId="0" fontId="51" fillId="4" borderId="0" xfId="0" applyFont="1" applyFill="1" applyBorder="1" applyAlignment="1" applyProtection="1">
      <alignment vertical="center"/>
    </xf>
    <xf numFmtId="0" fontId="8" fillId="4" borderId="1" xfId="0" applyFont="1" applyFill="1" applyBorder="1" applyAlignment="1" applyProtection="1">
      <alignment horizontal="left" vertical="center"/>
    </xf>
    <xf numFmtId="0" fontId="9" fillId="4" borderId="0" xfId="0" applyFont="1" applyFill="1" applyBorder="1" applyAlignment="1" applyProtection="1">
      <alignment horizontal="right" vertical="center"/>
    </xf>
    <xf numFmtId="0" fontId="8" fillId="4" borderId="1" xfId="0" applyNumberFormat="1" applyFont="1" applyFill="1" applyBorder="1" applyAlignment="1" applyProtection="1">
      <alignment horizontal="center" vertical="center" shrinkToFit="1"/>
    </xf>
    <xf numFmtId="49" fontId="8" fillId="4" borderId="1" xfId="0" applyNumberFormat="1" applyFont="1" applyFill="1" applyBorder="1" applyAlignment="1" applyProtection="1">
      <alignment horizontal="left" vertical="center" shrinkToFit="1"/>
    </xf>
    <xf numFmtId="0" fontId="48" fillId="0" borderId="1" xfId="0" applyFont="1" applyBorder="1">
      <alignment vertical="center"/>
    </xf>
    <xf numFmtId="0" fontId="48" fillId="0" borderId="0" xfId="0" applyFont="1">
      <alignment vertical="center"/>
    </xf>
    <xf numFmtId="0" fontId="0" fillId="0" borderId="0" xfId="0" applyAlignment="1">
      <alignment vertical="center" wrapText="1"/>
    </xf>
    <xf numFmtId="0" fontId="12" fillId="0" borderId="0" xfId="0" applyFont="1" applyAlignment="1">
      <alignment vertical="center" shrinkToFit="1"/>
    </xf>
    <xf numFmtId="0" fontId="13" fillId="0" borderId="0" xfId="0" applyFont="1" applyAlignment="1">
      <alignment horizontal="right" vertical="center"/>
    </xf>
    <xf numFmtId="0" fontId="13" fillId="0" borderId="0" xfId="0" applyFont="1" applyAlignment="1">
      <alignment horizontal="right" vertical="center" shrinkToFit="1"/>
    </xf>
    <xf numFmtId="0" fontId="54" fillId="0" borderId="7" xfId="0" applyFont="1" applyBorder="1" applyAlignment="1">
      <alignment horizontal="right" shrinkToFit="1"/>
    </xf>
    <xf numFmtId="0" fontId="8" fillId="0" borderId="0" xfId="0" quotePrefix="1" applyFont="1" applyBorder="1" applyAlignment="1">
      <alignment horizontal="right" vertical="center"/>
    </xf>
    <xf numFmtId="0" fontId="8" fillId="0" borderId="0" xfId="0" applyFont="1" applyFill="1" applyBorder="1" applyAlignment="1">
      <alignment horizontal="right"/>
    </xf>
    <xf numFmtId="0" fontId="8" fillId="0" borderId="24" xfId="0" applyFont="1" applyFill="1" applyBorder="1" applyAlignment="1">
      <alignment vertical="center"/>
    </xf>
    <xf numFmtId="0" fontId="8" fillId="0" borderId="25" xfId="0" applyFont="1" applyFill="1" applyBorder="1" applyAlignment="1">
      <alignment vertical="center"/>
    </xf>
    <xf numFmtId="0" fontId="16" fillId="11" borderId="1" xfId="2" applyFont="1" applyFill="1" applyBorder="1">
      <alignment vertical="center"/>
    </xf>
    <xf numFmtId="0" fontId="0" fillId="0" borderId="24" xfId="0" applyBorder="1">
      <alignment vertical="center"/>
    </xf>
    <xf numFmtId="0" fontId="0" fillId="0" borderId="25" xfId="0" applyBorder="1">
      <alignment vertical="center"/>
    </xf>
    <xf numFmtId="0" fontId="15" fillId="0" borderId="0" xfId="2" applyFont="1" applyFill="1" applyBorder="1">
      <alignment vertical="center"/>
    </xf>
    <xf numFmtId="22" fontId="0" fillId="0" borderId="0" xfId="0" applyNumberFormat="1">
      <alignment vertical="center"/>
    </xf>
    <xf numFmtId="0" fontId="0" fillId="0" borderId="0" xfId="0" applyBorder="1">
      <alignment vertical="center"/>
    </xf>
    <xf numFmtId="0" fontId="8" fillId="45" borderId="12" xfId="0" applyFont="1" applyFill="1" applyBorder="1" applyAlignment="1">
      <alignment horizontal="center" vertical="center" shrinkToFit="1"/>
    </xf>
    <xf numFmtId="0" fontId="8" fillId="0" borderId="0" xfId="0" applyFont="1" applyFill="1" applyBorder="1" applyAlignment="1">
      <alignment horizontal="center" vertical="center" shrinkToFit="1"/>
    </xf>
    <xf numFmtId="0" fontId="8" fillId="9" borderId="0" xfId="0" applyFont="1" applyFill="1" applyBorder="1" applyAlignment="1">
      <alignment horizontal="center" vertical="center"/>
    </xf>
    <xf numFmtId="195" fontId="8" fillId="9" borderId="0" xfId="0" applyNumberFormat="1" applyFont="1" applyFill="1" applyBorder="1" applyAlignment="1">
      <alignment vertical="center"/>
    </xf>
    <xf numFmtId="0" fontId="8" fillId="0" borderId="0" xfId="0" applyFont="1" applyFill="1" applyBorder="1" applyAlignment="1">
      <alignment horizontal="center" vertical="center"/>
    </xf>
    <xf numFmtId="0" fontId="8" fillId="9" borderId="14" xfId="0" applyFont="1" applyFill="1" applyBorder="1" applyAlignment="1" applyProtection="1">
      <alignment horizontal="center" vertical="center"/>
    </xf>
    <xf numFmtId="195" fontId="8" fillId="4" borderId="14" xfId="0" applyNumberFormat="1" applyFont="1" applyFill="1" applyBorder="1" applyAlignment="1">
      <alignment horizontal="center" vertical="center" shrinkToFit="1"/>
    </xf>
    <xf numFmtId="49" fontId="8" fillId="0" borderId="4" xfId="0" applyNumberFormat="1" applyFont="1" applyFill="1" applyBorder="1" applyAlignment="1">
      <alignment vertical="center" shrinkToFit="1"/>
    </xf>
    <xf numFmtId="49" fontId="8" fillId="0" borderId="0" xfId="0" applyNumberFormat="1" applyFont="1" applyFill="1" applyBorder="1" applyAlignment="1">
      <alignment vertical="center" shrinkToFit="1"/>
    </xf>
    <xf numFmtId="49" fontId="8" fillId="0" borderId="0" xfId="0" quotePrefix="1" applyNumberFormat="1" applyFont="1" applyFill="1" applyBorder="1" applyAlignment="1">
      <alignment vertical="center" shrinkToFit="1"/>
    </xf>
    <xf numFmtId="49" fontId="8" fillId="0" borderId="0" xfId="0" applyNumberFormat="1" applyFont="1" applyFill="1" applyBorder="1" applyAlignment="1">
      <alignment horizontal="right" vertical="center" shrinkToFit="1"/>
    </xf>
    <xf numFmtId="49" fontId="8" fillId="0" borderId="0" xfId="0" applyNumberFormat="1" applyFont="1" applyFill="1" applyBorder="1" applyAlignment="1">
      <alignment horizontal="center" vertical="center" shrinkToFit="1"/>
    </xf>
    <xf numFmtId="0" fontId="14" fillId="0" borderId="66" xfId="0" applyFont="1" applyBorder="1" applyAlignment="1">
      <alignment vertical="center" wrapText="1" shrinkToFit="1"/>
    </xf>
    <xf numFmtId="0" fontId="39" fillId="0" borderId="66" xfId="0" applyFont="1" applyBorder="1" applyAlignment="1">
      <alignment vertical="center" wrapText="1" shrinkToFit="1"/>
    </xf>
    <xf numFmtId="0" fontId="39" fillId="0" borderId="66" xfId="0" applyFont="1" applyBorder="1" applyAlignment="1">
      <alignment vertical="center" shrinkToFit="1"/>
    </xf>
    <xf numFmtId="0" fontId="0" fillId="0" borderId="66" xfId="0" applyBorder="1" applyAlignment="1">
      <alignment horizontal="left" vertical="center"/>
    </xf>
    <xf numFmtId="0" fontId="12" fillId="0" borderId="66" xfId="0" applyFont="1" applyBorder="1" applyAlignment="1">
      <alignment vertical="center" shrinkToFit="1"/>
    </xf>
    <xf numFmtId="0" fontId="13" fillId="0" borderId="66" xfId="0" applyFont="1" applyBorder="1" applyAlignment="1">
      <alignment vertical="center" shrinkToFit="1"/>
    </xf>
    <xf numFmtId="0" fontId="12" fillId="0" borderId="66" xfId="0" applyFont="1" applyBorder="1" applyAlignment="1">
      <alignment vertical="center" wrapText="1" shrinkToFit="1"/>
    </xf>
    <xf numFmtId="0" fontId="14" fillId="0" borderId="66" xfId="0" applyFont="1" applyBorder="1" applyAlignment="1">
      <alignment vertical="center" wrapText="1"/>
    </xf>
    <xf numFmtId="0" fontId="0" fillId="11" borderId="85" xfId="0" applyFill="1" applyBorder="1">
      <alignment vertical="center"/>
    </xf>
    <xf numFmtId="0" fontId="0" fillId="11" borderId="64" xfId="0" applyFill="1" applyBorder="1">
      <alignment vertical="center"/>
    </xf>
    <xf numFmtId="0" fontId="0" fillId="11" borderId="86" xfId="0" applyFill="1" applyBorder="1">
      <alignment vertical="center"/>
    </xf>
    <xf numFmtId="0" fontId="0" fillId="11" borderId="87" xfId="0" applyFill="1" applyBorder="1">
      <alignment vertical="center"/>
    </xf>
    <xf numFmtId="0" fontId="0" fillId="11" borderId="63" xfId="0" applyFill="1" applyBorder="1">
      <alignment vertical="center"/>
    </xf>
    <xf numFmtId="0" fontId="0" fillId="11" borderId="88" xfId="0" applyFill="1" applyBorder="1">
      <alignment vertical="center"/>
    </xf>
    <xf numFmtId="0" fontId="8" fillId="2" borderId="1" xfId="0" applyFont="1" applyFill="1" applyBorder="1" applyAlignment="1">
      <alignment vertical="center"/>
    </xf>
    <xf numFmtId="0" fontId="0" fillId="0" borderId="1" xfId="0" applyFont="1" applyFill="1" applyBorder="1" applyAlignment="1">
      <alignment vertical="center" shrinkToFit="1"/>
    </xf>
    <xf numFmtId="0" fontId="8" fillId="0" borderId="1" xfId="0" applyFont="1" applyFill="1" applyBorder="1" applyAlignment="1">
      <alignment horizontal="left" vertical="center" shrinkToFit="1"/>
    </xf>
    <xf numFmtId="14" fontId="8" fillId="0" borderId="0" xfId="0" applyNumberFormat="1" applyFont="1" applyFill="1" applyBorder="1" applyAlignment="1">
      <alignment vertical="center"/>
    </xf>
    <xf numFmtId="14" fontId="8" fillId="0" borderId="0" xfId="0" applyNumberFormat="1" applyFont="1" applyFill="1" applyBorder="1" applyAlignment="1">
      <alignment vertical="center" shrinkToFit="1"/>
    </xf>
    <xf numFmtId="0" fontId="0" fillId="11" borderId="1" xfId="0" applyFont="1" applyFill="1" applyBorder="1" applyAlignment="1">
      <alignment vertical="center" shrinkToFit="1"/>
    </xf>
    <xf numFmtId="0" fontId="8" fillId="2" borderId="1" xfId="0" applyFont="1" applyFill="1" applyBorder="1" applyAlignment="1">
      <alignment horizontal="center" vertical="center" shrinkToFit="1"/>
    </xf>
    <xf numFmtId="0" fontId="8" fillId="11" borderId="0" xfId="0" applyNumberFormat="1" applyFont="1" applyFill="1" applyBorder="1" applyAlignment="1" applyProtection="1">
      <alignment vertical="center" shrinkToFit="1"/>
      <protection locked="0"/>
    </xf>
    <xf numFmtId="0" fontId="8" fillId="2" borderId="1" xfId="0" applyFont="1" applyFill="1" applyBorder="1" applyAlignment="1">
      <alignment horizontal="center" vertical="center" shrinkToFit="1"/>
    </xf>
    <xf numFmtId="0" fontId="8" fillId="4" borderId="0" xfId="0" applyFont="1" applyFill="1" applyBorder="1" applyAlignment="1">
      <alignment horizontal="left" vertical="center" shrinkToFit="1"/>
    </xf>
    <xf numFmtId="0" fontId="8" fillId="4" borderId="0" xfId="0" applyFont="1" applyFill="1" applyBorder="1" applyAlignment="1" applyProtection="1">
      <alignment horizontal="left" vertical="center" shrinkToFit="1"/>
    </xf>
    <xf numFmtId="0" fontId="8" fillId="4" borderId="0" xfId="0" applyFont="1" applyFill="1" applyBorder="1" applyAlignment="1">
      <alignment horizontal="center" vertical="center"/>
    </xf>
    <xf numFmtId="49" fontId="8" fillId="0" borderId="0" xfId="0" applyNumberFormat="1" applyFont="1" applyFill="1" applyBorder="1" applyAlignment="1">
      <alignment vertical="center"/>
    </xf>
    <xf numFmtId="0" fontId="3" fillId="0" borderId="55" xfId="1" applyFont="1" applyFill="1" applyBorder="1" applyAlignment="1">
      <alignment vertical="center" shrinkToFit="1"/>
    </xf>
    <xf numFmtId="178" fontId="3" fillId="11" borderId="55" xfId="1" applyNumberFormat="1" applyFont="1" applyFill="1" applyBorder="1" applyAlignment="1">
      <alignment vertical="center"/>
    </xf>
    <xf numFmtId="0" fontId="8" fillId="0" borderId="55" xfId="0" applyFont="1" applyFill="1" applyBorder="1" applyAlignment="1" applyProtection="1">
      <alignment vertical="center"/>
    </xf>
    <xf numFmtId="0" fontId="8" fillId="0" borderId="55" xfId="0" applyFont="1" applyFill="1" applyBorder="1" applyAlignment="1" applyProtection="1">
      <alignment vertical="center" shrinkToFit="1"/>
    </xf>
    <xf numFmtId="0" fontId="8" fillId="11" borderId="55" xfId="0" applyFont="1" applyFill="1" applyBorder="1" applyAlignment="1" applyProtection="1">
      <alignment vertical="center"/>
    </xf>
    <xf numFmtId="0" fontId="8" fillId="0" borderId="17" xfId="0" applyFont="1" applyFill="1" applyBorder="1" applyAlignment="1">
      <alignment vertical="center"/>
    </xf>
    <xf numFmtId="0" fontId="8" fillId="9" borderId="1" xfId="0" applyFont="1" applyFill="1" applyBorder="1" applyAlignment="1">
      <alignment horizontal="center" vertical="center" shrinkToFit="1"/>
    </xf>
    <xf numFmtId="0" fontId="8" fillId="2" borderId="9" xfId="0" applyFont="1" applyFill="1" applyBorder="1" applyAlignment="1">
      <alignment horizontal="center" vertical="center" shrinkToFit="1"/>
    </xf>
    <xf numFmtId="0" fontId="8" fillId="2" borderId="11" xfId="0" applyFont="1" applyFill="1" applyBorder="1" applyAlignment="1">
      <alignment horizontal="center" vertical="center" shrinkToFit="1"/>
    </xf>
    <xf numFmtId="0" fontId="8" fillId="11" borderId="55" xfId="0" applyFont="1" applyFill="1" applyBorder="1" applyAlignment="1">
      <alignment vertical="center"/>
    </xf>
    <xf numFmtId="0" fontId="8" fillId="0" borderId="0" xfId="0" applyFont="1" applyFill="1" applyBorder="1" applyAlignment="1">
      <alignment vertical="center" wrapText="1" shrinkToFit="1"/>
    </xf>
    <xf numFmtId="0" fontId="8" fillId="2" borderId="18" xfId="0" applyFont="1" applyFill="1" applyBorder="1" applyAlignment="1">
      <alignment horizontal="center" vertical="center" shrinkToFit="1"/>
    </xf>
    <xf numFmtId="0" fontId="0" fillId="0" borderId="14" xfId="0" applyFill="1" applyBorder="1">
      <alignment vertical="center"/>
    </xf>
    <xf numFmtId="49" fontId="8" fillId="4" borderId="14" xfId="0" applyNumberFormat="1" applyFont="1" applyFill="1" applyBorder="1" applyAlignment="1" applyProtection="1">
      <alignment horizontal="left" vertical="center" shrinkToFit="1"/>
      <protection locked="0"/>
    </xf>
    <xf numFmtId="49" fontId="8" fillId="0" borderId="0" xfId="0" applyNumberFormat="1" applyFont="1" applyFill="1" applyBorder="1" applyAlignment="1">
      <alignment horizontal="left" vertical="center" shrinkToFit="1"/>
    </xf>
    <xf numFmtId="178" fontId="8" fillId="11" borderId="24" xfId="0" applyNumberFormat="1" applyFont="1" applyFill="1" applyBorder="1" applyAlignment="1" applyProtection="1">
      <alignment vertical="center"/>
      <protection locked="0"/>
    </xf>
    <xf numFmtId="0" fontId="0" fillId="0" borderId="89" xfId="0" applyBorder="1" applyAlignment="1" applyProtection="1">
      <alignment vertical="center"/>
      <protection locked="0"/>
    </xf>
    <xf numFmtId="0" fontId="0" fillId="0" borderId="90" xfId="0" applyBorder="1" applyAlignment="1" applyProtection="1">
      <alignment vertical="center"/>
      <protection locked="0"/>
    </xf>
    <xf numFmtId="0" fontId="0" fillId="0" borderId="90" xfId="0" applyBorder="1" applyAlignment="1">
      <alignment vertical="center"/>
    </xf>
    <xf numFmtId="0" fontId="0" fillId="0" borderId="91" xfId="0" applyBorder="1" applyAlignment="1">
      <alignment vertical="center"/>
    </xf>
    <xf numFmtId="178" fontId="8" fillId="11" borderId="40" xfId="0" applyNumberFormat="1" applyFont="1" applyFill="1" applyBorder="1" applyAlignment="1" applyProtection="1">
      <alignment vertical="center"/>
      <protection locked="0"/>
    </xf>
    <xf numFmtId="178" fontId="8" fillId="11" borderId="25" xfId="0" applyNumberFormat="1" applyFont="1" applyFill="1" applyBorder="1" applyAlignment="1" applyProtection="1">
      <alignment vertical="center"/>
      <protection locked="0"/>
    </xf>
    <xf numFmtId="0" fontId="8" fillId="0" borderId="64" xfId="0" applyFont="1" applyFill="1" applyBorder="1" applyAlignment="1" applyProtection="1">
      <alignment vertical="center"/>
      <protection locked="0"/>
    </xf>
    <xf numFmtId="0" fontId="0" fillId="11" borderId="0" xfId="0" applyNumberFormat="1" applyFill="1">
      <alignment vertical="center"/>
    </xf>
    <xf numFmtId="0" fontId="55" fillId="0" borderId="0" xfId="0" applyFont="1" applyFill="1">
      <alignment vertical="center"/>
    </xf>
    <xf numFmtId="49" fontId="0" fillId="11" borderId="0" xfId="0" applyNumberFormat="1" applyFill="1">
      <alignment vertical="center"/>
    </xf>
    <xf numFmtId="0" fontId="0" fillId="4" borderId="92" xfId="0" applyFill="1" applyBorder="1">
      <alignment vertical="center"/>
    </xf>
    <xf numFmtId="0" fontId="0" fillId="4" borderId="93" xfId="0" applyFill="1" applyBorder="1">
      <alignment vertical="center"/>
    </xf>
    <xf numFmtId="0" fontId="0" fillId="11" borderId="94" xfId="0" applyFill="1" applyBorder="1">
      <alignment vertical="center"/>
    </xf>
    <xf numFmtId="0" fontId="0" fillId="0" borderId="94" xfId="0" applyBorder="1">
      <alignment vertical="center"/>
    </xf>
    <xf numFmtId="0" fontId="0" fillId="0" borderId="95" xfId="0" applyBorder="1">
      <alignment vertical="center"/>
    </xf>
    <xf numFmtId="0" fontId="0" fillId="4" borderId="0" xfId="0" applyFont="1" applyFill="1" applyBorder="1">
      <alignment vertical="center"/>
    </xf>
    <xf numFmtId="0" fontId="0" fillId="4" borderId="0" xfId="0" applyFont="1" applyFill="1" applyBorder="1" applyAlignment="1">
      <alignment horizontal="left" vertical="center"/>
    </xf>
    <xf numFmtId="0" fontId="0" fillId="4" borderId="40" xfId="0" applyFont="1" applyFill="1" applyBorder="1" applyAlignment="1">
      <alignment horizontal="center" vertical="center"/>
    </xf>
    <xf numFmtId="0" fontId="8" fillId="4" borderId="96" xfId="0" applyFont="1" applyFill="1" applyBorder="1" applyAlignment="1">
      <alignment horizontal="left" vertical="center"/>
    </xf>
    <xf numFmtId="0" fontId="8" fillId="4" borderId="96" xfId="0" applyFont="1" applyFill="1" applyBorder="1" applyAlignment="1">
      <alignment horizontal="center" vertical="center"/>
    </xf>
    <xf numFmtId="0" fontId="0" fillId="4" borderId="0" xfId="0" applyFont="1" applyFill="1">
      <alignment vertical="center"/>
    </xf>
    <xf numFmtId="0" fontId="4" fillId="4" borderId="0" xfId="1" applyFont="1" applyFill="1" applyBorder="1" applyAlignment="1">
      <alignment vertical="center"/>
    </xf>
    <xf numFmtId="0" fontId="4" fillId="4" borderId="0" xfId="1" applyFont="1" applyFill="1" applyBorder="1" applyAlignment="1">
      <alignment vertical="center" shrinkToFit="1"/>
    </xf>
    <xf numFmtId="0" fontId="0" fillId="4" borderId="0" xfId="0" applyFont="1" applyFill="1" applyAlignment="1">
      <alignment horizontal="left" vertical="center"/>
    </xf>
    <xf numFmtId="0" fontId="8" fillId="4" borderId="40" xfId="0" applyFont="1" applyFill="1" applyBorder="1" applyAlignment="1">
      <alignment horizontal="left" vertical="center"/>
    </xf>
    <xf numFmtId="0" fontId="8" fillId="4" borderId="40" xfId="0" applyFont="1" applyFill="1" applyBorder="1" applyAlignment="1">
      <alignment horizontal="center" vertical="center"/>
    </xf>
    <xf numFmtId="0" fontId="0" fillId="0" borderId="0" xfId="0" quotePrefix="1" applyFont="1" applyFill="1">
      <alignment vertical="center"/>
    </xf>
    <xf numFmtId="0" fontId="20" fillId="8" borderId="0" xfId="0" applyFont="1" applyFill="1" applyBorder="1" applyAlignment="1">
      <alignment vertical="center"/>
    </xf>
    <xf numFmtId="0" fontId="0" fillId="8" borderId="0" xfId="0" applyFont="1" applyFill="1" applyAlignment="1">
      <alignment vertical="center" shrinkToFit="1"/>
    </xf>
    <xf numFmtId="177" fontId="0" fillId="8" borderId="40" xfId="0" applyNumberFormat="1" applyFont="1" applyFill="1" applyBorder="1" applyAlignment="1">
      <alignment horizontal="center" vertical="center"/>
    </xf>
    <xf numFmtId="177" fontId="8" fillId="8" borderId="40" xfId="0" applyNumberFormat="1" applyFont="1" applyFill="1" applyBorder="1" applyAlignment="1">
      <alignment horizontal="left" vertical="center" wrapText="1"/>
    </xf>
    <xf numFmtId="177" fontId="8" fillId="8" borderId="40" xfId="0" applyNumberFormat="1" applyFont="1" applyFill="1" applyBorder="1" applyAlignment="1">
      <alignment horizontal="center" vertical="top" wrapText="1"/>
    </xf>
    <xf numFmtId="177" fontId="0" fillId="47" borderId="40" xfId="0" applyNumberFormat="1" applyFont="1" applyFill="1" applyBorder="1" applyAlignment="1">
      <alignment horizontal="center" vertical="center"/>
    </xf>
    <xf numFmtId="177" fontId="8" fillId="47" borderId="40" xfId="0" applyNumberFormat="1" applyFont="1" applyFill="1" applyBorder="1" applyAlignment="1">
      <alignment horizontal="left" vertical="center" wrapText="1"/>
    </xf>
    <xf numFmtId="177" fontId="8" fillId="47" borderId="40" xfId="0" applyNumberFormat="1" applyFont="1" applyFill="1" applyBorder="1" applyAlignment="1">
      <alignment horizontal="center" vertical="top" wrapText="1"/>
    </xf>
    <xf numFmtId="177" fontId="0" fillId="0" borderId="40" xfId="0" applyNumberFormat="1" applyFont="1" applyFill="1" applyBorder="1" applyAlignment="1">
      <alignment horizontal="center" vertical="center"/>
    </xf>
    <xf numFmtId="177" fontId="8" fillId="0" borderId="40" xfId="0" applyNumberFormat="1" applyFont="1" applyFill="1" applyBorder="1" applyAlignment="1">
      <alignment horizontal="left" vertical="center" wrapText="1"/>
    </xf>
    <xf numFmtId="177" fontId="8" fillId="0" borderId="40" xfId="0" applyNumberFormat="1" applyFont="1" applyFill="1" applyBorder="1" applyAlignment="1">
      <alignment horizontal="center" vertical="top" wrapText="1"/>
    </xf>
    <xf numFmtId="177" fontId="0" fillId="47" borderId="40" xfId="0" quotePrefix="1" applyNumberFormat="1" applyFont="1" applyFill="1" applyBorder="1" applyAlignment="1">
      <alignment horizontal="center" vertical="center"/>
    </xf>
    <xf numFmtId="177" fontId="0" fillId="0" borderId="40" xfId="0" quotePrefix="1" applyNumberFormat="1" applyFont="1" applyFill="1" applyBorder="1" applyAlignment="1">
      <alignment horizontal="center" vertical="center"/>
    </xf>
    <xf numFmtId="177" fontId="4" fillId="0" borderId="40" xfId="1" applyNumberFormat="1" applyFont="1" applyFill="1" applyBorder="1" applyAlignment="1" applyProtection="1">
      <alignment horizontal="center" vertical="center"/>
    </xf>
    <xf numFmtId="177" fontId="4" fillId="47" borderId="40" xfId="1" applyNumberFormat="1" applyFont="1" applyFill="1" applyBorder="1" applyAlignment="1" applyProtection="1">
      <alignment horizontal="center" vertical="center"/>
    </xf>
    <xf numFmtId="49" fontId="0" fillId="0" borderId="0" xfId="0" applyNumberFormat="1" applyFont="1" applyFill="1">
      <alignment vertical="center"/>
    </xf>
    <xf numFmtId="49" fontId="0" fillId="47" borderId="0" xfId="0" applyNumberFormat="1" applyFont="1" applyFill="1">
      <alignment vertical="center"/>
    </xf>
    <xf numFmtId="49" fontId="8" fillId="0" borderId="40" xfId="0" applyNumberFormat="1" applyFont="1" applyFill="1" applyBorder="1" applyAlignment="1" applyProtection="1">
      <alignment horizontal="center" vertical="center"/>
    </xf>
    <xf numFmtId="0" fontId="48" fillId="11" borderId="23" xfId="0" applyFont="1" applyFill="1" applyBorder="1" applyAlignment="1">
      <alignment vertical="top" wrapText="1"/>
    </xf>
    <xf numFmtId="0" fontId="14" fillId="0" borderId="97" xfId="0" applyFont="1" applyBorder="1" applyAlignment="1">
      <alignment vertical="center" wrapText="1" shrinkToFit="1"/>
    </xf>
    <xf numFmtId="0" fontId="0" fillId="0" borderId="97" xfId="0" applyBorder="1" applyAlignment="1">
      <alignment vertical="center" shrinkToFit="1"/>
    </xf>
    <xf numFmtId="0" fontId="12" fillId="7" borderId="69" xfId="0" applyFont="1" applyFill="1" applyBorder="1" applyAlignment="1">
      <alignment vertical="center" wrapText="1" shrinkToFit="1"/>
    </xf>
    <xf numFmtId="0" fontId="14" fillId="7" borderId="23" xfId="0" applyFont="1" applyFill="1" applyBorder="1" applyAlignment="1">
      <alignment vertical="center" wrapText="1"/>
    </xf>
    <xf numFmtId="0" fontId="14" fillId="0" borderId="65" xfId="0" applyFont="1" applyBorder="1" applyAlignment="1">
      <alignment horizontal="left" vertical="center"/>
    </xf>
    <xf numFmtId="0" fontId="48" fillId="52" borderId="23" xfId="0" applyFont="1" applyFill="1" applyBorder="1" applyAlignment="1">
      <alignment vertical="center" wrapText="1"/>
    </xf>
    <xf numFmtId="0" fontId="0" fillId="0" borderId="23" xfId="0" applyFill="1" applyBorder="1">
      <alignment vertical="center"/>
    </xf>
    <xf numFmtId="0" fontId="14" fillId="0" borderId="98" xfId="0" applyFont="1" applyFill="1" applyBorder="1">
      <alignment vertical="center"/>
    </xf>
    <xf numFmtId="0" fontId="14" fillId="0" borderId="99" xfId="0" applyFont="1" applyBorder="1" applyAlignment="1">
      <alignment vertical="center" wrapText="1"/>
    </xf>
    <xf numFmtId="0" fontId="0" fillId="0" borderId="99" xfId="0" applyFill="1" applyBorder="1" applyAlignment="1">
      <alignment vertical="center" shrinkToFit="1"/>
    </xf>
    <xf numFmtId="0" fontId="48" fillId="0" borderId="99" xfId="0" applyFont="1" applyFill="1" applyBorder="1" applyAlignment="1">
      <alignment horizontal="left" vertical="top" wrapText="1"/>
    </xf>
    <xf numFmtId="0" fontId="8" fillId="2" borderId="1" xfId="0" applyFont="1" applyFill="1" applyBorder="1" applyAlignment="1">
      <alignment horizontal="center" vertical="center" shrinkToFit="1"/>
    </xf>
    <xf numFmtId="0" fontId="8" fillId="4" borderId="0" xfId="0" applyFont="1" applyFill="1" applyBorder="1" applyAlignment="1">
      <alignment horizontal="center" vertical="center"/>
    </xf>
    <xf numFmtId="0" fontId="8" fillId="8" borderId="50" xfId="0" applyFont="1" applyFill="1" applyBorder="1" applyAlignment="1">
      <alignment horizontal="right" vertical="center"/>
    </xf>
    <xf numFmtId="0" fontId="8" fillId="8" borderId="51" xfId="0" applyFont="1" applyFill="1" applyBorder="1" applyAlignment="1">
      <alignment horizontal="right" vertical="center"/>
    </xf>
    <xf numFmtId="0" fontId="8" fillId="8" borderId="6" xfId="0" applyFont="1" applyFill="1" applyBorder="1" applyAlignment="1">
      <alignment horizontal="right" vertical="center"/>
    </xf>
    <xf numFmtId="0" fontId="8" fillId="8" borderId="7" xfId="0" applyFont="1" applyFill="1" applyBorder="1" applyAlignment="1">
      <alignment horizontal="right" vertical="center"/>
    </xf>
    <xf numFmtId="0" fontId="8" fillId="8" borderId="53" xfId="0" applyFont="1" applyFill="1" applyBorder="1" applyAlignment="1">
      <alignment horizontal="right" vertical="center"/>
    </xf>
    <xf numFmtId="0" fontId="8" fillId="4" borderId="12" xfId="0" applyFont="1" applyFill="1" applyBorder="1" applyAlignment="1">
      <alignment horizontal="center" vertical="center" shrinkToFit="1"/>
    </xf>
    <xf numFmtId="0" fontId="8" fillId="2" borderId="19" xfId="0" applyFont="1" applyFill="1" applyBorder="1" applyAlignment="1">
      <alignment horizontal="center" vertical="center" shrinkToFit="1"/>
    </xf>
    <xf numFmtId="0" fontId="8" fillId="2" borderId="16" xfId="0" applyFont="1" applyFill="1" applyBorder="1" applyAlignment="1">
      <alignment horizontal="center" vertical="center" shrinkToFit="1"/>
    </xf>
    <xf numFmtId="0" fontId="39" fillId="8" borderId="23" xfId="0" applyFont="1" applyFill="1" applyBorder="1" applyAlignment="1">
      <alignment vertical="center" shrinkToFit="1"/>
    </xf>
    <xf numFmtId="0" fontId="48" fillId="53" borderId="23" xfId="0" applyFont="1" applyFill="1" applyBorder="1" applyAlignment="1">
      <alignment vertical="top" wrapText="1"/>
    </xf>
    <xf numFmtId="0" fontId="0" fillId="53" borderId="0" xfId="0" applyFill="1" applyAlignment="1">
      <alignment vertical="center" wrapText="1"/>
    </xf>
    <xf numFmtId="0" fontId="13" fillId="0" borderId="0" xfId="0" applyFont="1" applyFill="1" applyBorder="1" applyAlignment="1">
      <alignment horizontal="right" vertical="center" shrinkToFit="1"/>
    </xf>
    <xf numFmtId="0" fontId="48" fillId="11" borderId="69" xfId="0" applyFont="1" applyFill="1" applyBorder="1" applyAlignment="1">
      <alignment vertical="top" wrapText="1"/>
    </xf>
    <xf numFmtId="0" fontId="0" fillId="11" borderId="0" xfId="0" applyFill="1" applyAlignment="1">
      <alignment vertical="center"/>
    </xf>
    <xf numFmtId="0" fontId="1" fillId="0" borderId="1" xfId="2" applyFont="1" applyBorder="1">
      <alignment vertical="center"/>
    </xf>
    <xf numFmtId="0" fontId="8" fillId="2" borderId="1" xfId="0" applyFont="1" applyFill="1" applyBorder="1" applyAlignment="1">
      <alignment horizontal="center" vertical="center" shrinkToFit="1"/>
    </xf>
    <xf numFmtId="0" fontId="8" fillId="4" borderId="1" xfId="0" applyFont="1" applyFill="1" applyBorder="1" applyAlignment="1">
      <alignment horizontal="left" vertical="center" shrinkToFit="1"/>
    </xf>
    <xf numFmtId="0" fontId="8" fillId="4" borderId="0" xfId="0" applyFont="1" applyFill="1" applyBorder="1" applyAlignment="1">
      <alignment horizontal="center" vertical="center"/>
    </xf>
    <xf numFmtId="0" fontId="8" fillId="50" borderId="11" xfId="0" applyFont="1" applyFill="1" applyBorder="1" applyAlignment="1" applyProtection="1">
      <alignment horizontal="left" vertical="center" shrinkToFit="1"/>
      <protection locked="0"/>
    </xf>
    <xf numFmtId="0" fontId="8" fillId="8" borderId="11" xfId="0" applyFont="1" applyFill="1" applyBorder="1" applyAlignment="1" applyProtection="1">
      <alignment horizontal="left" vertical="center" shrinkToFit="1"/>
      <protection locked="0"/>
    </xf>
    <xf numFmtId="176" fontId="8" fillId="4" borderId="1" xfId="0" applyNumberFormat="1" applyFont="1" applyFill="1" applyBorder="1" applyAlignment="1">
      <alignment horizontal="center" vertical="center" shrinkToFit="1"/>
    </xf>
    <xf numFmtId="0" fontId="8" fillId="4" borderId="11" xfId="0" applyFont="1" applyFill="1" applyBorder="1" applyAlignment="1" applyProtection="1">
      <alignment horizontal="left" vertical="center" shrinkToFit="1"/>
    </xf>
    <xf numFmtId="176" fontId="8" fillId="4" borderId="1" xfId="0" applyNumberFormat="1" applyFont="1" applyFill="1" applyBorder="1" applyAlignment="1" applyProtection="1">
      <alignment horizontal="center" vertical="center" shrinkToFit="1"/>
    </xf>
    <xf numFmtId="0" fontId="8" fillId="0" borderId="1" xfId="0" applyFont="1" applyFill="1" applyBorder="1" applyAlignment="1">
      <alignment horizontal="center" vertical="center"/>
    </xf>
    <xf numFmtId="0" fontId="47" fillId="0" borderId="0" xfId="0" applyFont="1">
      <alignment vertical="center"/>
    </xf>
    <xf numFmtId="0" fontId="47" fillId="0" borderId="0" xfId="0" applyFont="1" applyAlignment="1">
      <alignment vertical="center"/>
    </xf>
    <xf numFmtId="0" fontId="47" fillId="2" borderId="1" xfId="0" applyFont="1" applyFill="1" applyBorder="1">
      <alignment vertical="center"/>
    </xf>
    <xf numFmtId="0" fontId="47" fillId="0" borderId="1" xfId="0" applyFont="1" applyBorder="1">
      <alignment vertical="center"/>
    </xf>
    <xf numFmtId="0" fontId="47" fillId="0" borderId="1" xfId="0" applyFont="1" applyBorder="1" applyProtection="1">
      <alignment vertical="center"/>
      <protection locked="0"/>
    </xf>
    <xf numFmtId="0" fontId="47" fillId="54" borderId="1" xfId="0" applyFont="1" applyFill="1" applyBorder="1">
      <alignment vertical="center"/>
    </xf>
    <xf numFmtId="0" fontId="47" fillId="0" borderId="1" xfId="0" applyFont="1" applyFill="1" applyBorder="1">
      <alignment vertical="center"/>
    </xf>
    <xf numFmtId="0" fontId="57" fillId="0" borderId="1" xfId="0" applyFont="1" applyBorder="1">
      <alignment vertical="center"/>
    </xf>
    <xf numFmtId="14" fontId="47" fillId="0" borderId="1" xfId="0" applyNumberFormat="1" applyFont="1" applyBorder="1">
      <alignment vertical="center"/>
    </xf>
    <xf numFmtId="0" fontId="47" fillId="4" borderId="0" xfId="0" applyFont="1" applyFill="1">
      <alignment vertical="center"/>
    </xf>
    <xf numFmtId="0" fontId="47" fillId="0" borderId="0" xfId="0" applyFont="1" applyFill="1">
      <alignment vertical="center"/>
    </xf>
    <xf numFmtId="0" fontId="8" fillId="4" borderId="1" xfId="0" applyFont="1" applyFill="1" applyBorder="1" applyAlignment="1">
      <alignment horizontal="right" vertical="center"/>
    </xf>
    <xf numFmtId="0" fontId="8" fillId="55" borderId="0" xfId="0" applyFont="1" applyFill="1" applyBorder="1" applyAlignment="1">
      <alignment vertical="center"/>
    </xf>
    <xf numFmtId="0" fontId="8" fillId="8" borderId="1" xfId="0" applyFont="1" applyFill="1" applyBorder="1" applyAlignment="1">
      <alignment horizontal="center" vertical="center"/>
    </xf>
    <xf numFmtId="0" fontId="8" fillId="57" borderId="1" xfId="0" applyFont="1" applyFill="1" applyBorder="1" applyAlignment="1" applyProtection="1">
      <alignment horizontal="center" vertical="center"/>
      <protection locked="0"/>
    </xf>
    <xf numFmtId="14" fontId="8" fillId="4" borderId="1" xfId="0" applyNumberFormat="1" applyFont="1" applyFill="1" applyBorder="1" applyAlignment="1" applyProtection="1">
      <alignment horizontal="center" vertical="center" shrinkToFit="1"/>
    </xf>
    <xf numFmtId="14" fontId="8" fillId="4" borderId="1" xfId="0" applyNumberFormat="1" applyFont="1" applyFill="1" applyBorder="1" applyAlignment="1">
      <alignment vertical="center" shrinkToFit="1"/>
    </xf>
    <xf numFmtId="0" fontId="46" fillId="0" borderId="0" xfId="0" applyFont="1">
      <alignment vertical="center"/>
    </xf>
    <xf numFmtId="0" fontId="47" fillId="57" borderId="1" xfId="0" applyFont="1" applyFill="1" applyBorder="1">
      <alignment vertical="center"/>
    </xf>
    <xf numFmtId="0" fontId="47" fillId="57" borderId="0" xfId="0" applyFont="1" applyFill="1">
      <alignment vertical="center"/>
    </xf>
    <xf numFmtId="0" fontId="47" fillId="57" borderId="0" xfId="0" applyFont="1" applyFill="1" applyAlignment="1">
      <alignment vertical="center"/>
    </xf>
    <xf numFmtId="0" fontId="47" fillId="0" borderId="0" xfId="0" applyFont="1" applyFill="1" applyAlignment="1">
      <alignment vertical="center"/>
    </xf>
    <xf numFmtId="0" fontId="8" fillId="2" borderId="1" xfId="0" applyFont="1" applyFill="1" applyBorder="1" applyAlignment="1">
      <alignment horizontal="centerContinuous" vertical="center" shrinkToFit="1"/>
    </xf>
    <xf numFmtId="0" fontId="47" fillId="0" borderId="0" xfId="0" applyFont="1" applyAlignment="1">
      <alignment vertical="center" shrinkToFit="1"/>
    </xf>
    <xf numFmtId="178" fontId="8" fillId="11" borderId="100" xfId="0" applyNumberFormat="1" applyFont="1" applyFill="1" applyBorder="1" applyAlignment="1" applyProtection="1">
      <alignment vertical="center"/>
      <protection locked="0"/>
    </xf>
    <xf numFmtId="0" fontId="8" fillId="0" borderId="0" xfId="0" applyFont="1">
      <alignment vertical="center"/>
    </xf>
    <xf numFmtId="0" fontId="47" fillId="11" borderId="100" xfId="0" applyFont="1" applyFill="1" applyBorder="1">
      <alignment vertical="center"/>
    </xf>
    <xf numFmtId="0" fontId="0" fillId="2" borderId="1" xfId="0" applyFill="1" applyBorder="1">
      <alignment vertical="center"/>
    </xf>
    <xf numFmtId="0" fontId="0" fillId="57" borderId="1" xfId="0" applyFill="1" applyBorder="1" applyAlignment="1">
      <alignment vertical="center" wrapText="1"/>
    </xf>
    <xf numFmtId="0" fontId="0" fillId="57" borderId="1" xfId="0" applyFill="1" applyBorder="1">
      <alignment vertical="center"/>
    </xf>
    <xf numFmtId="0" fontId="0" fillId="57" borderId="58" xfId="0" applyFill="1" applyBorder="1">
      <alignment vertical="center"/>
    </xf>
    <xf numFmtId="0" fontId="0" fillId="55" borderId="1" xfId="0" applyFill="1" applyBorder="1" applyAlignment="1">
      <alignment vertical="center" wrapText="1"/>
    </xf>
    <xf numFmtId="0" fontId="0" fillId="55" borderId="1" xfId="0" applyFill="1" applyBorder="1">
      <alignment vertical="center"/>
    </xf>
    <xf numFmtId="0" fontId="0" fillId="57" borderId="14" xfId="0" applyFill="1" applyBorder="1">
      <alignment vertical="center"/>
    </xf>
    <xf numFmtId="0" fontId="0" fillId="57" borderId="11" xfId="0" applyFill="1" applyBorder="1" applyAlignment="1">
      <alignment vertical="center" wrapText="1"/>
    </xf>
    <xf numFmtId="0" fontId="0" fillId="54" borderId="0" xfId="0" applyFill="1">
      <alignment vertical="center"/>
    </xf>
    <xf numFmtId="0" fontId="0" fillId="57" borderId="4" xfId="0" applyFill="1" applyBorder="1">
      <alignment vertical="center"/>
    </xf>
    <xf numFmtId="0" fontId="0" fillId="55" borderId="14" xfId="0" applyFill="1" applyBorder="1" applyAlignment="1">
      <alignment vertical="center" wrapText="1"/>
    </xf>
    <xf numFmtId="0" fontId="0" fillId="55" borderId="14" xfId="0" applyFill="1" applyBorder="1">
      <alignment vertical="center"/>
    </xf>
    <xf numFmtId="0" fontId="0" fillId="55" borderId="11" xfId="0" applyFill="1" applyBorder="1" applyAlignment="1">
      <alignment vertical="center" wrapText="1"/>
    </xf>
    <xf numFmtId="0" fontId="0" fillId="55" borderId="11" xfId="0" applyFill="1" applyBorder="1">
      <alignment vertical="center"/>
    </xf>
    <xf numFmtId="0" fontId="0" fillId="55" borderId="4" xfId="0" applyFill="1" applyBorder="1" applyAlignment="1">
      <alignment vertical="center"/>
    </xf>
    <xf numFmtId="0" fontId="0" fillId="55" borderId="1" xfId="0" applyFill="1" applyBorder="1" applyAlignment="1">
      <alignment vertical="center"/>
    </xf>
    <xf numFmtId="0" fontId="0" fillId="55" borderId="11" xfId="0" applyNumberFormat="1" applyFill="1" applyBorder="1">
      <alignment vertical="center"/>
    </xf>
    <xf numFmtId="0" fontId="0" fillId="58" borderId="1" xfId="0" applyFill="1" applyBorder="1" applyAlignment="1">
      <alignment vertical="center"/>
    </xf>
    <xf numFmtId="0" fontId="0" fillId="58" borderId="11" xfId="0" applyFill="1" applyBorder="1">
      <alignment vertical="center"/>
    </xf>
    <xf numFmtId="0" fontId="0" fillId="58" borderId="1" xfId="0" applyFill="1" applyBorder="1">
      <alignment vertical="center"/>
    </xf>
    <xf numFmtId="0" fontId="0" fillId="57" borderId="6" xfId="0" applyFill="1" applyBorder="1">
      <alignment vertical="center"/>
    </xf>
    <xf numFmtId="0" fontId="0" fillId="55" borderId="6" xfId="0" applyFill="1" applyBorder="1" applyAlignment="1">
      <alignment vertical="center"/>
    </xf>
    <xf numFmtId="0" fontId="6" fillId="0" borderId="0" xfId="0" applyFont="1" applyBorder="1" applyAlignment="1">
      <alignment horizontal="left"/>
    </xf>
    <xf numFmtId="0" fontId="58" fillId="0" borderId="0" xfId="0" applyFont="1" applyBorder="1" applyAlignment="1">
      <alignment vertical="center"/>
    </xf>
    <xf numFmtId="0" fontId="8" fillId="0" borderId="7" xfId="0" applyFont="1" applyBorder="1" applyAlignment="1">
      <alignment horizontal="center"/>
    </xf>
    <xf numFmtId="0" fontId="8" fillId="0" borderId="0" xfId="0" applyFont="1" applyBorder="1" applyAlignment="1">
      <alignment horizontal="center"/>
    </xf>
    <xf numFmtId="0" fontId="6" fillId="0" borderId="0" xfId="0" applyFont="1" applyFill="1" applyBorder="1" applyAlignment="1">
      <alignment vertical="center"/>
    </xf>
    <xf numFmtId="0" fontId="8" fillId="0" borderId="0" xfId="0" applyFont="1" applyBorder="1" applyAlignment="1">
      <alignment horizontal="right"/>
    </xf>
    <xf numFmtId="0" fontId="8" fillId="0" borderId="0" xfId="0" applyFont="1" applyFill="1" applyBorder="1" applyAlignment="1">
      <alignment horizontal="left" vertical="center"/>
    </xf>
    <xf numFmtId="0" fontId="8" fillId="0" borderId="0" xfId="0" applyFont="1" applyBorder="1" applyAlignment="1"/>
    <xf numFmtId="0" fontId="47" fillId="0" borderId="0" xfId="0" applyFont="1" applyBorder="1" applyAlignment="1">
      <alignment horizontal="left"/>
    </xf>
    <xf numFmtId="0" fontId="6" fillId="0" borderId="0" xfId="0" applyFont="1" applyFill="1" applyBorder="1" applyAlignment="1">
      <alignment horizontal="left"/>
    </xf>
    <xf numFmtId="0" fontId="0" fillId="59" borderId="0" xfId="0" applyFill="1">
      <alignment vertical="center"/>
    </xf>
    <xf numFmtId="0" fontId="0" fillId="0" borderId="0" xfId="0" applyNumberFormat="1" applyFill="1">
      <alignment vertical="center"/>
    </xf>
    <xf numFmtId="0" fontId="8" fillId="4" borderId="1" xfId="0" applyFont="1" applyFill="1" applyBorder="1" applyAlignment="1">
      <alignment horizontal="left" vertical="center" shrinkToFit="1"/>
    </xf>
    <xf numFmtId="49" fontId="8" fillId="4" borderId="14" xfId="0" applyNumberFormat="1" applyFont="1" applyFill="1" applyBorder="1" applyAlignment="1">
      <alignment horizontal="center" vertical="center" shrinkToFit="1"/>
    </xf>
    <xf numFmtId="49" fontId="8" fillId="4" borderId="14" xfId="0" applyNumberFormat="1" applyFont="1" applyFill="1" applyBorder="1" applyAlignment="1" applyProtection="1">
      <alignment horizontal="center" vertical="center" shrinkToFit="1"/>
    </xf>
    <xf numFmtId="0" fontId="8" fillId="0" borderId="58" xfId="0" applyFont="1" applyFill="1" applyBorder="1" applyAlignment="1" applyProtection="1">
      <alignment horizontal="center" vertical="center" shrinkToFit="1"/>
      <protection locked="0"/>
    </xf>
    <xf numFmtId="0" fontId="8" fillId="4" borderId="58" xfId="0" applyFont="1" applyFill="1" applyBorder="1" applyAlignment="1" applyProtection="1">
      <alignment horizontal="center" vertical="center" shrinkToFit="1"/>
    </xf>
    <xf numFmtId="0" fontId="8" fillId="0" borderId="1" xfId="0" applyFont="1" applyFill="1" applyBorder="1" applyAlignment="1">
      <alignment horizontal="center" vertical="center"/>
    </xf>
    <xf numFmtId="0" fontId="8" fillId="4" borderId="1" xfId="0" applyFont="1" applyFill="1" applyBorder="1" applyAlignment="1">
      <alignment horizontal="left" vertical="center"/>
    </xf>
    <xf numFmtId="0" fontId="8" fillId="4" borderId="6" xfId="0" applyFont="1" applyFill="1" applyBorder="1" applyAlignment="1">
      <alignment horizontal="center" vertical="center" shrinkToFit="1"/>
    </xf>
    <xf numFmtId="38" fontId="8" fillId="4" borderId="14" xfId="0" applyNumberFormat="1" applyFont="1" applyFill="1" applyBorder="1" applyAlignment="1" applyProtection="1">
      <alignment horizontal="left" vertical="center" shrinkToFit="1"/>
    </xf>
    <xf numFmtId="0" fontId="8" fillId="4" borderId="14" xfId="0" applyFont="1" applyFill="1" applyBorder="1" applyAlignment="1" applyProtection="1">
      <alignment horizontal="left" vertical="center" shrinkToFit="1"/>
    </xf>
    <xf numFmtId="0" fontId="8" fillId="4" borderId="14" xfId="0" applyFont="1" applyFill="1" applyBorder="1" applyAlignment="1">
      <alignment horizontal="left" vertical="center" shrinkToFit="1"/>
    </xf>
    <xf numFmtId="178" fontId="8" fillId="5" borderId="1" xfId="0" applyNumberFormat="1" applyFont="1" applyFill="1" applyBorder="1" applyAlignment="1" applyProtection="1">
      <alignment horizontal="center" vertical="center"/>
      <protection locked="0"/>
    </xf>
    <xf numFmtId="0" fontId="8" fillId="2" borderId="1" xfId="0" applyFont="1" applyFill="1" applyBorder="1" applyAlignment="1">
      <alignment horizontal="center" vertical="center" shrinkToFit="1"/>
    </xf>
    <xf numFmtId="0" fontId="8" fillId="4" borderId="1" xfId="0" applyFont="1" applyFill="1" applyBorder="1" applyAlignment="1">
      <alignment horizontal="left" vertical="center" shrinkToFit="1"/>
    </xf>
    <xf numFmtId="0" fontId="8" fillId="4" borderId="0" xfId="0" applyFont="1" applyFill="1" applyBorder="1" applyAlignment="1">
      <alignment horizontal="center" vertical="center"/>
    </xf>
    <xf numFmtId="182" fontId="8" fillId="0" borderId="10" xfId="0" quotePrefix="1" applyNumberFormat="1" applyFont="1" applyFill="1" applyBorder="1" applyAlignment="1" applyProtection="1">
      <alignment horizontal="right" vertical="center" shrinkToFit="1"/>
      <protection locked="0"/>
    </xf>
    <xf numFmtId="0" fontId="59" fillId="0" borderId="0" xfId="0" applyFont="1" applyBorder="1" applyAlignment="1">
      <alignment horizontal="left" vertical="center" shrinkToFit="1"/>
    </xf>
    <xf numFmtId="0" fontId="8" fillId="2" borderId="1" xfId="0" applyFont="1" applyFill="1" applyBorder="1" applyAlignment="1">
      <alignment horizontal="center" vertical="center" shrinkToFit="1"/>
    </xf>
    <xf numFmtId="0" fontId="0" fillId="55" borderId="1" xfId="0" applyFill="1" applyBorder="1" applyAlignment="1">
      <alignment horizontal="left" vertical="center"/>
    </xf>
    <xf numFmtId="0" fontId="0" fillId="55" borderId="13" xfId="0" applyFill="1" applyBorder="1" applyAlignment="1">
      <alignment horizontal="left" vertical="center"/>
    </xf>
    <xf numFmtId="0" fontId="0" fillId="55" borderId="11" xfId="0" applyFill="1" applyBorder="1" applyAlignment="1">
      <alignment horizontal="left" vertical="center"/>
    </xf>
    <xf numFmtId="0" fontId="8" fillId="4" borderId="0" xfId="0" applyFont="1" applyFill="1" applyBorder="1" applyAlignment="1">
      <alignment horizontal="center" vertical="center"/>
    </xf>
    <xf numFmtId="0" fontId="8" fillId="2" borderId="0" xfId="0" applyFont="1" applyFill="1" applyBorder="1" applyAlignment="1">
      <alignment horizontal="right" vertical="center"/>
    </xf>
    <xf numFmtId="14" fontId="8" fillId="0" borderId="1" xfId="0" applyNumberFormat="1" applyFont="1" applyFill="1" applyBorder="1" applyAlignment="1" applyProtection="1">
      <alignment vertical="center" shrinkToFit="1"/>
      <protection locked="0"/>
    </xf>
    <xf numFmtId="14" fontId="8" fillId="0" borderId="1" xfId="0" applyNumberFormat="1" applyFont="1" applyFill="1" applyBorder="1" applyAlignment="1">
      <alignment vertical="center"/>
    </xf>
    <xf numFmtId="0" fontId="8" fillId="2" borderId="0" xfId="0" applyFont="1" applyFill="1" applyBorder="1" applyAlignment="1" applyProtection="1">
      <alignment horizontal="right" vertical="center"/>
      <protection locked="0"/>
    </xf>
    <xf numFmtId="20" fontId="8" fillId="0" borderId="0" xfId="0" applyNumberFormat="1" applyFont="1" applyFill="1" applyBorder="1" applyAlignment="1">
      <alignment vertical="center"/>
    </xf>
    <xf numFmtId="0" fontId="8" fillId="2" borderId="1" xfId="0" applyFont="1" applyFill="1" applyBorder="1" applyAlignment="1" applyProtection="1">
      <alignment vertical="center"/>
      <protection locked="0"/>
    </xf>
    <xf numFmtId="0" fontId="8" fillId="9" borderId="0" xfId="0" applyFont="1" applyFill="1" applyBorder="1" applyAlignment="1">
      <alignment horizontal="right" vertical="center"/>
    </xf>
    <xf numFmtId="0" fontId="8" fillId="9" borderId="5" xfId="0" applyFont="1" applyFill="1" applyBorder="1" applyAlignment="1">
      <alignment vertical="center"/>
    </xf>
    <xf numFmtId="0" fontId="8" fillId="54" borderId="11" xfId="0" applyFont="1" applyFill="1" applyBorder="1" applyAlignment="1">
      <alignment horizontal="center" vertical="center" shrinkToFit="1"/>
    </xf>
    <xf numFmtId="0" fontId="0" fillId="0" borderId="1" xfId="0" applyFill="1" applyBorder="1">
      <alignment vertical="center"/>
    </xf>
    <xf numFmtId="0" fontId="47" fillId="0" borderId="0" xfId="0" applyFont="1" applyAlignment="1">
      <alignment vertical="center" wrapText="1"/>
    </xf>
    <xf numFmtId="0" fontId="47" fillId="2" borderId="0" xfId="0" applyFont="1" applyFill="1">
      <alignment vertical="center"/>
    </xf>
    <xf numFmtId="0" fontId="8" fillId="9" borderId="1" xfId="0" applyFont="1" applyFill="1" applyBorder="1" applyAlignment="1">
      <alignment horizontal="right" vertical="center" shrinkToFit="1"/>
    </xf>
    <xf numFmtId="0" fontId="8" fillId="9" borderId="1" xfId="0" applyFont="1" applyFill="1" applyBorder="1" applyAlignment="1">
      <alignment horizontal="left" vertical="center" shrinkToFit="1"/>
    </xf>
    <xf numFmtId="0" fontId="8" fillId="0" borderId="1" xfId="0" applyFont="1" applyFill="1" applyBorder="1" applyAlignment="1" applyProtection="1">
      <alignment horizontal="right" vertical="center" shrinkToFit="1"/>
      <protection locked="0"/>
    </xf>
    <xf numFmtId="0" fontId="8" fillId="2" borderId="11"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8" fillId="9" borderId="1" xfId="0" applyFont="1" applyFill="1" applyBorder="1" applyAlignment="1" applyProtection="1">
      <alignment horizontal="center" vertical="center" shrinkToFit="1"/>
    </xf>
    <xf numFmtId="0" fontId="47" fillId="59" borderId="1" xfId="0" applyFont="1" applyFill="1" applyBorder="1">
      <alignment vertical="center"/>
    </xf>
    <xf numFmtId="0" fontId="47" fillId="57" borderId="9" xfId="0" applyFont="1" applyFill="1" applyBorder="1" applyAlignment="1">
      <alignment vertical="center"/>
    </xf>
    <xf numFmtId="0" fontId="47" fillId="57" borderId="11" xfId="0" applyFont="1" applyFill="1" applyBorder="1" applyAlignment="1">
      <alignment vertical="center"/>
    </xf>
    <xf numFmtId="0" fontId="47" fillId="57" borderId="1" xfId="0" applyFont="1" applyFill="1" applyBorder="1" applyAlignment="1">
      <alignment vertical="center"/>
    </xf>
    <xf numFmtId="0" fontId="47" fillId="2" borderId="0" xfId="0" applyFont="1" applyFill="1" applyBorder="1">
      <alignment vertical="center"/>
    </xf>
    <xf numFmtId="0" fontId="47" fillId="0" borderId="0" xfId="0" applyFont="1" applyAlignment="1">
      <alignment horizontal="left" vertical="center"/>
    </xf>
    <xf numFmtId="0" fontId="47" fillId="0" borderId="0" xfId="0" applyFont="1" applyFill="1" applyBorder="1">
      <alignment vertical="center"/>
    </xf>
    <xf numFmtId="0" fontId="47" fillId="60" borderId="1" xfId="0" applyFont="1" applyFill="1" applyBorder="1">
      <alignment vertical="center"/>
    </xf>
    <xf numFmtId="0" fontId="47" fillId="57" borderId="1" xfId="0" applyNumberFormat="1" applyFont="1" applyFill="1" applyBorder="1">
      <alignment vertical="center"/>
    </xf>
    <xf numFmtId="0" fontId="0" fillId="0" borderId="0" xfId="0" applyFill="1" applyBorder="1">
      <alignment vertical="center"/>
    </xf>
    <xf numFmtId="0" fontId="0" fillId="55" borderId="4" xfId="0" applyFill="1" applyBorder="1" applyAlignment="1">
      <alignment horizontal="left" vertical="center"/>
    </xf>
    <xf numFmtId="0" fontId="0" fillId="55" borderId="11" xfId="0" applyFill="1" applyBorder="1" applyAlignment="1">
      <alignment vertical="top" wrapText="1"/>
    </xf>
    <xf numFmtId="0" fontId="0" fillId="0" borderId="58" xfId="0" applyFill="1" applyBorder="1">
      <alignment vertical="center"/>
    </xf>
    <xf numFmtId="0" fontId="0" fillId="55" borderId="6" xfId="0" applyFill="1" applyBorder="1" applyAlignment="1">
      <alignment horizontal="left" vertical="center"/>
    </xf>
    <xf numFmtId="0" fontId="0" fillId="55" borderId="2" xfId="0" applyFill="1" applyBorder="1" applyAlignment="1">
      <alignment horizontal="left" vertical="center"/>
    </xf>
    <xf numFmtId="0" fontId="0" fillId="55" borderId="20" xfId="0" applyFill="1" applyBorder="1" applyAlignment="1">
      <alignment horizontal="left" vertical="center"/>
    </xf>
    <xf numFmtId="0" fontId="0" fillId="55" borderId="9" xfId="0" applyFill="1" applyBorder="1" applyAlignment="1">
      <alignment horizontal="left" vertical="center"/>
    </xf>
    <xf numFmtId="0" fontId="0" fillId="60" borderId="0" xfId="0" applyFill="1">
      <alignment vertical="center"/>
    </xf>
    <xf numFmtId="0" fontId="0" fillId="60" borderId="1" xfId="0" applyFill="1" applyBorder="1">
      <alignment vertical="center"/>
    </xf>
    <xf numFmtId="0" fontId="6" fillId="0" borderId="0" xfId="0" applyFont="1" applyBorder="1" applyAlignment="1">
      <alignment horizontal="right" vertical="center"/>
    </xf>
    <xf numFmtId="0" fontId="6" fillId="0" borderId="0" xfId="0" applyFont="1" applyBorder="1" applyAlignment="1">
      <alignment vertical="center"/>
    </xf>
    <xf numFmtId="0" fontId="60" fillId="0" borderId="0" xfId="0" applyFont="1" applyBorder="1" applyAlignment="1">
      <alignment vertical="center"/>
    </xf>
    <xf numFmtId="0" fontId="61" fillId="0" borderId="0" xfId="0" applyFont="1" applyBorder="1" applyAlignment="1">
      <alignment vertical="center"/>
    </xf>
    <xf numFmtId="0" fontId="62" fillId="0" borderId="0" xfId="0" applyFont="1" applyFill="1" applyBorder="1" applyAlignment="1">
      <alignment vertical="center"/>
    </xf>
    <xf numFmtId="0" fontId="63" fillId="0" borderId="0" xfId="0" applyFont="1" applyFill="1" applyBorder="1" applyAlignment="1">
      <alignment horizontal="right" vertical="center"/>
    </xf>
    <xf numFmtId="0" fontId="64" fillId="0" borderId="0" xfId="0" applyFont="1" applyFill="1" applyBorder="1" applyAlignment="1">
      <alignment vertical="center"/>
    </xf>
    <xf numFmtId="0" fontId="6" fillId="0" borderId="0" xfId="0" applyFont="1" applyBorder="1" applyAlignment="1">
      <alignment horizontal="right"/>
    </xf>
    <xf numFmtId="197" fontId="6" fillId="0" borderId="0" xfId="0" applyNumberFormat="1" applyFont="1" applyBorder="1" applyAlignment="1">
      <alignment vertical="center"/>
    </xf>
    <xf numFmtId="0" fontId="65" fillId="0" borderId="0" xfId="0" applyFont="1" applyBorder="1" applyAlignment="1">
      <alignment horizontal="right" vertical="center"/>
    </xf>
    <xf numFmtId="0" fontId="0" fillId="61" borderId="0" xfId="0" applyFill="1">
      <alignment vertical="center"/>
    </xf>
    <xf numFmtId="0" fontId="47" fillId="11" borderId="1" xfId="0" applyFont="1" applyFill="1" applyBorder="1">
      <alignment vertical="center"/>
    </xf>
    <xf numFmtId="0" fontId="47" fillId="51" borderId="1" xfId="0" applyFont="1" applyFill="1" applyBorder="1">
      <alignment vertical="center"/>
    </xf>
    <xf numFmtId="0" fontId="47" fillId="4" borderId="0" xfId="0" applyFont="1" applyFill="1" applyBorder="1" applyAlignment="1">
      <alignment vertical="center"/>
    </xf>
    <xf numFmtId="49" fontId="8" fillId="4" borderId="14" xfId="0" applyNumberFormat="1" applyFont="1" applyFill="1" applyBorder="1" applyAlignment="1" applyProtection="1">
      <alignment horizontal="center" vertical="center" shrinkToFit="1"/>
      <protection locked="0"/>
    </xf>
    <xf numFmtId="0" fontId="0" fillId="0" borderId="0" xfId="0" applyBorder="1" applyAlignment="1">
      <alignment vertical="center"/>
    </xf>
    <xf numFmtId="0" fontId="8" fillId="4" borderId="0" xfId="0" applyNumberFormat="1" applyFont="1" applyFill="1" applyBorder="1" applyAlignment="1">
      <alignment horizontal="left" vertical="center" shrinkToFit="1"/>
    </xf>
    <xf numFmtId="0" fontId="8" fillId="4" borderId="0" xfId="0" applyNumberFormat="1" applyFont="1" applyFill="1" applyBorder="1" applyAlignment="1">
      <alignment horizontal="center" vertical="center" shrinkToFit="1"/>
    </xf>
    <xf numFmtId="0" fontId="8" fillId="2" borderId="1" xfId="0" applyFont="1" applyFill="1" applyBorder="1" applyAlignment="1">
      <alignment horizontal="center" vertical="center" shrinkToFit="1"/>
    </xf>
    <xf numFmtId="0" fontId="8" fillId="4" borderId="1" xfId="0" applyFont="1" applyFill="1" applyBorder="1" applyAlignment="1">
      <alignment horizontal="left" vertical="center" shrinkToFit="1"/>
    </xf>
    <xf numFmtId="0" fontId="8" fillId="0" borderId="1" xfId="0" applyFont="1" applyFill="1" applyBorder="1" applyAlignment="1">
      <alignment horizontal="center" vertical="center"/>
    </xf>
    <xf numFmtId="0" fontId="47" fillId="0" borderId="0" xfId="0" applyFont="1" applyAlignment="1">
      <alignment vertical="center" shrinkToFit="1"/>
    </xf>
    <xf numFmtId="0" fontId="8" fillId="4" borderId="0" xfId="0" applyFont="1" applyFill="1" applyBorder="1" applyAlignment="1">
      <alignment horizontal="center" vertical="center"/>
    </xf>
    <xf numFmtId="0" fontId="8" fillId="54" borderId="1" xfId="0" applyFont="1" applyFill="1" applyBorder="1" applyAlignment="1">
      <alignment horizontal="center" vertical="center" shrinkToFit="1"/>
    </xf>
    <xf numFmtId="0" fontId="8" fillId="54" borderId="1" xfId="0" applyFont="1" applyFill="1" applyBorder="1" applyAlignment="1">
      <alignment vertical="center"/>
    </xf>
    <xf numFmtId="0" fontId="8" fillId="0" borderId="1" xfId="0" quotePrefix="1" applyNumberFormat="1" applyFont="1" applyFill="1" applyBorder="1" applyAlignment="1">
      <alignment vertical="center"/>
    </xf>
    <xf numFmtId="0" fontId="15" fillId="0" borderId="1" xfId="2" applyBorder="1">
      <alignment vertical="center"/>
    </xf>
    <xf numFmtId="0" fontId="66" fillId="0" borderId="1" xfId="2" applyFont="1" applyBorder="1">
      <alignment vertical="center"/>
    </xf>
    <xf numFmtId="177" fontId="8" fillId="4" borderId="1" xfId="0" applyNumberFormat="1" applyFont="1" applyFill="1" applyBorder="1" applyAlignment="1">
      <alignment horizontal="center" vertical="center" shrinkToFit="1"/>
    </xf>
    <xf numFmtId="0" fontId="0" fillId="11" borderId="1" xfId="0" applyFill="1" applyBorder="1" applyAlignment="1">
      <alignment horizontal="left" vertical="center"/>
    </xf>
    <xf numFmtId="0" fontId="0" fillId="0" borderId="13" xfId="0" applyFill="1" applyBorder="1" applyAlignment="1">
      <alignment vertical="center"/>
    </xf>
    <xf numFmtId="0" fontId="47" fillId="57" borderId="1" xfId="0" applyFont="1" applyFill="1" applyBorder="1" applyAlignment="1">
      <alignment vertical="center" wrapText="1"/>
    </xf>
    <xf numFmtId="0" fontId="47" fillId="57" borderId="58" xfId="0" applyFont="1" applyFill="1" applyBorder="1">
      <alignment vertical="center"/>
    </xf>
    <xf numFmtId="0" fontId="47" fillId="55" borderId="1" xfId="0" applyFont="1" applyFill="1" applyBorder="1" applyAlignment="1">
      <alignment vertical="center" wrapText="1"/>
    </xf>
    <xf numFmtId="0" fontId="47" fillId="55" borderId="1" xfId="0" applyFont="1" applyFill="1" applyBorder="1">
      <alignment vertical="center"/>
    </xf>
    <xf numFmtId="0" fontId="47" fillId="57" borderId="14" xfId="0" applyFont="1" applyFill="1" applyBorder="1">
      <alignment vertical="center"/>
    </xf>
    <xf numFmtId="0" fontId="47" fillId="55" borderId="14" xfId="0" applyFont="1" applyFill="1" applyBorder="1" applyAlignment="1">
      <alignment horizontal="left" vertical="center"/>
    </xf>
    <xf numFmtId="0" fontId="47" fillId="55" borderId="1" xfId="0" applyFont="1" applyFill="1" applyBorder="1" applyAlignment="1">
      <alignment vertical="center"/>
    </xf>
    <xf numFmtId="0" fontId="47" fillId="57" borderId="4" xfId="0" applyFont="1" applyFill="1" applyBorder="1">
      <alignment vertical="center"/>
    </xf>
    <xf numFmtId="0" fontId="47" fillId="55" borderId="11" xfId="0" applyFont="1" applyFill="1" applyBorder="1" applyAlignment="1">
      <alignment vertical="center" wrapText="1"/>
    </xf>
    <xf numFmtId="0" fontId="47" fillId="55" borderId="4" xfId="0" applyFont="1" applyFill="1" applyBorder="1" applyAlignment="1">
      <alignment horizontal="left" vertical="center"/>
    </xf>
    <xf numFmtId="0" fontId="47" fillId="55" borderId="1" xfId="0" applyFont="1" applyFill="1" applyBorder="1" applyAlignment="1">
      <alignment horizontal="left" vertical="center"/>
    </xf>
    <xf numFmtId="0" fontId="47" fillId="55" borderId="11" xfId="0" applyFont="1" applyFill="1" applyBorder="1" applyAlignment="1">
      <alignment vertical="top" wrapText="1"/>
    </xf>
    <xf numFmtId="0" fontId="47" fillId="55" borderId="4" xfId="0" applyFont="1" applyFill="1" applyBorder="1" applyAlignment="1">
      <alignment vertical="center"/>
    </xf>
    <xf numFmtId="0" fontId="47" fillId="55" borderId="58" xfId="0" applyFont="1" applyFill="1" applyBorder="1" applyAlignment="1">
      <alignment horizontal="left" vertical="center"/>
    </xf>
    <xf numFmtId="0" fontId="47" fillId="55" borderId="11" xfId="0" applyFont="1" applyFill="1" applyBorder="1">
      <alignment vertical="center"/>
    </xf>
    <xf numFmtId="0" fontId="47" fillId="57" borderId="11" xfId="0" applyFont="1" applyFill="1" applyBorder="1" applyAlignment="1">
      <alignment vertical="center" wrapText="1"/>
    </xf>
    <xf numFmtId="0" fontId="47" fillId="57" borderId="4" xfId="0" applyFont="1" applyFill="1" applyBorder="1" applyAlignment="1">
      <alignment horizontal="center" vertical="center"/>
    </xf>
    <xf numFmtId="0" fontId="47" fillId="4" borderId="1" xfId="0" applyFont="1" applyFill="1" applyBorder="1" applyAlignment="1">
      <alignment vertical="center"/>
    </xf>
    <xf numFmtId="0" fontId="47" fillId="4" borderId="11" xfId="0" applyFont="1" applyFill="1" applyBorder="1">
      <alignment vertical="center"/>
    </xf>
    <xf numFmtId="0" fontId="57" fillId="4" borderId="1" xfId="0" applyFont="1" applyFill="1" applyBorder="1">
      <alignment vertical="center"/>
    </xf>
    <xf numFmtId="0" fontId="47" fillId="55" borderId="11" xfId="0" applyNumberFormat="1" applyFont="1" applyFill="1" applyBorder="1">
      <alignment vertical="center"/>
    </xf>
    <xf numFmtId="0" fontId="47" fillId="55" borderId="1" xfId="0" applyFont="1" applyFill="1" applyBorder="1" applyAlignment="1">
      <alignment horizontal="right" vertical="center"/>
    </xf>
    <xf numFmtId="0" fontId="47" fillId="55" borderId="13" xfId="0" applyFont="1" applyFill="1" applyBorder="1" applyAlignment="1">
      <alignment vertical="center"/>
    </xf>
    <xf numFmtId="0" fontId="46" fillId="55" borderId="1" xfId="0" applyFont="1" applyFill="1" applyBorder="1" applyAlignment="1">
      <alignment vertical="center"/>
    </xf>
    <xf numFmtId="0" fontId="47" fillId="55" borderId="14" xfId="0" applyFont="1" applyFill="1" applyBorder="1" applyAlignment="1">
      <alignment vertical="center"/>
    </xf>
    <xf numFmtId="0" fontId="8" fillId="54" borderId="0" xfId="0" applyFont="1" applyFill="1" applyBorder="1" applyAlignment="1">
      <alignment vertical="center"/>
    </xf>
    <xf numFmtId="0" fontId="8" fillId="2" borderId="0" xfId="0" applyFont="1" applyFill="1" applyBorder="1" applyAlignment="1">
      <alignment vertical="center"/>
    </xf>
    <xf numFmtId="0" fontId="0" fillId="11" borderId="101" xfId="0" applyFill="1" applyBorder="1">
      <alignment vertical="center"/>
    </xf>
    <xf numFmtId="0" fontId="0" fillId="11" borderId="0" xfId="0" applyFill="1" applyBorder="1">
      <alignment vertical="center"/>
    </xf>
    <xf numFmtId="0" fontId="0" fillId="11" borderId="60" xfId="0" applyFill="1" applyBorder="1">
      <alignment vertical="center"/>
    </xf>
    <xf numFmtId="0" fontId="8" fillId="2" borderId="1" xfId="0" applyFont="1" applyFill="1" applyBorder="1" applyAlignment="1">
      <alignment horizontal="center" vertical="center" shrinkToFit="1"/>
    </xf>
    <xf numFmtId="0" fontId="0" fillId="57" borderId="9" xfId="0" applyFill="1" applyBorder="1" applyAlignment="1">
      <alignment horizontal="center" vertical="center"/>
    </xf>
    <xf numFmtId="0" fontId="0" fillId="57" borderId="11" xfId="0" applyFill="1" applyBorder="1" applyAlignment="1">
      <alignment horizontal="center" vertical="center"/>
    </xf>
    <xf numFmtId="0" fontId="0" fillId="55" borderId="2" xfId="0" applyFill="1" applyBorder="1" applyAlignment="1">
      <alignment vertical="center"/>
    </xf>
    <xf numFmtId="0" fontId="0" fillId="11" borderId="1" xfId="0" applyFill="1" applyBorder="1">
      <alignment vertical="center"/>
    </xf>
    <xf numFmtId="0" fontId="0" fillId="0" borderId="4" xfId="0" applyFill="1" applyBorder="1">
      <alignment vertical="center"/>
    </xf>
    <xf numFmtId="0" fontId="0" fillId="0" borderId="4" xfId="0" applyBorder="1">
      <alignment vertical="center"/>
    </xf>
    <xf numFmtId="0" fontId="8" fillId="2" borderId="1" xfId="0" applyFont="1" applyFill="1" applyBorder="1" applyAlignment="1">
      <alignment horizontal="center" vertical="center" shrinkToFit="1"/>
    </xf>
    <xf numFmtId="0" fontId="0" fillId="55" borderId="11" xfId="0" quotePrefix="1" applyFill="1" applyBorder="1" applyAlignment="1">
      <alignment vertical="center" wrapText="1"/>
    </xf>
    <xf numFmtId="0" fontId="0" fillId="55" borderId="11" xfId="0" applyNumberFormat="1" applyFill="1" applyBorder="1" applyAlignment="1">
      <alignment vertical="center" wrapText="1"/>
    </xf>
    <xf numFmtId="0" fontId="0" fillId="57" borderId="58" xfId="0" applyFill="1" applyBorder="1" applyAlignment="1">
      <alignment horizontal="center" vertical="center"/>
    </xf>
    <xf numFmtId="0" fontId="0" fillId="55" borderId="20" xfId="0" applyFill="1" applyBorder="1" applyAlignment="1">
      <alignment vertical="center"/>
    </xf>
    <xf numFmtId="0" fontId="0" fillId="55" borderId="5" xfId="0" applyFill="1" applyBorder="1" applyAlignment="1">
      <alignment vertical="center"/>
    </xf>
    <xf numFmtId="0" fontId="0" fillId="55" borderId="8" xfId="0" applyFill="1" applyBorder="1" applyAlignment="1">
      <alignment vertical="center"/>
    </xf>
    <xf numFmtId="0" fontId="0" fillId="55" borderId="11" xfId="0" quotePrefix="1" applyFill="1" applyBorder="1">
      <alignment vertical="center"/>
    </xf>
    <xf numFmtId="0" fontId="63" fillId="0" borderId="0" xfId="0" applyFont="1" applyFill="1" applyBorder="1" applyAlignment="1">
      <alignment vertical="center"/>
    </xf>
    <xf numFmtId="0" fontId="47" fillId="11" borderId="100" xfId="0" applyFont="1" applyFill="1" applyBorder="1" applyProtection="1">
      <alignment vertical="center"/>
      <protection locked="0"/>
    </xf>
    <xf numFmtId="178" fontId="8" fillId="0" borderId="1" xfId="0" applyNumberFormat="1" applyFont="1" applyFill="1" applyBorder="1" applyAlignment="1" applyProtection="1">
      <alignment horizontal="center" vertical="center"/>
      <protection locked="0"/>
    </xf>
    <xf numFmtId="0" fontId="8" fillId="0" borderId="1" xfId="0" applyFont="1" applyBorder="1" applyAlignment="1">
      <alignment horizontal="center" vertical="center"/>
    </xf>
    <xf numFmtId="0" fontId="19" fillId="0" borderId="9" xfId="0" applyFont="1" applyBorder="1" applyAlignment="1">
      <alignment horizontal="left" vertical="center" shrinkToFit="1"/>
    </xf>
    <xf numFmtId="0" fontId="70" fillId="0" borderId="0" xfId="0" applyNumberFormat="1" applyFont="1" applyBorder="1" applyAlignment="1">
      <alignment vertical="center" shrinkToFit="1"/>
    </xf>
    <xf numFmtId="0" fontId="70" fillId="0" borderId="0" xfId="0" applyNumberFormat="1" applyFont="1" applyFill="1" applyBorder="1" applyAlignment="1">
      <alignment vertical="center" shrinkToFit="1"/>
    </xf>
    <xf numFmtId="0" fontId="8" fillId="46" borderId="102" xfId="0" applyFont="1" applyFill="1" applyBorder="1" applyAlignment="1">
      <alignment horizontal="center" vertical="center"/>
    </xf>
    <xf numFmtId="0" fontId="8" fillId="10" borderId="102" xfId="0" applyFont="1" applyFill="1" applyBorder="1" applyAlignment="1" applyProtection="1">
      <alignment horizontal="left" vertical="center"/>
      <protection locked="0"/>
    </xf>
    <xf numFmtId="0" fontId="8" fillId="4" borderId="103" xfId="0" applyFont="1" applyFill="1" applyBorder="1" applyAlignment="1">
      <alignment horizontal="right" vertical="center"/>
    </xf>
    <xf numFmtId="0" fontId="8" fillId="10" borderId="104" xfId="0" applyNumberFormat="1" applyFont="1" applyFill="1" applyBorder="1" applyAlignment="1" applyProtection="1">
      <alignment horizontal="center" vertical="center"/>
      <protection locked="0"/>
    </xf>
    <xf numFmtId="0" fontId="8" fillId="0" borderId="105" xfId="0" applyFont="1" applyBorder="1" applyAlignment="1">
      <alignment horizontal="center" vertical="center"/>
    </xf>
    <xf numFmtId="20" fontId="1" fillId="0" borderId="1" xfId="2" applyNumberFormat="1" applyFont="1" applyBorder="1">
      <alignment vertical="center"/>
    </xf>
    <xf numFmtId="20" fontId="0" fillId="11" borderId="0" xfId="0" applyNumberFormat="1" applyFill="1" applyAlignment="1">
      <alignment vertical="center" shrinkToFit="1"/>
    </xf>
    <xf numFmtId="0" fontId="8" fillId="4" borderId="1" xfId="0" applyFont="1" applyFill="1" applyBorder="1" applyAlignment="1">
      <alignment horizontal="left" vertical="top" shrinkToFit="1"/>
    </xf>
    <xf numFmtId="191" fontId="8" fillId="0" borderId="1" xfId="0" applyNumberFormat="1" applyFont="1" applyFill="1" applyBorder="1" applyAlignment="1" applyProtection="1">
      <alignment vertical="center" shrinkToFit="1"/>
      <protection locked="0"/>
    </xf>
    <xf numFmtId="191" fontId="8" fillId="0" borderId="1" xfId="0" applyNumberFormat="1" applyFont="1" applyFill="1" applyBorder="1" applyAlignment="1" applyProtection="1">
      <alignment horizontal="center" vertical="center" shrinkToFit="1"/>
      <protection locked="0"/>
    </xf>
    <xf numFmtId="191" fontId="8" fillId="4" borderId="1" xfId="0" applyNumberFormat="1" applyFont="1" applyFill="1" applyBorder="1" applyAlignment="1" applyProtection="1">
      <alignment horizontal="center" vertical="center" shrinkToFit="1"/>
    </xf>
    <xf numFmtId="49" fontId="8" fillId="9" borderId="0" xfId="0" applyNumberFormat="1" applyFont="1" applyFill="1" applyBorder="1" applyAlignment="1">
      <alignment vertical="center"/>
    </xf>
    <xf numFmtId="49" fontId="8" fillId="4" borderId="0" xfId="0" applyNumberFormat="1" applyFont="1" applyFill="1" applyBorder="1" applyAlignment="1">
      <alignment vertical="center"/>
    </xf>
    <xf numFmtId="49" fontId="8" fillId="2" borderId="1" xfId="0" applyNumberFormat="1" applyFont="1" applyFill="1" applyBorder="1" applyAlignment="1">
      <alignment horizontal="center" vertical="center" shrinkToFit="1"/>
    </xf>
    <xf numFmtId="49" fontId="0" fillId="9" borderId="0" xfId="0" applyNumberFormat="1" applyFill="1">
      <alignment vertical="center"/>
    </xf>
    <xf numFmtId="49" fontId="8" fillId="4" borderId="1" xfId="0" applyNumberFormat="1" applyFont="1" applyFill="1" applyBorder="1" applyAlignment="1" applyProtection="1">
      <alignment vertical="center" shrinkToFit="1"/>
    </xf>
    <xf numFmtId="49" fontId="0" fillId="4" borderId="0" xfId="0" applyNumberFormat="1" applyFill="1">
      <alignment vertical="center"/>
    </xf>
    <xf numFmtId="49" fontId="0" fillId="0" borderId="0" xfId="0" applyNumberFormat="1">
      <alignment vertical="center"/>
    </xf>
    <xf numFmtId="49" fontId="16" fillId="12" borderId="1" xfId="2" applyNumberFormat="1" applyFont="1" applyFill="1" applyBorder="1">
      <alignment vertical="center"/>
    </xf>
    <xf numFmtId="0" fontId="8" fillId="45" borderId="1" xfId="0" applyNumberFormat="1" applyFont="1" applyFill="1" applyBorder="1" applyAlignment="1">
      <alignment horizontal="center" vertical="center" shrinkToFit="1"/>
    </xf>
    <xf numFmtId="0" fontId="8" fillId="4" borderId="1" xfId="0" applyNumberFormat="1" applyFont="1" applyFill="1" applyBorder="1" applyAlignment="1">
      <alignment vertical="center" shrinkToFit="1"/>
    </xf>
    <xf numFmtId="0" fontId="8" fillId="4" borderId="0" xfId="0" applyNumberFormat="1" applyFont="1" applyFill="1" applyBorder="1" applyAlignment="1">
      <alignment vertical="center"/>
    </xf>
    <xf numFmtId="0" fontId="8" fillId="9" borderId="0" xfId="0" applyNumberFormat="1" applyFont="1" applyFill="1" applyBorder="1" applyAlignment="1">
      <alignment horizontal="center" vertical="center" shrinkToFit="1"/>
    </xf>
    <xf numFmtId="0" fontId="8" fillId="4" borderId="0" xfId="0" applyNumberFormat="1" applyFont="1" applyFill="1" applyBorder="1" applyAlignment="1" applyProtection="1">
      <alignment horizontal="center" vertical="center" shrinkToFit="1"/>
    </xf>
    <xf numFmtId="0" fontId="8" fillId="4" borderId="0" xfId="0" applyNumberFormat="1" applyFont="1" applyFill="1" applyBorder="1" applyAlignment="1">
      <alignment vertical="center" shrinkToFit="1"/>
    </xf>
    <xf numFmtId="0" fontId="8" fillId="9" borderId="0" xfId="0" applyNumberFormat="1" applyFont="1" applyFill="1" applyBorder="1" applyAlignment="1">
      <alignment vertical="center"/>
    </xf>
    <xf numFmtId="0" fontId="8" fillId="4" borderId="7" xfId="0" applyNumberFormat="1" applyFont="1" applyFill="1" applyBorder="1" applyAlignment="1">
      <alignment vertical="center"/>
    </xf>
    <xf numFmtId="0" fontId="0" fillId="0" borderId="0" xfId="0" applyNumberFormat="1">
      <alignment vertical="center"/>
    </xf>
    <xf numFmtId="0" fontId="16" fillId="12" borderId="1" xfId="2" applyNumberFormat="1" applyFont="1" applyFill="1" applyBorder="1">
      <alignment vertical="center"/>
    </xf>
    <xf numFmtId="191" fontId="0" fillId="0" borderId="0" xfId="0" applyNumberFormat="1">
      <alignment vertical="center"/>
    </xf>
    <xf numFmtId="191" fontId="16" fillId="12" borderId="1" xfId="2" applyNumberFormat="1" applyFont="1" applyFill="1" applyBorder="1">
      <alignment vertical="center"/>
    </xf>
    <xf numFmtId="191" fontId="16" fillId="11" borderId="1" xfId="2" applyNumberFormat="1" applyFont="1" applyFill="1" applyBorder="1">
      <alignment vertical="center"/>
    </xf>
    <xf numFmtId="0" fontId="8" fillId="2" borderId="1" xfId="0" applyNumberFormat="1" applyFont="1" applyFill="1" applyBorder="1" applyAlignment="1">
      <alignment horizontal="center" vertical="center" shrinkToFit="1"/>
    </xf>
    <xf numFmtId="0" fontId="0" fillId="56" borderId="0" xfId="0" applyNumberFormat="1" applyFill="1">
      <alignment vertical="center"/>
    </xf>
    <xf numFmtId="0" fontId="8" fillId="2" borderId="11" xfId="0" applyNumberFormat="1" applyFont="1" applyFill="1" applyBorder="1" applyAlignment="1">
      <alignment horizontal="center" vertical="center" shrinkToFit="1"/>
    </xf>
    <xf numFmtId="0" fontId="8" fillId="54" borderId="11" xfId="0" applyNumberFormat="1" applyFont="1" applyFill="1" applyBorder="1" applyAlignment="1">
      <alignment horizontal="center" vertical="center" shrinkToFit="1"/>
    </xf>
    <xf numFmtId="0" fontId="0" fillId="9" borderId="0" xfId="0" applyNumberFormat="1" applyFill="1">
      <alignment vertical="center"/>
    </xf>
    <xf numFmtId="49" fontId="8" fillId="9" borderId="1" xfId="0" applyNumberFormat="1" applyFont="1" applyFill="1" applyBorder="1" applyAlignment="1">
      <alignment horizontal="left" vertical="center" shrinkToFit="1"/>
    </xf>
    <xf numFmtId="49" fontId="8" fillId="9" borderId="1" xfId="0" applyNumberFormat="1" applyFont="1" applyFill="1" applyBorder="1" applyAlignment="1">
      <alignment horizontal="center" vertical="center" shrinkToFit="1"/>
    </xf>
    <xf numFmtId="0" fontId="8" fillId="54" borderId="1" xfId="0" applyNumberFormat="1" applyFont="1" applyFill="1" applyBorder="1" applyAlignment="1">
      <alignment horizontal="center" vertical="center" shrinkToFit="1"/>
    </xf>
    <xf numFmtId="0" fontId="8" fillId="2" borderId="9" xfId="0" applyNumberFormat="1" applyFont="1" applyFill="1" applyBorder="1" applyAlignment="1">
      <alignment horizontal="center" vertical="center" shrinkToFit="1"/>
    </xf>
    <xf numFmtId="0" fontId="8" fillId="2" borderId="1" xfId="0" applyNumberFormat="1" applyFont="1" applyFill="1" applyBorder="1" applyAlignment="1">
      <alignment horizontal="center" vertical="center"/>
    </xf>
    <xf numFmtId="0" fontId="8" fillId="2" borderId="1" xfId="0" applyNumberFormat="1" applyFont="1" applyFill="1" applyBorder="1" applyAlignment="1">
      <alignment horizontal="center" vertical="center" wrapText="1"/>
    </xf>
    <xf numFmtId="0" fontId="8" fillId="4" borderId="7" xfId="0" applyNumberFormat="1" applyFont="1" applyFill="1" applyBorder="1" applyAlignment="1" applyProtection="1">
      <alignment vertical="center"/>
    </xf>
    <xf numFmtId="0" fontId="8" fillId="4" borderId="0" xfId="0" applyNumberFormat="1" applyFont="1" applyFill="1" applyBorder="1" applyAlignment="1" applyProtection="1">
      <alignment vertical="center"/>
    </xf>
    <xf numFmtId="0" fontId="8" fillId="2" borderId="1" xfId="0" applyNumberFormat="1" applyFont="1" applyFill="1" applyBorder="1" applyAlignment="1" applyProtection="1">
      <alignment horizontal="center" vertical="center" shrinkToFit="1"/>
    </xf>
    <xf numFmtId="0" fontId="8" fillId="2" borderId="9" xfId="0" applyNumberFormat="1" applyFont="1" applyFill="1" applyBorder="1" applyAlignment="1" applyProtection="1">
      <alignment horizontal="center" vertical="center" shrinkToFit="1"/>
    </xf>
    <xf numFmtId="0" fontId="8" fillId="2" borderId="11" xfId="0" applyNumberFormat="1" applyFont="1" applyFill="1" applyBorder="1" applyAlignment="1" applyProtection="1">
      <alignment horizontal="center" vertical="center" shrinkToFit="1"/>
    </xf>
    <xf numFmtId="0" fontId="8" fillId="4" borderId="1" xfId="0" applyNumberFormat="1" applyFont="1" applyFill="1" applyBorder="1" applyAlignment="1">
      <alignment horizontal="center" vertical="center" shrinkToFit="1"/>
    </xf>
    <xf numFmtId="0" fontId="10" fillId="2" borderId="1" xfId="0" applyNumberFormat="1" applyFont="1" applyFill="1" applyBorder="1" applyAlignment="1">
      <alignment horizontal="center" vertical="center" shrinkToFit="1"/>
    </xf>
    <xf numFmtId="0" fontId="0" fillId="4" borderId="0" xfId="0" applyNumberFormat="1" applyFill="1">
      <alignment vertical="center"/>
    </xf>
    <xf numFmtId="49" fontId="8" fillId="0" borderId="1" xfId="0" applyNumberFormat="1" applyFont="1" applyFill="1" applyBorder="1" applyAlignment="1" applyProtection="1">
      <alignment vertical="center"/>
      <protection locked="0"/>
    </xf>
    <xf numFmtId="49" fontId="0" fillId="0" borderId="10" xfId="0" applyNumberFormat="1" applyBorder="1">
      <alignment vertical="center"/>
    </xf>
    <xf numFmtId="49" fontId="8" fillId="0" borderId="1" xfId="0" applyNumberFormat="1" applyFont="1" applyBorder="1" applyAlignment="1" applyProtection="1">
      <alignment vertical="center" shrinkToFit="1"/>
      <protection locked="0"/>
    </xf>
    <xf numFmtId="49" fontId="8" fillId="4" borderId="1" xfId="0" applyNumberFormat="1" applyFont="1" applyFill="1" applyBorder="1" applyAlignment="1" applyProtection="1">
      <alignment vertical="center"/>
    </xf>
    <xf numFmtId="49" fontId="0" fillId="4" borderId="10" xfId="0" applyNumberFormat="1" applyFill="1" applyBorder="1" applyProtection="1">
      <alignment vertical="center"/>
    </xf>
    <xf numFmtId="0" fontId="8" fillId="0" borderId="1" xfId="0" applyFont="1" applyFill="1" applyBorder="1" applyAlignment="1" applyProtection="1">
      <alignment horizontal="left" vertical="center" shrinkToFit="1"/>
      <protection locked="0"/>
    </xf>
    <xf numFmtId="200" fontId="8" fillId="0" borderId="1" xfId="0" applyNumberFormat="1" applyFont="1" applyFill="1" applyBorder="1" applyAlignment="1" applyProtection="1">
      <alignment vertical="center"/>
      <protection locked="0"/>
    </xf>
    <xf numFmtId="200" fontId="8" fillId="9" borderId="1" xfId="0" applyNumberFormat="1" applyFont="1" applyFill="1" applyBorder="1" applyAlignment="1" applyProtection="1">
      <alignment vertical="center"/>
    </xf>
    <xf numFmtId="0" fontId="8" fillId="4" borderId="0" xfId="0" applyFont="1" applyFill="1" applyBorder="1" applyAlignment="1">
      <alignment horizontal="center" vertical="center"/>
    </xf>
    <xf numFmtId="200" fontId="8" fillId="0" borderId="1" xfId="0" applyNumberFormat="1" applyFont="1" applyFill="1" applyBorder="1" applyAlignment="1" applyProtection="1">
      <alignment horizontal="center" vertical="center"/>
      <protection locked="0"/>
    </xf>
    <xf numFmtId="0" fontId="47" fillId="0" borderId="0" xfId="0" applyFont="1" applyBorder="1">
      <alignment vertical="center"/>
    </xf>
    <xf numFmtId="0" fontId="8" fillId="0" borderId="0" xfId="0" applyFont="1" applyFill="1" applyBorder="1">
      <alignment vertical="center"/>
    </xf>
    <xf numFmtId="0" fontId="8" fillId="4" borderId="0" xfId="0" applyFont="1" applyFill="1" applyBorder="1" applyAlignment="1">
      <alignment horizontal="center" vertical="center"/>
    </xf>
    <xf numFmtId="0" fontId="8" fillId="0" borderId="1" xfId="0" applyFont="1" applyFill="1" applyBorder="1" applyAlignment="1" applyProtection="1">
      <alignment horizontal="left" vertical="center"/>
      <protection locked="0"/>
    </xf>
    <xf numFmtId="0" fontId="8" fillId="0" borderId="9" xfId="0" applyFont="1" applyFill="1" applyBorder="1" applyAlignment="1" applyProtection="1">
      <alignment horizontal="left" vertical="center" shrinkToFit="1"/>
      <protection locked="0"/>
    </xf>
    <xf numFmtId="0" fontId="8" fillId="4" borderId="0" xfId="0" applyFont="1" applyFill="1" applyBorder="1" applyAlignment="1">
      <alignment horizontal="center" vertical="center"/>
    </xf>
    <xf numFmtId="49" fontId="1" fillId="0" borderId="1" xfId="2" applyNumberFormat="1" applyFont="1" applyBorder="1">
      <alignment vertical="center"/>
    </xf>
    <xf numFmtId="49" fontId="8" fillId="2" borderId="1" xfId="0" applyNumberFormat="1" applyFont="1" applyFill="1" applyBorder="1" applyAlignment="1">
      <alignment horizontal="center" vertical="center"/>
    </xf>
    <xf numFmtId="0" fontId="8" fillId="4" borderId="14" xfId="0" applyNumberFormat="1" applyFont="1" applyFill="1" applyBorder="1" applyAlignment="1">
      <alignment vertical="center" shrinkToFit="1"/>
    </xf>
    <xf numFmtId="177" fontId="8" fillId="4" borderId="1" xfId="0" applyNumberFormat="1" applyFont="1" applyFill="1" applyBorder="1" applyAlignment="1" applyProtection="1">
      <alignment horizontal="center" vertical="center" shrinkToFit="1"/>
    </xf>
    <xf numFmtId="0" fontId="8" fillId="4" borderId="14" xfId="0" applyNumberFormat="1" applyFont="1" applyFill="1" applyBorder="1" applyAlignment="1">
      <alignment horizontal="center" vertical="center" shrinkToFit="1"/>
    </xf>
    <xf numFmtId="198" fontId="8" fillId="9" borderId="1" xfId="0" applyNumberFormat="1" applyFont="1" applyFill="1" applyBorder="1" applyAlignment="1">
      <alignment horizontal="center" vertical="center" shrinkToFit="1"/>
    </xf>
    <xf numFmtId="0" fontId="8" fillId="9" borderId="0" xfId="0" applyFont="1" applyFill="1" applyBorder="1" applyAlignment="1">
      <alignment horizontal="left" vertical="center"/>
    </xf>
    <xf numFmtId="0" fontId="0" fillId="55" borderId="7" xfId="0" applyFill="1" applyBorder="1" applyAlignment="1">
      <alignment vertical="center"/>
    </xf>
    <xf numFmtId="0" fontId="0" fillId="55" borderId="11" xfId="0" applyFill="1" applyBorder="1" applyAlignment="1">
      <alignment vertical="center"/>
    </xf>
    <xf numFmtId="0" fontId="0" fillId="0" borderId="0" xfId="0">
      <alignment vertical="center"/>
    </xf>
    <xf numFmtId="0" fontId="8" fillId="9" borderId="7" xfId="0" applyFont="1" applyFill="1" applyBorder="1" applyAlignment="1">
      <alignment vertical="center"/>
    </xf>
    <xf numFmtId="197" fontId="8" fillId="9" borderId="1" xfId="0" applyNumberFormat="1" applyFont="1" applyFill="1" applyBorder="1" applyAlignment="1">
      <alignment horizontal="center" vertical="center" shrinkToFit="1"/>
    </xf>
    <xf numFmtId="0" fontId="74" fillId="0" borderId="0" xfId="0" applyFont="1" applyFill="1" applyBorder="1" applyAlignment="1">
      <alignment vertical="center"/>
    </xf>
    <xf numFmtId="192" fontId="0" fillId="0" borderId="0" xfId="0" applyNumberFormat="1">
      <alignment vertical="center"/>
    </xf>
    <xf numFmtId="0" fontId="8" fillId="45" borderId="9" xfId="0" applyFont="1" applyFill="1" applyBorder="1" applyAlignment="1">
      <alignment horizontal="centerContinuous" vertical="center" shrinkToFit="1"/>
    </xf>
    <xf numFmtId="0" fontId="8" fillId="45" borderId="11" xfId="0" applyFont="1" applyFill="1" applyBorder="1" applyAlignment="1">
      <alignment horizontal="centerContinuous" vertical="center" shrinkToFit="1"/>
    </xf>
    <xf numFmtId="0" fontId="57" fillId="0" borderId="1" xfId="2" applyFont="1" applyBorder="1" applyAlignment="1">
      <alignment vertical="center" shrinkToFit="1"/>
    </xf>
    <xf numFmtId="0" fontId="57" fillId="0" borderId="146" xfId="2" applyFont="1" applyBorder="1" applyAlignment="1">
      <alignment vertical="center" shrinkToFit="1"/>
    </xf>
    <xf numFmtId="0" fontId="57" fillId="0" borderId="147" xfId="2" applyFont="1" applyBorder="1">
      <alignment vertical="center"/>
    </xf>
    <xf numFmtId="0" fontId="57" fillId="0" borderId="1" xfId="2" applyFont="1" applyBorder="1">
      <alignment vertical="center"/>
    </xf>
    <xf numFmtId="0" fontId="47" fillId="0" borderId="0" xfId="0" applyNumberFormat="1" applyFont="1">
      <alignment vertical="center"/>
    </xf>
    <xf numFmtId="0" fontId="47" fillId="11" borderId="0" xfId="0" applyNumberFormat="1" applyFont="1" applyFill="1">
      <alignment vertical="center"/>
    </xf>
    <xf numFmtId="195" fontId="57" fillId="0" borderId="1" xfId="2" applyNumberFormat="1" applyFont="1" applyBorder="1" applyAlignment="1">
      <alignment vertical="center" shrinkToFit="1"/>
    </xf>
    <xf numFmtId="0" fontId="0" fillId="0" borderId="0" xfId="0" applyNumberFormat="1" applyAlignment="1">
      <alignment vertical="center" shrinkToFit="1"/>
    </xf>
    <xf numFmtId="49" fontId="47" fillId="0" borderId="0" xfId="0" applyNumberFormat="1" applyFont="1">
      <alignment vertical="center"/>
    </xf>
    <xf numFmtId="177" fontId="57" fillId="0" borderId="1" xfId="2" applyNumberFormat="1" applyFont="1" applyBorder="1" applyAlignment="1">
      <alignment vertical="center" shrinkToFit="1"/>
    </xf>
    <xf numFmtId="49" fontId="47" fillId="11" borderId="0" xfId="0" applyNumberFormat="1" applyFont="1" applyFill="1">
      <alignment vertical="center"/>
    </xf>
    <xf numFmtId="0" fontId="75" fillId="0" borderId="1" xfId="0" applyFont="1" applyFill="1" applyBorder="1" applyAlignment="1">
      <alignment horizontal="right" vertical="center" shrinkToFit="1"/>
    </xf>
    <xf numFmtId="198" fontId="75" fillId="0" borderId="1" xfId="0" applyNumberFormat="1" applyFont="1" applyFill="1" applyBorder="1" applyAlignment="1">
      <alignment horizontal="center" vertical="center" shrinkToFit="1"/>
    </xf>
    <xf numFmtId="0" fontId="75" fillId="0" borderId="1" xfId="0" applyFont="1" applyFill="1" applyBorder="1" applyAlignment="1">
      <alignment horizontal="center" vertical="center" wrapText="1"/>
    </xf>
    <xf numFmtId="0" fontId="75" fillId="0" borderId="1" xfId="0" applyFont="1" applyFill="1" applyBorder="1" applyAlignment="1">
      <alignment horizontal="center" vertical="center" shrinkToFit="1"/>
    </xf>
    <xf numFmtId="0" fontId="75" fillId="0" borderId="1" xfId="0" applyFont="1" applyFill="1" applyBorder="1" applyAlignment="1">
      <alignment horizontal="left" vertical="center" wrapText="1" shrinkToFit="1"/>
    </xf>
    <xf numFmtId="0" fontId="75" fillId="0" borderId="1" xfId="0" applyFont="1" applyFill="1" applyBorder="1" applyAlignment="1">
      <alignment horizontal="left" vertical="center" shrinkToFit="1"/>
    </xf>
    <xf numFmtId="0" fontId="75" fillId="0" borderId="1" xfId="0" applyNumberFormat="1" applyFont="1" applyFill="1" applyBorder="1" applyAlignment="1">
      <alignment horizontal="center" vertical="center" wrapText="1" shrinkToFit="1"/>
    </xf>
    <xf numFmtId="0" fontId="0" fillId="62" borderId="0" xfId="0" applyFill="1">
      <alignment vertical="center"/>
    </xf>
    <xf numFmtId="0" fontId="8" fillId="2" borderId="1" xfId="0" applyFont="1" applyFill="1" applyBorder="1" applyAlignment="1">
      <alignment horizontal="center" vertical="center" shrinkToFit="1"/>
    </xf>
    <xf numFmtId="0" fontId="75" fillId="51" borderId="1" xfId="0" applyFont="1" applyFill="1" applyBorder="1" applyAlignment="1">
      <alignment horizontal="center" vertical="center" shrinkToFit="1"/>
    </xf>
    <xf numFmtId="0" fontId="75" fillId="51" borderId="1" xfId="0" applyFont="1" applyFill="1" applyBorder="1" applyAlignment="1">
      <alignment horizontal="center" vertical="center" wrapText="1" shrinkToFit="1"/>
    </xf>
    <xf numFmtId="0" fontId="75" fillId="51" borderId="11" xfId="0" applyFont="1" applyFill="1" applyBorder="1" applyAlignment="1">
      <alignment horizontal="center" vertical="center" wrapText="1"/>
    </xf>
    <xf numFmtId="0" fontId="48" fillId="0" borderId="0" xfId="0" applyFont="1" applyAlignment="1">
      <alignment vertical="center" shrinkToFit="1"/>
    </xf>
    <xf numFmtId="0" fontId="48" fillId="11" borderId="0" xfId="0" applyFont="1" applyFill="1">
      <alignment vertical="center"/>
    </xf>
    <xf numFmtId="0" fontId="44" fillId="0" borderId="0" xfId="0" applyFont="1" applyFill="1" applyBorder="1" applyAlignment="1">
      <alignment horizontal="right" vertical="center"/>
    </xf>
    <xf numFmtId="183" fontId="44" fillId="0" borderId="0" xfId="0" applyNumberFormat="1" applyFont="1" applyFill="1" applyBorder="1" applyAlignment="1">
      <alignment horizontal="left" vertical="center" shrinkToFit="1"/>
    </xf>
    <xf numFmtId="0" fontId="44" fillId="0" borderId="0" xfId="0" applyFont="1" applyFill="1" applyBorder="1" applyAlignment="1">
      <alignment vertical="center"/>
    </xf>
    <xf numFmtId="0" fontId="44" fillId="0" borderId="1" xfId="0" applyFont="1" applyBorder="1" applyAlignment="1">
      <alignment horizontal="center" vertical="center" shrinkToFit="1"/>
    </xf>
    <xf numFmtId="0" fontId="44" fillId="0" borderId="1" xfId="0" applyFont="1" applyFill="1" applyBorder="1" applyAlignment="1">
      <alignment horizontal="center" vertical="center" shrinkToFit="1"/>
    </xf>
    <xf numFmtId="0" fontId="75" fillId="0" borderId="1" xfId="0" applyFont="1" applyBorder="1" applyAlignment="1">
      <alignment vertical="center" wrapText="1"/>
    </xf>
    <xf numFmtId="0" fontId="75" fillId="0" borderId="1" xfId="0" applyFont="1" applyBorder="1" applyAlignment="1">
      <alignment horizontal="center" vertical="center" wrapText="1"/>
    </xf>
    <xf numFmtId="0" fontId="75" fillId="0" borderId="1" xfId="0" applyFont="1" applyBorder="1" applyAlignment="1">
      <alignment horizontal="center" vertical="center" shrinkToFit="1"/>
    </xf>
    <xf numFmtId="14" fontId="75" fillId="0" borderId="1" xfId="0" applyNumberFormat="1" applyFont="1" applyBorder="1" applyAlignment="1">
      <alignment horizontal="center" vertical="center" wrapText="1"/>
    </xf>
    <xf numFmtId="0" fontId="60" fillId="0" borderId="1" xfId="0" applyFont="1" applyBorder="1" applyAlignment="1">
      <alignment horizontal="left" vertical="top" wrapText="1"/>
    </xf>
    <xf numFmtId="0" fontId="44" fillId="0" borderId="9" xfId="0" applyFont="1" applyBorder="1" applyAlignment="1">
      <alignment horizontal="center" vertical="center" shrinkToFit="1"/>
    </xf>
    <xf numFmtId="3" fontId="44" fillId="0" borderId="1" xfId="0" applyNumberFormat="1" applyFont="1" applyFill="1" applyBorder="1" applyAlignment="1">
      <alignment horizontal="center" vertical="center" shrinkToFit="1"/>
    </xf>
    <xf numFmtId="0" fontId="76" fillId="0" borderId="28" xfId="0" applyFont="1" applyBorder="1" applyAlignment="1">
      <alignment horizontal="center" vertical="center" shrinkToFit="1"/>
    </xf>
    <xf numFmtId="0" fontId="76" fillId="0" borderId="1" xfId="0" applyFont="1" applyBorder="1" applyAlignment="1">
      <alignment horizontal="center" vertical="center"/>
    </xf>
    <xf numFmtId="0" fontId="76" fillId="0" borderId="33" xfId="0" applyFont="1" applyBorder="1" applyAlignment="1">
      <alignment horizontal="center" vertical="center"/>
    </xf>
    <xf numFmtId="0" fontId="76" fillId="0" borderId="105" xfId="0" applyFont="1" applyBorder="1" applyAlignment="1">
      <alignment horizontal="center" vertical="center"/>
    </xf>
    <xf numFmtId="0" fontId="78" fillId="0" borderId="9" xfId="0" applyFont="1" applyBorder="1" applyAlignment="1">
      <alignment horizontal="left" vertical="center" shrinkToFit="1"/>
    </xf>
    <xf numFmtId="0" fontId="76" fillId="0" borderId="32" xfId="0" applyFont="1" applyBorder="1" applyAlignment="1">
      <alignment vertical="center"/>
    </xf>
    <xf numFmtId="0" fontId="76" fillId="0" borderId="34" xfId="0" applyFont="1" applyBorder="1" applyAlignment="1">
      <alignment horizontal="center" vertical="center" shrinkToFit="1"/>
    </xf>
    <xf numFmtId="0" fontId="44" fillId="0" borderId="0" xfId="0" applyFont="1" applyBorder="1" applyAlignment="1">
      <alignment vertical="center"/>
    </xf>
    <xf numFmtId="0" fontId="44" fillId="0" borderId="28" xfId="0" applyFont="1" applyBorder="1" applyAlignment="1">
      <alignment horizontal="center" vertical="center" shrinkToFit="1"/>
    </xf>
    <xf numFmtId="0" fontId="44" fillId="0" borderId="1" xfId="0" applyFont="1" applyBorder="1" applyAlignment="1">
      <alignment horizontal="center" vertical="center"/>
    </xf>
    <xf numFmtId="0" fontId="44" fillId="0" borderId="33" xfId="0" applyFont="1" applyBorder="1" applyAlignment="1">
      <alignment horizontal="center" vertical="center"/>
    </xf>
    <xf numFmtId="0" fontId="44" fillId="0" borderId="105" xfId="0" applyFont="1" applyBorder="1" applyAlignment="1">
      <alignment horizontal="center" vertical="center"/>
    </xf>
    <xf numFmtId="0" fontId="79" fillId="0" borderId="9" xfId="0" applyFont="1" applyBorder="1" applyAlignment="1">
      <alignment horizontal="left" vertical="center" shrinkToFit="1"/>
    </xf>
    <xf numFmtId="0" fontId="44" fillId="0" borderId="32" xfId="0" applyFont="1" applyBorder="1" applyAlignment="1">
      <alignment vertical="center"/>
    </xf>
    <xf numFmtId="0" fontId="44" fillId="0" borderId="34" xfId="0" applyFont="1" applyBorder="1" applyAlignment="1">
      <alignment horizontal="center" vertical="center" shrinkToFit="1"/>
    </xf>
    <xf numFmtId="0" fontId="44" fillId="0" borderId="27" xfId="0" applyFont="1" applyBorder="1" applyAlignment="1">
      <alignment vertical="center"/>
    </xf>
    <xf numFmtId="0" fontId="80" fillId="0" borderId="27" xfId="0" applyFont="1" applyBorder="1" applyAlignment="1">
      <alignment vertical="center"/>
    </xf>
    <xf numFmtId="0" fontId="82" fillId="0" borderId="28" xfId="0" applyFont="1" applyBorder="1" applyAlignment="1">
      <alignment horizontal="center" vertical="center" shrinkToFit="1"/>
    </xf>
    <xf numFmtId="0" fontId="82" fillId="0" borderId="1" xfId="0" applyFont="1" applyBorder="1" applyAlignment="1">
      <alignment horizontal="center" vertical="center"/>
    </xf>
    <xf numFmtId="0" fontId="82" fillId="0" borderId="33" xfId="0" applyFont="1" applyBorder="1" applyAlignment="1">
      <alignment horizontal="center" vertical="center"/>
    </xf>
    <xf numFmtId="0" fontId="82" fillId="0" borderId="105" xfId="0" applyFont="1" applyBorder="1" applyAlignment="1">
      <alignment horizontal="center" vertical="center"/>
    </xf>
    <xf numFmtId="0" fontId="83" fillId="0" borderId="9" xfId="0" applyFont="1" applyBorder="1" applyAlignment="1">
      <alignment horizontal="left" vertical="center" shrinkToFit="1"/>
    </xf>
    <xf numFmtId="0" fontId="82" fillId="0" borderId="32" xfId="0" applyFont="1" applyBorder="1" applyAlignment="1">
      <alignment vertical="center"/>
    </xf>
    <xf numFmtId="0" fontId="82" fillId="0" borderId="34" xfId="0" applyFont="1" applyBorder="1" applyAlignment="1">
      <alignment horizontal="center" vertical="center" shrinkToFit="1"/>
    </xf>
    <xf numFmtId="0" fontId="84" fillId="0" borderId="0" xfId="0" applyFont="1">
      <alignment vertical="center"/>
    </xf>
    <xf numFmtId="0" fontId="44" fillId="51" borderId="1" xfId="0" applyFont="1" applyFill="1" applyBorder="1" applyAlignment="1">
      <alignment horizontal="center" vertical="center" shrinkToFit="1"/>
    </xf>
    <xf numFmtId="0" fontId="44" fillId="51" borderId="1" xfId="0" applyFont="1" applyFill="1" applyBorder="1" applyAlignment="1">
      <alignment horizontal="center" vertical="center" wrapText="1" shrinkToFit="1"/>
    </xf>
    <xf numFmtId="0" fontId="44" fillId="0" borderId="1" xfId="0" applyFont="1" applyBorder="1" applyAlignment="1">
      <alignment horizontal="right" vertical="center" wrapText="1"/>
    </xf>
    <xf numFmtId="198" fontId="44" fillId="0" borderId="1" xfId="0" applyNumberFormat="1" applyFont="1" applyBorder="1" applyAlignment="1">
      <alignment vertical="center" wrapText="1"/>
    </xf>
    <xf numFmtId="0" fontId="44" fillId="0" borderId="1" xfId="0" applyFont="1" applyBorder="1" applyAlignment="1">
      <alignment vertical="center" wrapText="1"/>
    </xf>
    <xf numFmtId="0" fontId="44" fillId="0" borderId="1" xfId="0" applyFont="1" applyFill="1" applyBorder="1" applyAlignment="1">
      <alignment vertical="center" wrapText="1"/>
    </xf>
    <xf numFmtId="0" fontId="44" fillId="51" borderId="9" xfId="0" applyFont="1" applyFill="1" applyBorder="1" applyAlignment="1">
      <alignment horizontal="centerContinuous" vertical="center"/>
    </xf>
    <xf numFmtId="0" fontId="48" fillId="51" borderId="10" xfId="0" applyFont="1" applyFill="1" applyBorder="1" applyAlignment="1">
      <alignment horizontal="centerContinuous" vertical="center"/>
    </xf>
    <xf numFmtId="0" fontId="48" fillId="51" borderId="11" xfId="0" applyFont="1" applyFill="1" applyBorder="1" applyAlignment="1">
      <alignment horizontal="centerContinuous" vertical="center"/>
    </xf>
    <xf numFmtId="0" fontId="44" fillId="0" borderId="0" xfId="0" applyFont="1" applyFill="1" applyBorder="1" applyAlignment="1">
      <alignment horizontal="right"/>
    </xf>
    <xf numFmtId="0" fontId="44" fillId="0" borderId="122" xfId="0" applyFont="1" applyFill="1" applyBorder="1" applyAlignment="1">
      <alignment horizontal="centerContinuous" vertical="center" shrinkToFit="1"/>
    </xf>
    <xf numFmtId="0" fontId="8" fillId="2" borderId="1" xfId="0" applyFont="1" applyFill="1" applyBorder="1" applyAlignment="1">
      <alignment horizontal="center" vertical="center" shrinkToFit="1"/>
    </xf>
    <xf numFmtId="49" fontId="8" fillId="2" borderId="1" xfId="0" applyNumberFormat="1" applyFont="1" applyFill="1" applyBorder="1" applyAlignment="1">
      <alignment horizontal="center" vertical="center" shrinkToFit="1"/>
    </xf>
    <xf numFmtId="0" fontId="8" fillId="4" borderId="0" xfId="0" applyFont="1" applyFill="1" applyBorder="1" applyAlignment="1">
      <alignment horizontal="center" vertical="center"/>
    </xf>
    <xf numFmtId="0" fontId="8" fillId="10" borderId="13" xfId="0" applyFont="1" applyFill="1" applyBorder="1" applyAlignment="1" applyProtection="1">
      <alignment horizontal="center" vertical="center"/>
      <protection locked="0"/>
    </xf>
    <xf numFmtId="0" fontId="8" fillId="2" borderId="1" xfId="0" applyFont="1" applyFill="1" applyBorder="1" applyAlignment="1">
      <alignment horizontal="center" vertical="center" shrinkToFit="1"/>
    </xf>
    <xf numFmtId="0" fontId="8" fillId="10" borderId="9" xfId="0" applyFont="1" applyFill="1" applyBorder="1" applyAlignment="1" applyProtection="1">
      <alignment vertical="center"/>
      <protection locked="0"/>
    </xf>
    <xf numFmtId="0" fontId="47" fillId="57" borderId="13" xfId="0" applyFont="1" applyFill="1" applyBorder="1" applyAlignment="1">
      <alignment horizontal="center" vertical="center"/>
    </xf>
    <xf numFmtId="0" fontId="47" fillId="57" borderId="1" xfId="0" applyFont="1" applyFill="1" applyBorder="1" applyAlignment="1">
      <alignment horizontal="center" vertical="center"/>
    </xf>
    <xf numFmtId="0" fontId="46" fillId="55" borderId="20" xfId="0" applyFont="1" applyFill="1" applyBorder="1" applyAlignment="1">
      <alignment horizontal="left" vertical="center"/>
    </xf>
    <xf numFmtId="0" fontId="47" fillId="57" borderId="3" xfId="0" applyFont="1" applyFill="1" applyBorder="1" applyAlignment="1">
      <alignment horizontal="center" vertical="center"/>
    </xf>
    <xf numFmtId="0" fontId="47" fillId="57" borderId="20" xfId="0" applyFont="1" applyFill="1" applyBorder="1" applyAlignment="1">
      <alignment horizontal="center" vertical="center"/>
    </xf>
    <xf numFmtId="0" fontId="8" fillId="4" borderId="0" xfId="0" applyFont="1" applyFill="1" applyBorder="1" applyAlignment="1">
      <alignment horizontal="center" vertical="center"/>
    </xf>
    <xf numFmtId="0" fontId="8" fillId="5"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8" fillId="2" borderId="13" xfId="0" applyFont="1" applyFill="1" applyBorder="1" applyAlignment="1">
      <alignment horizontal="center" vertical="center"/>
    </xf>
    <xf numFmtId="0" fontId="8" fillId="2" borderId="20" xfId="0" applyFont="1" applyFill="1" applyBorder="1" applyAlignment="1">
      <alignment horizontal="center" vertical="center"/>
    </xf>
    <xf numFmtId="0" fontId="8" fillId="2" borderId="13" xfId="0" applyFont="1" applyFill="1" applyBorder="1" applyAlignment="1">
      <alignment horizontal="center" vertical="center" shrinkToFit="1"/>
    </xf>
    <xf numFmtId="0" fontId="8" fillId="4" borderId="13" xfId="0" applyFont="1" applyFill="1" applyBorder="1" applyAlignment="1">
      <alignment horizontal="center" vertical="center"/>
    </xf>
    <xf numFmtId="177" fontId="1" fillId="0" borderId="1" xfId="2" applyNumberFormat="1" applyFont="1" applyBorder="1">
      <alignment vertical="center"/>
    </xf>
    <xf numFmtId="0" fontId="1" fillId="0" borderId="1" xfId="2" applyNumberFormat="1" applyFont="1" applyBorder="1">
      <alignment vertical="center"/>
    </xf>
    <xf numFmtId="0" fontId="8" fillId="0" borderId="14" xfId="0" applyNumberFormat="1" applyFont="1" applyFill="1" applyBorder="1" applyAlignment="1" applyProtection="1">
      <alignment horizontal="center" vertical="center" shrinkToFit="1"/>
      <protection locked="0"/>
    </xf>
    <xf numFmtId="0" fontId="8" fillId="4" borderId="14" xfId="0" applyNumberFormat="1" applyFont="1" applyFill="1" applyBorder="1" applyAlignment="1">
      <alignment horizontal="left" vertical="center" shrinkToFit="1"/>
    </xf>
    <xf numFmtId="200" fontId="8" fillId="4" borderId="14" xfId="0" applyNumberFormat="1" applyFont="1" applyFill="1" applyBorder="1" applyAlignment="1">
      <alignment horizontal="center" vertical="center" shrinkToFit="1"/>
    </xf>
    <xf numFmtId="177" fontId="8" fillId="4" borderId="14" xfId="0" applyNumberFormat="1" applyFont="1" applyFill="1" applyBorder="1" applyAlignment="1">
      <alignment horizontal="left" vertical="center" shrinkToFit="1"/>
    </xf>
    <xf numFmtId="0" fontId="47" fillId="0" borderId="0" xfId="0" applyFont="1" applyFill="1" applyBorder="1" applyAlignment="1">
      <alignment vertical="center"/>
    </xf>
    <xf numFmtId="0" fontId="10" fillId="63" borderId="1" xfId="0" applyFont="1" applyFill="1" applyBorder="1" applyAlignment="1">
      <alignment vertical="center" wrapText="1"/>
    </xf>
    <xf numFmtId="0" fontId="10" fillId="63" borderId="1" xfId="0" applyFont="1" applyFill="1" applyBorder="1">
      <alignment vertical="center"/>
    </xf>
    <xf numFmtId="0" fontId="8" fillId="57" borderId="1" xfId="0" applyFont="1" applyFill="1" applyBorder="1" applyAlignment="1">
      <alignment vertical="center" wrapText="1"/>
    </xf>
    <xf numFmtId="0" fontId="8" fillId="57" borderId="1" xfId="0" applyFont="1" applyFill="1" applyBorder="1">
      <alignment vertical="center"/>
    </xf>
    <xf numFmtId="0" fontId="8" fillId="57" borderId="4" xfId="0" applyFont="1" applyFill="1" applyBorder="1">
      <alignment vertical="center"/>
    </xf>
    <xf numFmtId="0" fontId="8" fillId="55" borderId="11" xfId="0" applyFont="1" applyFill="1" applyBorder="1" applyAlignment="1">
      <alignment vertical="center" wrapText="1"/>
    </xf>
    <xf numFmtId="0" fontId="8" fillId="55" borderId="11" xfId="0" applyFont="1" applyFill="1" applyBorder="1">
      <alignment vertical="center"/>
    </xf>
    <xf numFmtId="0" fontId="8" fillId="55" borderId="1" xfId="0" applyFont="1" applyFill="1" applyBorder="1">
      <alignment vertical="center"/>
    </xf>
    <xf numFmtId="0" fontId="8" fillId="55" borderId="11" xfId="0" applyFont="1" applyFill="1" applyBorder="1" applyAlignment="1">
      <alignment vertical="center"/>
    </xf>
    <xf numFmtId="0" fontId="8" fillId="55" borderId="4" xfId="0" applyFont="1" applyFill="1" applyBorder="1" applyAlignment="1">
      <alignment vertical="center"/>
    </xf>
    <xf numFmtId="0" fontId="8" fillId="55" borderId="11" xfId="0" applyNumberFormat="1" applyFont="1" applyFill="1" applyBorder="1">
      <alignment vertical="center"/>
    </xf>
    <xf numFmtId="0" fontId="8" fillId="64" borderId="1" xfId="0" applyFont="1" applyFill="1" applyBorder="1" applyAlignment="1">
      <alignment vertical="center"/>
    </xf>
    <xf numFmtId="0" fontId="8" fillId="64" borderId="1" xfId="0" applyFont="1" applyFill="1" applyBorder="1">
      <alignment vertical="center"/>
    </xf>
    <xf numFmtId="0" fontId="8" fillId="64" borderId="11" xfId="0" applyFont="1" applyFill="1" applyBorder="1">
      <alignment vertical="center"/>
    </xf>
    <xf numFmtId="0" fontId="8" fillId="55" borderId="58" xfId="0" applyFont="1" applyFill="1" applyBorder="1" applyAlignment="1">
      <alignment vertical="center"/>
    </xf>
    <xf numFmtId="0" fontId="8" fillId="57" borderId="58" xfId="0" applyFont="1" applyFill="1" applyBorder="1">
      <alignment vertical="center"/>
    </xf>
    <xf numFmtId="0" fontId="8" fillId="57" borderId="6" xfId="0" applyFont="1" applyFill="1" applyBorder="1">
      <alignment vertical="center"/>
    </xf>
    <xf numFmtId="0" fontId="8" fillId="55" borderId="1" xfId="0" applyFont="1" applyFill="1" applyBorder="1" applyAlignment="1">
      <alignment vertical="top" wrapText="1"/>
    </xf>
    <xf numFmtId="0" fontId="8" fillId="0" borderId="1" xfId="0" applyFont="1" applyFill="1" applyBorder="1">
      <alignment vertical="center"/>
    </xf>
    <xf numFmtId="0" fontId="8" fillId="0" borderId="1" xfId="0" applyFont="1" applyBorder="1">
      <alignment vertical="center"/>
    </xf>
    <xf numFmtId="0" fontId="8" fillId="2" borderId="1" xfId="0" applyFont="1" applyFill="1" applyBorder="1">
      <alignment vertical="center"/>
    </xf>
    <xf numFmtId="177" fontId="8" fillId="4" borderId="1" xfId="0" applyNumberFormat="1" applyFont="1" applyFill="1" applyBorder="1" applyAlignment="1">
      <alignment horizontal="center" vertical="center"/>
    </xf>
    <xf numFmtId="0" fontId="8" fillId="0" borderId="9" xfId="0" applyFont="1" applyBorder="1">
      <alignment vertical="center"/>
    </xf>
    <xf numFmtId="0" fontId="8" fillId="0" borderId="151" xfId="0" applyFont="1" applyBorder="1">
      <alignment vertical="center"/>
    </xf>
    <xf numFmtId="0" fontId="8" fillId="9" borderId="1" xfId="0" applyFont="1" applyFill="1" applyBorder="1" applyAlignment="1">
      <alignment horizontal="center" vertical="center"/>
    </xf>
    <xf numFmtId="0" fontId="8" fillId="9" borderId="9" xfId="0" applyFont="1" applyFill="1" applyBorder="1" applyAlignment="1">
      <alignment horizontal="center" vertical="center"/>
    </xf>
    <xf numFmtId="197" fontId="8" fillId="9" borderId="1" xfId="0" quotePrefix="1" applyNumberFormat="1" applyFont="1" applyFill="1" applyBorder="1" applyAlignment="1">
      <alignment horizontal="right" vertical="center"/>
    </xf>
    <xf numFmtId="0" fontId="8" fillId="4" borderId="1" xfId="0" applyFont="1" applyFill="1" applyBorder="1">
      <alignment vertical="center"/>
    </xf>
    <xf numFmtId="0" fontId="8" fillId="4" borderId="9" xfId="0" applyFont="1" applyFill="1" applyBorder="1">
      <alignment vertical="center"/>
    </xf>
    <xf numFmtId="0" fontId="8" fillId="4" borderId="150" xfId="0" applyFont="1" applyFill="1" applyBorder="1">
      <alignment vertical="center"/>
    </xf>
    <xf numFmtId="182" fontId="8" fillId="0" borderId="1" xfId="0" applyNumberFormat="1" applyFont="1" applyBorder="1" applyAlignment="1" applyProtection="1">
      <alignment horizontal="right" vertical="center" shrinkToFit="1"/>
      <protection locked="0"/>
    </xf>
    <xf numFmtId="0" fontId="14" fillId="0" borderId="0" xfId="0" applyFont="1" applyAlignment="1">
      <alignment vertical="center"/>
    </xf>
    <xf numFmtId="0" fontId="90" fillId="55" borderId="1" xfId="2" applyFont="1" applyFill="1" applyBorder="1">
      <alignment vertical="center"/>
    </xf>
    <xf numFmtId="0" fontId="90" fillId="12" borderId="1" xfId="2" applyFont="1" applyFill="1" applyBorder="1">
      <alignment vertical="center"/>
    </xf>
    <xf numFmtId="0" fontId="91" fillId="12" borderId="1" xfId="2" applyFont="1" applyFill="1" applyBorder="1">
      <alignment vertical="center"/>
    </xf>
    <xf numFmtId="177" fontId="0" fillId="11" borderId="0" xfId="0" applyNumberFormat="1" applyFill="1">
      <alignment vertical="center"/>
    </xf>
    <xf numFmtId="0" fontId="8" fillId="4" borderId="9" xfId="0" applyFont="1" applyFill="1" applyBorder="1" applyAlignment="1" applyProtection="1">
      <alignment horizontal="center" vertical="center"/>
    </xf>
    <xf numFmtId="197" fontId="8" fillId="4" borderId="1" xfId="0" quotePrefix="1" applyNumberFormat="1" applyFont="1" applyFill="1" applyBorder="1" applyAlignment="1" applyProtection="1">
      <alignment horizontal="right" vertical="center"/>
    </xf>
    <xf numFmtId="182" fontId="8" fillId="4" borderId="1" xfId="0" applyNumberFormat="1" applyFont="1" applyFill="1" applyBorder="1" applyAlignment="1" applyProtection="1">
      <alignment horizontal="right" vertical="center" shrinkToFit="1"/>
    </xf>
    <xf numFmtId="0" fontId="47" fillId="57" borderId="10" xfId="0" applyFont="1" applyFill="1" applyBorder="1" applyAlignment="1">
      <alignment vertical="center" wrapText="1"/>
    </xf>
    <xf numFmtId="0" fontId="47" fillId="57" borderId="58" xfId="0" applyFont="1" applyFill="1" applyBorder="1" applyAlignment="1">
      <alignment horizontal="center" vertical="center"/>
    </xf>
    <xf numFmtId="0" fontId="47" fillId="57" borderId="1" xfId="0" applyFont="1" applyFill="1" applyBorder="1" applyAlignment="1">
      <alignment vertical="top" wrapText="1"/>
    </xf>
    <xf numFmtId="0" fontId="47" fillId="57" borderId="11" xfId="0" applyFont="1" applyFill="1" applyBorder="1">
      <alignment vertical="center"/>
    </xf>
    <xf numFmtId="0" fontId="47" fillId="55" borderId="1" xfId="0" applyFont="1" applyFill="1" applyBorder="1" applyAlignment="1">
      <alignment vertical="top" wrapText="1"/>
    </xf>
    <xf numFmtId="0" fontId="47" fillId="55" borderId="20" xfId="0" applyFont="1" applyFill="1" applyBorder="1" applyAlignment="1">
      <alignment vertical="center"/>
    </xf>
    <xf numFmtId="0" fontId="46" fillId="55" borderId="11" xfId="0" applyFont="1" applyFill="1" applyBorder="1" applyAlignment="1">
      <alignment horizontal="left" vertical="center"/>
    </xf>
    <xf numFmtId="0" fontId="8" fillId="2" borderId="11" xfId="0" applyFont="1" applyFill="1" applyBorder="1" applyAlignment="1">
      <alignment horizontal="center" vertical="center"/>
    </xf>
    <xf numFmtId="0" fontId="8" fillId="4" borderId="4" xfId="0" applyFont="1" applyFill="1" applyBorder="1" applyAlignment="1">
      <alignment vertical="center"/>
    </xf>
    <xf numFmtId="0" fontId="8" fillId="0" borderId="148" xfId="0" applyFont="1" applyFill="1" applyBorder="1" applyAlignment="1">
      <alignment vertical="center" shrinkToFit="1"/>
    </xf>
    <xf numFmtId="0" fontId="47" fillId="55" borderId="6" xfId="0" applyFont="1" applyFill="1" applyBorder="1" applyAlignment="1">
      <alignment horizontal="left" vertical="center"/>
    </xf>
    <xf numFmtId="0" fontId="8" fillId="10" borderId="9" xfId="0" applyFont="1" applyFill="1" applyBorder="1" applyAlignment="1" applyProtection="1">
      <alignment horizontal="center" vertical="center"/>
      <protection locked="0"/>
    </xf>
    <xf numFmtId="0" fontId="13" fillId="0" borderId="0" xfId="0" applyFont="1" applyAlignment="1">
      <alignment vertical="center" shrinkToFit="1"/>
    </xf>
    <xf numFmtId="0" fontId="13" fillId="0" borderId="0" xfId="0" applyFont="1">
      <alignment vertical="center"/>
    </xf>
    <xf numFmtId="0" fontId="13" fillId="11" borderId="0" xfId="0" applyFont="1" applyFill="1" applyAlignment="1">
      <alignment vertical="center" wrapText="1"/>
    </xf>
    <xf numFmtId="0" fontId="8" fillId="4" borderId="0" xfId="0" applyFont="1" applyFill="1" applyBorder="1" applyAlignment="1">
      <alignment horizontal="center" vertical="center"/>
    </xf>
    <xf numFmtId="0" fontId="20" fillId="0" borderId="1" xfId="0" applyFont="1" applyBorder="1">
      <alignment vertical="center"/>
    </xf>
    <xf numFmtId="0" fontId="20" fillId="0" borderId="14" xfId="0" applyFont="1" applyBorder="1">
      <alignment vertical="center"/>
    </xf>
    <xf numFmtId="0" fontId="21" fillId="0" borderId="0" xfId="0" applyFont="1" applyProtection="1">
      <alignment vertical="center"/>
    </xf>
    <xf numFmtId="0" fontId="21" fillId="0" borderId="0" xfId="0" applyFont="1" applyAlignment="1" applyProtection="1">
      <alignment vertical="center" shrinkToFit="1"/>
    </xf>
    <xf numFmtId="0" fontId="8" fillId="0" borderId="1" xfId="0" applyFont="1" applyBorder="1" applyAlignment="1" applyProtection="1">
      <alignment horizontal="center" vertical="center"/>
      <protection locked="0"/>
    </xf>
    <xf numFmtId="0" fontId="92" fillId="0" borderId="0" xfId="0" applyFont="1" applyFill="1" applyBorder="1" applyAlignment="1">
      <alignment vertical="center"/>
    </xf>
    <xf numFmtId="0" fontId="21" fillId="0" borderId="0" xfId="0" applyFont="1">
      <alignment vertical="center"/>
    </xf>
    <xf numFmtId="0" fontId="20" fillId="0" borderId="0" xfId="0" applyFont="1" applyAlignment="1">
      <alignment vertical="center"/>
    </xf>
    <xf numFmtId="0" fontId="21" fillId="0" borderId="0" xfId="0" applyFont="1" applyAlignment="1">
      <alignment vertical="center" shrinkToFit="1"/>
    </xf>
    <xf numFmtId="0" fontId="20" fillId="2" borderId="1" xfId="0" applyFont="1" applyFill="1" applyBorder="1">
      <alignment vertical="center"/>
    </xf>
    <xf numFmtId="0" fontId="20" fillId="2" borderId="13" xfId="0" applyFont="1" applyFill="1" applyBorder="1">
      <alignment vertical="center"/>
    </xf>
    <xf numFmtId="0" fontId="20" fillId="0" borderId="1" xfId="0" applyFont="1" applyFill="1" applyBorder="1">
      <alignment vertical="center"/>
    </xf>
    <xf numFmtId="0" fontId="20" fillId="0" borderId="9" xfId="0" applyFont="1" applyFill="1" applyBorder="1">
      <alignment vertical="center"/>
    </xf>
    <xf numFmtId="0" fontId="20" fillId="0" borderId="148" xfId="0" applyFont="1" applyFill="1" applyBorder="1" applyProtection="1">
      <alignment vertical="center"/>
      <protection locked="0"/>
    </xf>
    <xf numFmtId="0" fontId="20" fillId="0" borderId="1" xfId="0" applyFont="1" applyFill="1" applyBorder="1" applyAlignment="1">
      <alignment vertical="center"/>
    </xf>
    <xf numFmtId="0" fontId="20" fillId="0" borderId="39" xfId="0" applyFont="1" applyFill="1" applyBorder="1" applyAlignment="1">
      <alignment vertical="center"/>
    </xf>
    <xf numFmtId="0" fontId="20" fillId="0" borderId="148" xfId="0" applyFont="1" applyFill="1" applyBorder="1" applyAlignment="1" applyProtection="1">
      <alignment horizontal="right" vertical="center"/>
      <protection locked="0"/>
    </xf>
    <xf numFmtId="0" fontId="20" fillId="0" borderId="9" xfId="0" applyFont="1" applyFill="1" applyBorder="1" applyAlignment="1">
      <alignment vertical="center"/>
    </xf>
    <xf numFmtId="0" fontId="20" fillId="0" borderId="149" xfId="0" applyFont="1" applyFill="1" applyBorder="1" applyAlignment="1" applyProtection="1">
      <alignment horizontal="right" vertical="center"/>
      <protection locked="0"/>
    </xf>
    <xf numFmtId="0" fontId="20" fillId="0" borderId="150" xfId="0" applyFont="1" applyFill="1" applyBorder="1" applyAlignment="1" applyProtection="1">
      <alignment horizontal="right" vertical="center"/>
      <protection locked="0"/>
    </xf>
    <xf numFmtId="0" fontId="20" fillId="2" borderId="1" xfId="0" applyFont="1" applyFill="1" applyBorder="1" applyAlignment="1">
      <alignment vertical="center"/>
    </xf>
    <xf numFmtId="0" fontId="20" fillId="0" borderId="1" xfId="0" applyFont="1" applyFill="1" applyBorder="1" applyAlignment="1">
      <alignment horizontal="center" vertical="center"/>
    </xf>
    <xf numFmtId="177" fontId="20" fillId="0" borderId="1" xfId="0" applyNumberFormat="1" applyFont="1" applyFill="1" applyBorder="1" applyAlignment="1">
      <alignment horizontal="center" vertical="center"/>
    </xf>
    <xf numFmtId="0" fontId="20" fillId="0" borderId="0" xfId="0" applyFont="1" applyFill="1" applyBorder="1" applyAlignment="1">
      <alignment horizontal="center" vertical="center"/>
    </xf>
    <xf numFmtId="0" fontId="20" fillId="0" borderId="0" xfId="0" applyFont="1" applyFill="1" applyBorder="1" applyAlignment="1">
      <alignment horizontal="right" vertical="center"/>
    </xf>
    <xf numFmtId="0" fontId="20" fillId="0" borderId="9" xfId="0" applyFont="1" applyBorder="1">
      <alignment vertical="center"/>
    </xf>
    <xf numFmtId="0" fontId="20" fillId="0" borderId="151" xfId="0" applyFont="1" applyBorder="1">
      <alignment vertical="center"/>
    </xf>
    <xf numFmtId="0" fontId="20" fillId="0" borderId="148" xfId="0" applyFont="1" applyBorder="1">
      <alignment vertical="center"/>
    </xf>
    <xf numFmtId="0" fontId="20" fillId="0" borderId="149" xfId="0" applyFont="1" applyBorder="1">
      <alignment vertical="center"/>
    </xf>
    <xf numFmtId="0" fontId="20" fillId="4" borderId="1" xfId="0" applyFont="1" applyFill="1" applyBorder="1">
      <alignment vertical="center"/>
    </xf>
    <xf numFmtId="0" fontId="20" fillId="4" borderId="9" xfId="0" applyFont="1" applyFill="1" applyBorder="1">
      <alignment vertical="center"/>
    </xf>
    <xf numFmtId="0" fontId="20" fillId="4" borderId="150" xfId="0" applyFont="1" applyFill="1" applyBorder="1">
      <alignment vertical="center"/>
    </xf>
    <xf numFmtId="0" fontId="8" fillId="10" borderId="1" xfId="0" applyFont="1" applyFill="1" applyBorder="1" applyAlignment="1" applyProtection="1">
      <alignment horizontal="center" vertical="center" shrinkToFit="1"/>
      <protection locked="0"/>
    </xf>
    <xf numFmtId="0" fontId="8" fillId="4" borderId="1" xfId="0" applyFont="1" applyFill="1" applyBorder="1" applyAlignment="1" applyProtection="1">
      <alignment horizontal="center" vertical="center" shrinkToFit="1"/>
    </xf>
    <xf numFmtId="0" fontId="8" fillId="4" borderId="0" xfId="0" applyFont="1" applyFill="1" applyBorder="1" applyAlignment="1">
      <alignment horizontal="center" vertical="center"/>
    </xf>
    <xf numFmtId="0" fontId="8" fillId="10" borderId="102" xfId="0" applyFont="1" applyFill="1" applyBorder="1" applyAlignment="1" applyProtection="1">
      <alignment vertical="center"/>
      <protection locked="0"/>
    </xf>
    <xf numFmtId="0" fontId="8" fillId="2" borderId="1" xfId="0" applyFont="1" applyFill="1" applyBorder="1" applyAlignment="1">
      <alignment horizontal="center" vertical="center" shrinkToFit="1"/>
    </xf>
    <xf numFmtId="0" fontId="20" fillId="0" borderId="149" xfId="0" applyFont="1" applyFill="1" applyBorder="1" applyAlignment="1" applyProtection="1">
      <alignment horizontal="center" vertical="center"/>
      <protection locked="0"/>
    </xf>
    <xf numFmtId="0" fontId="8" fillId="2" borderId="1" xfId="0" applyFont="1" applyFill="1" applyBorder="1" applyAlignment="1">
      <alignment horizontal="center" vertical="center" shrinkToFit="1"/>
    </xf>
    <xf numFmtId="49" fontId="8" fillId="0" borderId="1" xfId="0" applyNumberFormat="1" applyFont="1" applyFill="1" applyBorder="1" applyAlignment="1" applyProtection="1">
      <alignment horizontal="left" vertical="center" shrinkToFit="1"/>
      <protection locked="0"/>
    </xf>
    <xf numFmtId="49" fontId="8" fillId="4" borderId="10" xfId="0" applyNumberFormat="1" applyFont="1" applyFill="1" applyBorder="1" applyAlignment="1" applyProtection="1">
      <alignment horizontal="left" vertical="center"/>
    </xf>
    <xf numFmtId="49" fontId="8" fillId="45" borderId="1" xfId="0" applyNumberFormat="1" applyFont="1" applyFill="1" applyBorder="1" applyAlignment="1">
      <alignment horizontal="center" vertical="center" shrinkToFit="1"/>
    </xf>
    <xf numFmtId="49" fontId="8" fillId="9" borderId="0" xfId="0" applyNumberFormat="1" applyFont="1" applyFill="1" applyBorder="1" applyAlignment="1">
      <alignment horizontal="center" vertical="center" shrinkToFit="1"/>
    </xf>
    <xf numFmtId="49" fontId="8" fillId="4" borderId="7" xfId="0" applyNumberFormat="1" applyFont="1" applyFill="1" applyBorder="1" applyAlignment="1">
      <alignment vertical="center"/>
    </xf>
    <xf numFmtId="49" fontId="10" fillId="2" borderId="1" xfId="0" applyNumberFormat="1" applyFont="1" applyFill="1" applyBorder="1" applyAlignment="1">
      <alignment horizontal="center" vertical="center" shrinkToFit="1"/>
    </xf>
    <xf numFmtId="49" fontId="8" fillId="0" borderId="1" xfId="0" applyNumberFormat="1" applyFont="1" applyBorder="1" applyAlignment="1" applyProtection="1">
      <alignment horizontal="left" vertical="center"/>
      <protection locked="0"/>
    </xf>
    <xf numFmtId="49" fontId="8" fillId="0" borderId="10" xfId="0" applyNumberFormat="1" applyFont="1" applyBorder="1" applyAlignment="1" applyProtection="1">
      <alignment horizontal="left" vertical="center"/>
      <protection locked="0"/>
    </xf>
    <xf numFmtId="49" fontId="8" fillId="0" borderId="1" xfId="0" applyNumberFormat="1" applyFont="1" applyBorder="1" applyAlignment="1" applyProtection="1">
      <alignment horizontal="left" vertical="center" shrinkToFit="1"/>
      <protection locked="0"/>
    </xf>
    <xf numFmtId="49" fontId="0" fillId="0" borderId="10" xfId="0" applyNumberFormat="1" applyBorder="1" applyAlignment="1" applyProtection="1">
      <alignment horizontal="left" vertical="center"/>
      <protection locked="0"/>
    </xf>
    <xf numFmtId="49" fontId="8" fillId="4" borderId="1" xfId="0" applyNumberFormat="1" applyFont="1" applyFill="1" applyBorder="1" applyAlignment="1" applyProtection="1">
      <alignment horizontal="left" vertical="center"/>
    </xf>
    <xf numFmtId="49" fontId="0" fillId="4" borderId="0" xfId="0" applyNumberFormat="1" applyFill="1" applyAlignment="1">
      <alignment horizontal="left" vertical="center"/>
    </xf>
    <xf numFmtId="0" fontId="47" fillId="3" borderId="0" xfId="0" applyFont="1" applyFill="1">
      <alignment vertical="center"/>
    </xf>
    <xf numFmtId="49" fontId="0" fillId="0" borderId="152" xfId="0" applyNumberFormat="1" applyBorder="1">
      <alignment vertical="center"/>
    </xf>
    <xf numFmtId="196" fontId="0" fillId="0" borderId="152" xfId="0" applyNumberFormat="1" applyBorder="1" applyAlignment="1">
      <alignment horizontal="right" vertical="center"/>
    </xf>
    <xf numFmtId="0" fontId="93" fillId="0" borderId="152" xfId="0" applyFont="1" applyBorder="1">
      <alignment vertical="center"/>
    </xf>
    <xf numFmtId="1" fontId="0" fillId="0" borderId="152" xfId="0" applyNumberFormat="1" applyBorder="1" applyAlignment="1">
      <alignment horizontal="right" vertical="center"/>
    </xf>
    <xf numFmtId="0" fontId="8" fillId="65" borderId="1" xfId="0" applyFont="1" applyFill="1" applyBorder="1" applyAlignment="1">
      <alignment horizontal="center" vertical="center" shrinkToFit="1"/>
    </xf>
    <xf numFmtId="0" fontId="8" fillId="10" borderId="1" xfId="0" applyFont="1" applyFill="1" applyBorder="1" applyAlignment="1">
      <alignment horizontal="center" vertical="center" shrinkToFit="1"/>
    </xf>
    <xf numFmtId="196" fontId="0" fillId="0" borderId="0" xfId="0" applyNumberFormat="1">
      <alignment vertical="center"/>
    </xf>
    <xf numFmtId="49" fontId="55" fillId="0" borderId="152" xfId="0" applyNumberFormat="1" applyFont="1" applyBorder="1">
      <alignment vertical="center"/>
    </xf>
    <xf numFmtId="201" fontId="55" fillId="0" borderId="152" xfId="0" applyNumberFormat="1" applyFont="1" applyBorder="1" applyAlignment="1">
      <alignment horizontal="right" vertical="center"/>
    </xf>
    <xf numFmtId="0" fontId="55" fillId="0" borderId="152" xfId="0" applyFont="1" applyBorder="1" applyAlignment="1">
      <alignment horizontal="right" vertical="center"/>
    </xf>
    <xf numFmtId="0" fontId="55" fillId="0" borderId="152" xfId="0" applyFont="1" applyBorder="1">
      <alignment vertical="center"/>
    </xf>
    <xf numFmtId="1" fontId="55" fillId="0" borderId="152" xfId="0" applyNumberFormat="1" applyFont="1" applyBorder="1" applyAlignment="1">
      <alignment horizontal="right" vertical="center"/>
    </xf>
    <xf numFmtId="0" fontId="44" fillId="0" borderId="1" xfId="0" applyFont="1" applyBorder="1" applyAlignment="1">
      <alignment horizontal="center" vertical="center" shrinkToFit="1"/>
    </xf>
    <xf numFmtId="0" fontId="44" fillId="0" borderId="9" xfId="0" applyFont="1" applyBorder="1" applyAlignment="1">
      <alignment horizontal="center" vertical="center" shrinkToFit="1"/>
    </xf>
    <xf numFmtId="0" fontId="44" fillId="0" borderId="1" xfId="0" applyFont="1" applyBorder="1" applyAlignment="1">
      <alignment horizontal="left" vertical="center" wrapText="1"/>
    </xf>
    <xf numFmtId="177" fontId="8" fillId="5" borderId="1" xfId="0" applyNumberFormat="1" applyFont="1" applyFill="1" applyBorder="1" applyAlignment="1" applyProtection="1">
      <alignment horizontal="center" vertical="center"/>
      <protection locked="0"/>
    </xf>
    <xf numFmtId="177" fontId="8" fillId="5" borderId="1" xfId="0" applyNumberFormat="1" applyFont="1" applyFill="1" applyBorder="1" applyAlignment="1" applyProtection="1">
      <alignment horizontal="center" vertical="center" shrinkToFit="1"/>
      <protection locked="0"/>
    </xf>
    <xf numFmtId="49" fontId="0" fillId="11" borderId="0" xfId="0" applyNumberFormat="1" applyFill="1" applyBorder="1" applyAlignment="1">
      <alignment vertical="center" shrinkToFit="1"/>
    </xf>
    <xf numFmtId="0" fontId="0" fillId="4" borderId="1" xfId="0" applyFill="1" applyBorder="1" applyAlignment="1">
      <alignment vertical="center" shrinkToFit="1"/>
    </xf>
    <xf numFmtId="0" fontId="8" fillId="10" borderId="1" xfId="0" applyFont="1" applyFill="1" applyBorder="1" applyAlignment="1" applyProtection="1">
      <alignment horizontal="center" vertical="center" shrinkToFit="1"/>
      <protection locked="0"/>
    </xf>
    <xf numFmtId="49" fontId="8" fillId="5" borderId="1" xfId="0" applyNumberFormat="1" applyFont="1" applyFill="1" applyBorder="1" applyAlignment="1" applyProtection="1">
      <alignment horizontal="left" vertical="center" shrinkToFit="1"/>
      <protection locked="0"/>
    </xf>
    <xf numFmtId="49" fontId="8" fillId="5" borderId="1" xfId="0" applyNumberFormat="1" applyFont="1" applyFill="1" applyBorder="1" applyAlignment="1" applyProtection="1">
      <alignment horizontal="left" vertical="center" shrinkToFit="1"/>
      <protection locked="0"/>
    </xf>
    <xf numFmtId="49" fontId="8" fillId="9" borderId="1" xfId="0" applyNumberFormat="1" applyFont="1" applyFill="1" applyBorder="1" applyAlignment="1" applyProtection="1">
      <alignment horizontal="left" vertical="center" shrinkToFit="1"/>
    </xf>
    <xf numFmtId="0" fontId="13" fillId="6" borderId="0" xfId="0" applyFont="1" applyFill="1" applyAlignment="1">
      <alignment vertical="center" wrapText="1"/>
    </xf>
    <xf numFmtId="0" fontId="13" fillId="6" borderId="0" xfId="0" applyFont="1" applyFill="1">
      <alignment vertical="center"/>
    </xf>
    <xf numFmtId="0" fontId="0" fillId="0" borderId="1" xfId="0" applyFill="1" applyBorder="1" applyAlignment="1">
      <alignment vertical="center" shrinkToFit="1"/>
    </xf>
    <xf numFmtId="49" fontId="0" fillId="11" borderId="0" xfId="0" applyNumberFormat="1" applyFill="1" applyAlignment="1">
      <alignment vertical="center" shrinkToFit="1"/>
    </xf>
    <xf numFmtId="0" fontId="13" fillId="6" borderId="0" xfId="0" quotePrefix="1" applyFont="1" applyFill="1" applyAlignment="1">
      <alignment vertical="center" wrapText="1"/>
    </xf>
    <xf numFmtId="0" fontId="82" fillId="8" borderId="0" xfId="0" applyFont="1" applyFill="1" applyBorder="1" applyAlignment="1">
      <alignment vertical="center"/>
    </xf>
    <xf numFmtId="0" fontId="82" fillId="8" borderId="0" xfId="0" applyFont="1" applyFill="1" applyBorder="1" applyAlignment="1">
      <alignment vertical="center" shrinkToFit="1"/>
    </xf>
    <xf numFmtId="0" fontId="94" fillId="8" borderId="0" xfId="0" applyFont="1" applyFill="1" applyBorder="1" applyAlignment="1">
      <alignment horizontal="right" vertical="center"/>
    </xf>
    <xf numFmtId="0" fontId="82" fillId="0" borderId="0" xfId="0" applyFont="1" applyFill="1" applyBorder="1" applyAlignment="1">
      <alignment vertical="center"/>
    </xf>
    <xf numFmtId="0" fontId="82" fillId="8" borderId="0" xfId="0" applyFont="1" applyFill="1" applyBorder="1" applyAlignment="1">
      <alignment horizontal="center" vertical="center"/>
    </xf>
    <xf numFmtId="0" fontId="84" fillId="8" borderId="0" xfId="0" applyFont="1" applyFill="1" applyBorder="1" applyAlignment="1">
      <alignment vertical="center"/>
    </xf>
    <xf numFmtId="0" fontId="84" fillId="8" borderId="0" xfId="0" applyFont="1" applyFill="1" applyBorder="1" applyAlignment="1">
      <alignment vertical="center" shrinkToFit="1"/>
    </xf>
    <xf numFmtId="0" fontId="84" fillId="8" borderId="0" xfId="0" applyFont="1" applyFill="1" applyBorder="1" applyAlignment="1">
      <alignment horizontal="center" vertical="center"/>
    </xf>
    <xf numFmtId="0" fontId="95" fillId="0" borderId="0" xfId="0" applyFont="1">
      <alignment vertical="center"/>
    </xf>
    <xf numFmtId="0" fontId="44" fillId="0" borderId="0" xfId="0" applyFont="1" applyAlignment="1">
      <alignment vertical="center" shrinkToFit="1"/>
    </xf>
    <xf numFmtId="0" fontId="44" fillId="0" borderId="1" xfId="0" applyFont="1" applyBorder="1" applyAlignment="1">
      <alignment horizontal="center" vertical="center" wrapText="1" shrinkToFit="1"/>
    </xf>
    <xf numFmtId="0" fontId="44" fillId="0" borderId="1" xfId="0" applyFont="1" applyBorder="1" applyAlignment="1">
      <alignment vertical="center" shrinkToFit="1"/>
    </xf>
    <xf numFmtId="0" fontId="44" fillId="0" borderId="0" xfId="0" applyFont="1">
      <alignment vertical="center"/>
    </xf>
    <xf numFmtId="0" fontId="8" fillId="0" borderId="1" xfId="0" applyFont="1" applyFill="1" applyBorder="1" applyAlignment="1">
      <alignment vertical="center"/>
    </xf>
    <xf numFmtId="0" fontId="47" fillId="54" borderId="1" xfId="0" applyFont="1" applyFill="1" applyBorder="1">
      <alignment vertical="center"/>
    </xf>
    <xf numFmtId="0" fontId="47" fillId="0" borderId="1" xfId="0" applyFont="1" applyFill="1" applyBorder="1">
      <alignment vertical="center"/>
    </xf>
    <xf numFmtId="0" fontId="44" fillId="0" borderId="1" xfId="0" applyFont="1" applyBorder="1" applyAlignment="1">
      <alignment horizontal="center" vertical="center" shrinkToFit="1"/>
    </xf>
    <xf numFmtId="0" fontId="44" fillId="0" borderId="1" xfId="0" applyFont="1" applyBorder="1" applyAlignment="1">
      <alignment horizontal="center" vertical="center"/>
    </xf>
    <xf numFmtId="0" fontId="44" fillId="8" borderId="1" xfId="0" applyFont="1" applyFill="1" applyBorder="1" applyAlignment="1">
      <alignment horizontal="centerContinuous" vertical="center"/>
    </xf>
    <xf numFmtId="0" fontId="44" fillId="8" borderId="1" xfId="0" applyFont="1" applyFill="1" applyBorder="1" applyAlignment="1">
      <alignment horizontal="centerContinuous" vertical="center" shrinkToFit="1"/>
    </xf>
    <xf numFmtId="0" fontId="8" fillId="4" borderId="0" xfId="0" applyFont="1" applyFill="1" applyBorder="1" applyAlignment="1">
      <alignment horizontal="center" vertical="center"/>
    </xf>
    <xf numFmtId="0" fontId="0" fillId="9" borderId="0" xfId="0" applyFill="1" applyAlignment="1">
      <alignment vertical="center" shrinkToFit="1"/>
    </xf>
    <xf numFmtId="0" fontId="0" fillId="0" borderId="0" xfId="0">
      <alignment vertical="center"/>
    </xf>
    <xf numFmtId="0" fontId="0" fillId="11" borderId="0" xfId="0" applyFill="1" applyAlignment="1">
      <alignment vertical="center" shrinkToFit="1"/>
    </xf>
    <xf numFmtId="0" fontId="0" fillId="0" borderId="0" xfId="0" applyAlignment="1">
      <alignment vertical="center" shrinkToFit="1"/>
    </xf>
    <xf numFmtId="0" fontId="8" fillId="4" borderId="0" xfId="0" applyFont="1" applyFill="1" applyBorder="1" applyAlignment="1">
      <alignment vertical="center"/>
    </xf>
    <xf numFmtId="0" fontId="8" fillId="4" borderId="0" xfId="0" applyFont="1" applyFill="1" applyBorder="1" applyAlignment="1">
      <alignment horizontal="right" vertical="center"/>
    </xf>
    <xf numFmtId="0" fontId="8" fillId="4" borderId="0" xfId="0" applyFont="1" applyFill="1" applyBorder="1" applyAlignment="1" applyProtection="1">
      <alignment vertical="center"/>
    </xf>
    <xf numFmtId="0" fontId="15" fillId="12" borderId="1" xfId="2" applyFont="1" applyFill="1" applyBorder="1">
      <alignment vertical="center"/>
    </xf>
    <xf numFmtId="0" fontId="0" fillId="0" borderId="0" xfId="0" applyFill="1" applyAlignment="1">
      <alignment vertical="center" shrinkToFit="1"/>
    </xf>
    <xf numFmtId="0" fontId="46" fillId="4" borderId="0" xfId="0" applyFont="1" applyFill="1" applyBorder="1" applyAlignment="1">
      <alignment horizontal="right" vertical="center"/>
    </xf>
    <xf numFmtId="0" fontId="46" fillId="4" borderId="0" xfId="0" applyFont="1" applyFill="1" applyBorder="1" applyAlignment="1" applyProtection="1">
      <alignment horizontal="right" vertical="center"/>
    </xf>
    <xf numFmtId="0" fontId="0" fillId="0" borderId="0" xfId="0">
      <alignment vertical="center"/>
    </xf>
    <xf numFmtId="192" fontId="0" fillId="0" borderId="0" xfId="0" applyNumberFormat="1">
      <alignment vertical="center"/>
    </xf>
    <xf numFmtId="0" fontId="44" fillId="52" borderId="120" xfId="0" applyFont="1" applyFill="1" applyBorder="1" applyAlignment="1">
      <alignment horizontal="center" vertical="center" shrinkToFit="1"/>
    </xf>
    <xf numFmtId="0" fontId="0" fillId="0" borderId="0" xfId="0" applyNumberFormat="1">
      <alignment vertical="center"/>
    </xf>
    <xf numFmtId="0" fontId="16" fillId="12" borderId="1" xfId="2" applyNumberFormat="1" applyFont="1" applyFill="1" applyBorder="1">
      <alignment vertical="center"/>
    </xf>
    <xf numFmtId="49" fontId="66" fillId="0" borderId="1" xfId="2" applyNumberFormat="1" applyFont="1" applyBorder="1">
      <alignment vertical="center"/>
    </xf>
    <xf numFmtId="49" fontId="8" fillId="10" borderId="9" xfId="0" applyNumberFormat="1" applyFont="1" applyFill="1" applyBorder="1" applyAlignment="1" applyProtection="1">
      <alignment vertical="center" shrinkToFit="1"/>
      <protection locked="0"/>
    </xf>
    <xf numFmtId="49" fontId="8" fillId="10" borderId="10" xfId="0" applyNumberFormat="1" applyFont="1" applyFill="1" applyBorder="1" applyAlignment="1" applyProtection="1">
      <alignment vertical="center" shrinkToFit="1"/>
      <protection locked="0"/>
    </xf>
    <xf numFmtId="49" fontId="8" fillId="10" borderId="11" xfId="0" applyNumberFormat="1" applyFont="1" applyFill="1" applyBorder="1" applyAlignment="1" applyProtection="1">
      <alignment vertical="center" shrinkToFit="1"/>
      <protection locked="0"/>
    </xf>
    <xf numFmtId="0" fontId="8" fillId="8" borderId="51" xfId="0" applyFont="1" applyFill="1" applyBorder="1" applyAlignment="1" applyProtection="1">
      <alignment horizontal="left" vertical="center" shrinkToFit="1"/>
    </xf>
    <xf numFmtId="0" fontId="8" fillId="8" borderId="52" xfId="0" applyFont="1" applyFill="1" applyBorder="1" applyAlignment="1" applyProtection="1">
      <alignment horizontal="left" vertical="center" shrinkToFit="1"/>
    </xf>
    <xf numFmtId="0" fontId="8" fillId="8" borderId="53" xfId="0" applyFont="1" applyFill="1" applyBorder="1" applyAlignment="1" applyProtection="1">
      <alignment horizontal="left" vertical="center" shrinkToFit="1"/>
    </xf>
    <xf numFmtId="0" fontId="8" fillId="8" borderId="54" xfId="0" applyFont="1" applyFill="1" applyBorder="1" applyAlignment="1" applyProtection="1">
      <alignment horizontal="left" vertical="center" shrinkToFit="1"/>
    </xf>
    <xf numFmtId="49" fontId="8" fillId="8" borderId="9" xfId="0" applyNumberFormat="1" applyFont="1" applyFill="1" applyBorder="1" applyAlignment="1" applyProtection="1">
      <alignment horizontal="left" vertical="center"/>
      <protection locked="0"/>
    </xf>
    <xf numFmtId="49" fontId="8" fillId="8" borderId="10" xfId="0" applyNumberFormat="1" applyFont="1" applyFill="1" applyBorder="1" applyAlignment="1" applyProtection="1">
      <alignment horizontal="left" vertical="center"/>
      <protection locked="0"/>
    </xf>
    <xf numFmtId="49" fontId="8" fillId="8" borderId="11" xfId="0" applyNumberFormat="1" applyFont="1" applyFill="1" applyBorder="1" applyAlignment="1" applyProtection="1">
      <alignment horizontal="left" vertical="center"/>
      <protection locked="0"/>
    </xf>
    <xf numFmtId="49" fontId="8" fillId="5" borderId="9" xfId="0" applyNumberFormat="1" applyFont="1" applyFill="1" applyBorder="1" applyAlignment="1" applyProtection="1">
      <alignment horizontal="center" vertical="center"/>
      <protection locked="0"/>
    </xf>
    <xf numFmtId="49" fontId="8" fillId="5" borderId="10" xfId="0" applyNumberFormat="1" applyFont="1" applyFill="1" applyBorder="1" applyAlignment="1" applyProtection="1">
      <alignment horizontal="center" vertical="center"/>
      <protection locked="0"/>
    </xf>
    <xf numFmtId="49" fontId="8" fillId="5" borderId="11" xfId="0" applyNumberFormat="1" applyFont="1" applyFill="1" applyBorder="1" applyAlignment="1" applyProtection="1">
      <alignment horizontal="center" vertical="center"/>
      <protection locked="0"/>
    </xf>
    <xf numFmtId="177" fontId="8" fillId="5" borderId="9" xfId="0" applyNumberFormat="1" applyFont="1" applyFill="1" applyBorder="1" applyAlignment="1" applyProtection="1">
      <alignment horizontal="center" vertical="center"/>
      <protection locked="0"/>
    </xf>
    <xf numFmtId="177" fontId="8" fillId="5" borderId="10" xfId="0" applyNumberFormat="1" applyFont="1" applyFill="1" applyBorder="1" applyAlignment="1" applyProtection="1">
      <alignment horizontal="center" vertical="center"/>
      <protection locked="0"/>
    </xf>
    <xf numFmtId="177" fontId="8" fillId="5" borderId="11" xfId="0" applyNumberFormat="1" applyFont="1" applyFill="1" applyBorder="1" applyAlignment="1" applyProtection="1">
      <alignment horizontal="center" vertical="center"/>
      <protection locked="0"/>
    </xf>
    <xf numFmtId="49" fontId="8" fillId="10" borderId="9" xfId="0" applyNumberFormat="1" applyFont="1" applyFill="1" applyBorder="1" applyAlignment="1" applyProtection="1">
      <alignment horizontal="center" vertical="center" shrinkToFit="1"/>
      <protection locked="0"/>
    </xf>
    <xf numFmtId="49" fontId="8" fillId="10" borderId="10" xfId="0" applyNumberFormat="1" applyFont="1" applyFill="1" applyBorder="1" applyAlignment="1" applyProtection="1">
      <alignment horizontal="center" vertical="center" shrinkToFit="1"/>
      <protection locked="0"/>
    </xf>
    <xf numFmtId="49" fontId="8" fillId="10" borderId="11" xfId="0" applyNumberFormat="1" applyFont="1" applyFill="1" applyBorder="1" applyAlignment="1" applyProtection="1">
      <alignment horizontal="center" vertical="center" shrinkToFit="1"/>
      <protection locked="0"/>
    </xf>
    <xf numFmtId="49" fontId="0" fillId="0" borderId="10" xfId="0" applyNumberFormat="1" applyBorder="1" applyAlignment="1" applyProtection="1">
      <alignment horizontal="center" vertical="center"/>
      <protection locked="0"/>
    </xf>
    <xf numFmtId="49" fontId="0" fillId="0" borderId="11" xfId="0" applyNumberFormat="1"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49" fontId="8" fillId="5" borderId="1" xfId="0" applyNumberFormat="1" applyFont="1" applyFill="1" applyBorder="1" applyAlignment="1" applyProtection="1">
      <alignment horizontal="left" vertical="center" shrinkToFit="1"/>
      <protection locked="0"/>
    </xf>
    <xf numFmtId="0" fontId="0" fillId="5" borderId="1" xfId="0" applyFill="1" applyBorder="1" applyAlignment="1" applyProtection="1">
      <alignment horizontal="left" vertical="center" shrinkToFit="1"/>
      <protection locked="0"/>
    </xf>
    <xf numFmtId="0" fontId="8" fillId="9" borderId="1" xfId="0" applyNumberFormat="1" applyFont="1" applyFill="1" applyBorder="1" applyAlignment="1" applyProtection="1">
      <alignment horizontal="left" vertical="center" shrinkToFit="1"/>
    </xf>
    <xf numFmtId="0" fontId="0" fillId="9" borderId="1" xfId="0" applyNumberFormat="1" applyFill="1" applyBorder="1" applyAlignment="1" applyProtection="1">
      <alignment vertical="center"/>
    </xf>
    <xf numFmtId="49" fontId="8" fillId="0" borderId="9" xfId="0" applyNumberFormat="1" applyFont="1" applyFill="1" applyBorder="1" applyAlignment="1" applyProtection="1">
      <alignment horizontal="left" vertical="center"/>
      <protection locked="0"/>
    </xf>
    <xf numFmtId="49" fontId="8" fillId="0" borderId="10" xfId="0" applyNumberFormat="1" applyFont="1" applyFill="1" applyBorder="1" applyAlignment="1" applyProtection="1">
      <alignment horizontal="left" vertical="center"/>
      <protection locked="0"/>
    </xf>
    <xf numFmtId="49" fontId="8" fillId="0" borderId="11" xfId="0" applyNumberFormat="1" applyFont="1" applyFill="1" applyBorder="1" applyAlignment="1" applyProtection="1">
      <alignment horizontal="left" vertical="center"/>
      <protection locked="0"/>
    </xf>
    <xf numFmtId="49" fontId="8" fillId="0" borderId="9" xfId="0" applyNumberFormat="1" applyFont="1" applyFill="1" applyBorder="1" applyAlignment="1" applyProtection="1">
      <alignment horizontal="center" vertical="center" shrinkToFit="1"/>
      <protection locked="0"/>
    </xf>
    <xf numFmtId="49" fontId="8" fillId="0" borderId="10" xfId="0" applyNumberFormat="1" applyFont="1" applyFill="1" applyBorder="1" applyAlignment="1" applyProtection="1">
      <alignment horizontal="center" vertical="center" shrinkToFit="1"/>
      <protection locked="0"/>
    </xf>
    <xf numFmtId="49" fontId="8" fillId="0" borderId="11" xfId="0" applyNumberFormat="1" applyFont="1" applyFill="1" applyBorder="1" applyAlignment="1" applyProtection="1">
      <alignment horizontal="center" vertical="center" shrinkToFit="1"/>
      <protection locked="0"/>
    </xf>
    <xf numFmtId="49" fontId="8" fillId="10" borderId="9" xfId="0" applyNumberFormat="1" applyFont="1" applyFill="1" applyBorder="1" applyAlignment="1" applyProtection="1">
      <alignment horizontal="center" vertical="center"/>
      <protection locked="0"/>
    </xf>
    <xf numFmtId="49" fontId="8" fillId="10" borderId="10" xfId="0" applyNumberFormat="1" applyFont="1" applyFill="1" applyBorder="1" applyAlignment="1" applyProtection="1">
      <alignment horizontal="center" vertical="center"/>
      <protection locked="0"/>
    </xf>
    <xf numFmtId="49" fontId="8" fillId="10" borderId="11" xfId="0" applyNumberFormat="1" applyFont="1" applyFill="1" applyBorder="1" applyAlignment="1" applyProtection="1">
      <alignment horizontal="center" vertical="center"/>
      <protection locked="0"/>
    </xf>
    <xf numFmtId="0" fontId="8" fillId="4" borderId="9" xfId="0" applyNumberFormat="1" applyFont="1" applyFill="1" applyBorder="1" applyAlignment="1" applyProtection="1">
      <alignment horizontal="left" vertical="center"/>
    </xf>
    <xf numFmtId="0" fontId="8" fillId="4" borderId="10" xfId="0" applyNumberFormat="1" applyFont="1" applyFill="1" applyBorder="1" applyAlignment="1" applyProtection="1">
      <alignment horizontal="left" vertical="center"/>
    </xf>
    <xf numFmtId="0" fontId="8" fillId="4" borderId="11" xfId="0" applyNumberFormat="1" applyFont="1" applyFill="1" applyBorder="1" applyAlignment="1" applyProtection="1">
      <alignment horizontal="left" vertical="center"/>
    </xf>
    <xf numFmtId="49" fontId="8" fillId="0" borderId="9" xfId="0" applyNumberFormat="1" applyFont="1" applyFill="1" applyBorder="1" applyAlignment="1" applyProtection="1">
      <alignment horizontal="left" vertical="center" shrinkToFit="1"/>
      <protection locked="0"/>
    </xf>
    <xf numFmtId="49" fontId="0" fillId="0" borderId="10" xfId="0" applyNumberFormat="1" applyFill="1" applyBorder="1" applyAlignment="1" applyProtection="1">
      <alignment horizontal="left" vertical="center" shrinkToFit="1"/>
      <protection locked="0"/>
    </xf>
    <xf numFmtId="49" fontId="0" fillId="0" borderId="11" xfId="0" applyNumberFormat="1" applyFill="1" applyBorder="1" applyAlignment="1" applyProtection="1">
      <alignment horizontal="left" vertical="center" shrinkToFit="1"/>
      <protection locked="0"/>
    </xf>
    <xf numFmtId="49" fontId="8" fillId="5" borderId="9" xfId="0" applyNumberFormat="1" applyFont="1" applyFill="1" applyBorder="1" applyAlignment="1" applyProtection="1">
      <alignment horizontal="left" vertical="center" shrinkToFit="1"/>
      <protection locked="0"/>
    </xf>
    <xf numFmtId="49" fontId="0" fillId="0" borderId="10" xfId="0" applyNumberFormat="1" applyBorder="1" applyAlignment="1" applyProtection="1">
      <alignment horizontal="left" vertical="center" shrinkToFit="1"/>
      <protection locked="0"/>
    </xf>
    <xf numFmtId="49" fontId="0" fillId="0" borderId="11" xfId="0" applyNumberFormat="1" applyBorder="1" applyAlignment="1" applyProtection="1">
      <alignment horizontal="left" vertical="center" shrinkToFit="1"/>
      <protection locked="0"/>
    </xf>
    <xf numFmtId="49" fontId="8" fillId="10" borderId="9" xfId="0" applyNumberFormat="1" applyFont="1" applyFill="1" applyBorder="1" applyAlignment="1" applyProtection="1">
      <alignment horizontal="left" vertical="center" shrinkToFit="1"/>
      <protection locked="0"/>
    </xf>
    <xf numFmtId="49" fontId="0" fillId="10" borderId="10" xfId="0" applyNumberFormat="1" applyFill="1" applyBorder="1" applyAlignment="1" applyProtection="1">
      <alignment horizontal="left" vertical="center" shrinkToFit="1"/>
      <protection locked="0"/>
    </xf>
    <xf numFmtId="49" fontId="0" fillId="10" borderId="11" xfId="0" applyNumberFormat="1" applyFill="1" applyBorder="1" applyAlignment="1" applyProtection="1">
      <alignment horizontal="left" vertical="center" shrinkToFit="1"/>
      <protection locked="0"/>
    </xf>
    <xf numFmtId="49" fontId="8" fillId="0" borderId="2" xfId="0" applyNumberFormat="1" applyFont="1" applyFill="1" applyBorder="1" applyAlignment="1" applyProtection="1">
      <alignment horizontal="center" vertical="center" shrinkToFit="1"/>
      <protection locked="0"/>
    </xf>
    <xf numFmtId="49" fontId="8" fillId="0" borderId="3" xfId="0" applyNumberFormat="1" applyFont="1" applyFill="1" applyBorder="1" applyAlignment="1" applyProtection="1">
      <alignment horizontal="center" vertical="center" shrinkToFit="1"/>
      <protection locked="0"/>
    </xf>
    <xf numFmtId="49" fontId="8" fillId="0" borderId="20" xfId="0" applyNumberFormat="1" applyFont="1" applyFill="1" applyBorder="1" applyAlignment="1" applyProtection="1">
      <alignment horizontal="center" vertical="center" shrinkToFit="1"/>
      <protection locked="0"/>
    </xf>
    <xf numFmtId="49" fontId="8" fillId="5" borderId="9" xfId="0" applyNumberFormat="1" applyFont="1" applyFill="1" applyBorder="1" applyAlignment="1" applyProtection="1">
      <alignment horizontal="center" vertical="center" shrinkToFit="1"/>
      <protection locked="0"/>
    </xf>
    <xf numFmtId="49" fontId="8" fillId="5" borderId="10" xfId="0" applyNumberFormat="1" applyFont="1" applyFill="1" applyBorder="1" applyAlignment="1" applyProtection="1">
      <alignment horizontal="center" vertical="center" shrinkToFit="1"/>
      <protection locked="0"/>
    </xf>
    <xf numFmtId="49" fontId="8" fillId="5" borderId="11" xfId="0" applyNumberFormat="1" applyFont="1" applyFill="1" applyBorder="1" applyAlignment="1" applyProtection="1">
      <alignment horizontal="center" vertical="center" shrinkToFit="1"/>
      <protection locked="0"/>
    </xf>
    <xf numFmtId="49" fontId="0" fillId="0" borderId="10" xfId="0" applyNumberFormat="1" applyBorder="1" applyAlignment="1" applyProtection="1">
      <alignment horizontal="center" vertical="center" shrinkToFit="1"/>
      <protection locked="0"/>
    </xf>
    <xf numFmtId="49" fontId="0" fillId="0" borderId="11" xfId="0" applyNumberFormat="1" applyBorder="1" applyAlignment="1" applyProtection="1">
      <alignment horizontal="center" vertical="center" shrinkToFit="1"/>
      <protection locked="0"/>
    </xf>
    <xf numFmtId="0" fontId="8" fillId="9" borderId="9" xfId="0" applyNumberFormat="1" applyFont="1" applyFill="1" applyBorder="1" applyAlignment="1" applyProtection="1">
      <alignment horizontal="left" vertical="center" shrinkToFit="1"/>
    </xf>
    <xf numFmtId="0" fontId="0" fillId="9" borderId="10" xfId="0" applyNumberFormat="1" applyFill="1" applyBorder="1" applyAlignment="1" applyProtection="1">
      <alignment vertical="center"/>
    </xf>
    <xf numFmtId="0" fontId="0" fillId="0" borderId="10" xfId="0" applyBorder="1" applyAlignment="1">
      <alignment vertical="center"/>
    </xf>
    <xf numFmtId="0" fontId="0" fillId="0" borderId="11" xfId="0" applyBorder="1" applyAlignment="1">
      <alignment vertical="center"/>
    </xf>
    <xf numFmtId="49" fontId="8" fillId="0" borderId="10" xfId="0" applyNumberFormat="1" applyFont="1" applyFill="1" applyBorder="1" applyAlignment="1" applyProtection="1">
      <alignment horizontal="left" vertical="center" shrinkToFit="1"/>
      <protection locked="0"/>
    </xf>
    <xf numFmtId="49" fontId="8" fillId="0" borderId="11" xfId="0" applyNumberFormat="1" applyFont="1" applyFill="1" applyBorder="1" applyAlignment="1" applyProtection="1">
      <alignment horizontal="left" vertical="center" shrinkToFit="1"/>
      <protection locked="0"/>
    </xf>
    <xf numFmtId="49" fontId="8" fillId="5" borderId="10" xfId="0" applyNumberFormat="1" applyFont="1" applyFill="1" applyBorder="1" applyAlignment="1" applyProtection="1">
      <alignment horizontal="left" vertical="center" shrinkToFit="1"/>
      <protection locked="0"/>
    </xf>
    <xf numFmtId="49" fontId="8" fillId="5" borderId="11" xfId="0" applyNumberFormat="1" applyFont="1" applyFill="1" applyBorder="1" applyAlignment="1" applyProtection="1">
      <alignment horizontal="left" vertical="center" shrinkToFit="1"/>
      <protection locked="0"/>
    </xf>
    <xf numFmtId="0" fontId="48" fillId="48" borderId="23" xfId="0" applyFont="1" applyFill="1" applyBorder="1" applyAlignment="1">
      <alignment horizontal="center" vertical="top" wrapText="1"/>
    </xf>
    <xf numFmtId="0" fontId="48" fillId="48" borderId="23" xfId="0" applyFont="1" applyFill="1" applyBorder="1" applyAlignment="1">
      <alignment horizontal="left" vertical="center" wrapText="1"/>
    </xf>
    <xf numFmtId="0" fontId="0" fillId="0" borderId="23" xfId="0" applyBorder="1" applyAlignment="1">
      <alignment horizontal="left" vertical="center" wrapText="1"/>
    </xf>
    <xf numFmtId="0" fontId="48" fillId="48" borderId="23" xfId="0" applyFont="1" applyFill="1" applyBorder="1" applyAlignment="1">
      <alignment horizontal="left"/>
    </xf>
    <xf numFmtId="0" fontId="48" fillId="11" borderId="63" xfId="0" applyFont="1" applyFill="1" applyBorder="1" applyAlignment="1">
      <alignment horizontal="left" vertical="top" wrapText="1"/>
    </xf>
    <xf numFmtId="0" fontId="48" fillId="11" borderId="23" xfId="0" applyFont="1" applyFill="1" applyBorder="1" applyAlignment="1">
      <alignment horizontal="left" vertical="top" wrapText="1"/>
    </xf>
    <xf numFmtId="0" fontId="48" fillId="48" borderId="23" xfId="0" applyFont="1" applyFill="1" applyBorder="1" applyAlignment="1">
      <alignment horizontal="left" vertical="top" wrapText="1"/>
    </xf>
    <xf numFmtId="0" fontId="48" fillId="48" borderId="23" xfId="0" applyFont="1" applyFill="1" applyBorder="1" applyAlignment="1">
      <alignment horizontal="left" wrapText="1"/>
    </xf>
    <xf numFmtId="0" fontId="48" fillId="48" borderId="64" xfId="0" applyFont="1" applyFill="1" applyBorder="1" applyAlignment="1">
      <alignment horizontal="left" wrapText="1"/>
    </xf>
    <xf numFmtId="0" fontId="48" fillId="48" borderId="63" xfId="0" applyFont="1" applyFill="1" applyBorder="1" applyAlignment="1">
      <alignment horizontal="left" wrapText="1"/>
    </xf>
    <xf numFmtId="0" fontId="49" fillId="48" borderId="23" xfId="0" applyFont="1" applyFill="1" applyBorder="1" applyAlignment="1">
      <alignment horizontal="left" vertical="top" wrapText="1"/>
    </xf>
    <xf numFmtId="0" fontId="49" fillId="48" borderId="23" xfId="0" applyFont="1" applyFill="1" applyBorder="1" applyAlignment="1">
      <alignment horizontal="left" vertical="top"/>
    </xf>
    <xf numFmtId="0" fontId="0" fillId="11" borderId="0" xfId="0" applyFill="1" applyAlignment="1">
      <alignment horizontal="left" vertical="center" wrapText="1"/>
    </xf>
    <xf numFmtId="0" fontId="0" fillId="11" borderId="0" xfId="0" applyFill="1" applyAlignment="1">
      <alignment horizontal="left" vertical="center"/>
    </xf>
    <xf numFmtId="0" fontId="48" fillId="11" borderId="69" xfId="0" applyFont="1" applyFill="1" applyBorder="1" applyAlignment="1">
      <alignment horizontal="left" vertical="top" wrapText="1"/>
    </xf>
    <xf numFmtId="0" fontId="8" fillId="10" borderId="9" xfId="0" applyNumberFormat="1" applyFont="1" applyFill="1" applyBorder="1" applyAlignment="1" applyProtection="1">
      <alignment vertical="center"/>
      <protection locked="0"/>
    </xf>
    <xf numFmtId="0" fontId="0" fillId="10" borderId="10" xfId="0" applyNumberFormat="1" applyFill="1" applyBorder="1" applyAlignment="1" applyProtection="1">
      <alignment vertical="center"/>
      <protection locked="0"/>
    </xf>
    <xf numFmtId="0" fontId="0" fillId="10" borderId="11" xfId="0" applyNumberFormat="1" applyFill="1" applyBorder="1" applyAlignment="1" applyProtection="1">
      <alignment vertical="center"/>
      <protection locked="0"/>
    </xf>
    <xf numFmtId="0" fontId="8" fillId="8" borderId="2" xfId="0" applyFont="1" applyFill="1" applyBorder="1" applyAlignment="1" applyProtection="1">
      <alignment horizontal="left" vertical="top" wrapText="1"/>
      <protection locked="0"/>
    </xf>
    <xf numFmtId="0" fontId="8" fillId="8" borderId="3" xfId="0" applyFont="1" applyFill="1" applyBorder="1" applyAlignment="1" applyProtection="1">
      <alignment horizontal="left" vertical="top" wrapText="1"/>
      <protection locked="0"/>
    </xf>
    <xf numFmtId="0" fontId="8" fillId="8" borderId="20" xfId="0" applyFont="1" applyFill="1" applyBorder="1" applyAlignment="1" applyProtection="1">
      <alignment horizontal="left" vertical="top" wrapText="1"/>
      <protection locked="0"/>
    </xf>
    <xf numFmtId="0" fontId="8" fillId="8" borderId="6" xfId="0" applyFont="1" applyFill="1" applyBorder="1" applyAlignment="1" applyProtection="1">
      <alignment horizontal="left" vertical="top" wrapText="1"/>
      <protection locked="0"/>
    </xf>
    <xf numFmtId="0" fontId="8" fillId="8" borderId="7" xfId="0" applyFont="1" applyFill="1" applyBorder="1" applyAlignment="1" applyProtection="1">
      <alignment horizontal="left" vertical="top" wrapText="1"/>
      <protection locked="0"/>
    </xf>
    <xf numFmtId="0" fontId="8" fillId="8" borderId="8" xfId="0" applyFont="1" applyFill="1" applyBorder="1" applyAlignment="1" applyProtection="1">
      <alignment horizontal="left" vertical="top" wrapText="1"/>
      <protection locked="0"/>
    </xf>
    <xf numFmtId="176" fontId="8" fillId="4" borderId="9" xfId="0" applyNumberFormat="1" applyFont="1" applyFill="1" applyBorder="1" applyAlignment="1">
      <alignment horizontal="center" vertical="center" shrinkToFit="1"/>
    </xf>
    <xf numFmtId="176" fontId="8" fillId="4" borderId="11" xfId="0" applyNumberFormat="1" applyFont="1" applyFill="1" applyBorder="1" applyAlignment="1">
      <alignment horizontal="center" vertical="center" shrinkToFit="1"/>
    </xf>
    <xf numFmtId="0" fontId="8" fillId="0" borderId="9" xfId="0" applyFont="1" applyFill="1" applyBorder="1" applyAlignment="1" applyProtection="1">
      <alignment horizontal="left" vertical="center" shrinkToFit="1"/>
      <protection locked="0"/>
    </xf>
    <xf numFmtId="0" fontId="8" fillId="0" borderId="10" xfId="0" applyFont="1" applyFill="1" applyBorder="1" applyAlignment="1" applyProtection="1">
      <alignment horizontal="left" vertical="center" shrinkToFit="1"/>
      <protection locked="0"/>
    </xf>
    <xf numFmtId="0" fontId="8" fillId="0" borderId="11" xfId="0" applyFont="1" applyFill="1" applyBorder="1" applyAlignment="1" applyProtection="1">
      <alignment horizontal="left" vertical="center" shrinkToFit="1"/>
      <protection locked="0"/>
    </xf>
    <xf numFmtId="0" fontId="8" fillId="4" borderId="9" xfId="0" applyFont="1" applyFill="1" applyBorder="1" applyAlignment="1">
      <alignment horizontal="left" vertical="center" shrinkToFit="1"/>
    </xf>
    <xf numFmtId="0" fontId="8" fillId="4" borderId="10" xfId="0" applyFont="1" applyFill="1" applyBorder="1" applyAlignment="1">
      <alignment horizontal="left" vertical="center" shrinkToFit="1"/>
    </xf>
    <xf numFmtId="0" fontId="8" fillId="4" borderId="11" xfId="0" applyFont="1" applyFill="1" applyBorder="1" applyAlignment="1">
      <alignment horizontal="left" vertical="center" shrinkToFit="1"/>
    </xf>
    <xf numFmtId="0" fontId="8" fillId="0" borderId="9" xfId="0" applyFont="1" applyFill="1" applyBorder="1" applyAlignment="1" applyProtection="1">
      <alignment horizontal="left" vertical="center"/>
      <protection locked="0"/>
    </xf>
    <xf numFmtId="0" fontId="8" fillId="0" borderId="10" xfId="0" applyFont="1" applyFill="1" applyBorder="1" applyAlignment="1" applyProtection="1">
      <alignment horizontal="left" vertical="center"/>
      <protection locked="0"/>
    </xf>
    <xf numFmtId="0" fontId="8" fillId="0" borderId="11" xfId="0" applyFont="1" applyFill="1" applyBorder="1" applyAlignment="1" applyProtection="1">
      <alignment horizontal="left" vertical="center"/>
      <protection locked="0"/>
    </xf>
    <xf numFmtId="177" fontId="8" fillId="0" borderId="9" xfId="0" applyNumberFormat="1" applyFont="1" applyFill="1" applyBorder="1" applyAlignment="1" applyProtection="1">
      <alignment horizontal="center" vertical="center" shrinkToFit="1"/>
      <protection locked="0"/>
    </xf>
    <xf numFmtId="177" fontId="8" fillId="0" borderId="10" xfId="0" applyNumberFormat="1" applyFont="1" applyFill="1" applyBorder="1" applyAlignment="1" applyProtection="1">
      <alignment horizontal="center" vertical="center" shrinkToFit="1"/>
      <protection locked="0"/>
    </xf>
    <xf numFmtId="177" fontId="8" fillId="0" borderId="11" xfId="0" applyNumberFormat="1" applyFont="1" applyFill="1" applyBorder="1" applyAlignment="1" applyProtection="1">
      <alignment horizontal="center" vertical="center" shrinkToFit="1"/>
      <protection locked="0"/>
    </xf>
    <xf numFmtId="0" fontId="8" fillId="0" borderId="9" xfId="0" quotePrefix="1" applyNumberFormat="1" applyFont="1" applyFill="1" applyBorder="1" applyAlignment="1" applyProtection="1">
      <alignment horizontal="center" vertical="center" shrinkToFit="1"/>
      <protection locked="0"/>
    </xf>
    <xf numFmtId="0" fontId="8" fillId="0" borderId="11" xfId="0" quotePrefix="1" applyNumberFormat="1" applyFont="1" applyFill="1" applyBorder="1" applyAlignment="1" applyProtection="1">
      <alignment horizontal="center" vertical="center" shrinkToFit="1"/>
      <protection locked="0"/>
    </xf>
    <xf numFmtId="0" fontId="8" fillId="9" borderId="1" xfId="0" applyFont="1" applyFill="1" applyBorder="1" applyAlignment="1" applyProtection="1">
      <alignment horizontal="left" vertical="center" shrinkToFit="1"/>
    </xf>
    <xf numFmtId="0" fontId="0" fillId="9" borderId="1" xfId="0" applyFill="1" applyBorder="1" applyAlignment="1" applyProtection="1">
      <alignment horizontal="left" vertical="center" shrinkToFit="1"/>
    </xf>
    <xf numFmtId="0" fontId="8" fillId="46" borderId="9" xfId="0" applyFont="1" applyFill="1" applyBorder="1" applyAlignment="1">
      <alignment horizontal="center" vertical="center"/>
    </xf>
    <xf numFmtId="0" fontId="8" fillId="46" borderId="10" xfId="0" applyFont="1" applyFill="1" applyBorder="1" applyAlignment="1">
      <alignment horizontal="center" vertical="center"/>
    </xf>
    <xf numFmtId="0" fontId="8" fillId="46" borderId="11" xfId="0" applyFont="1" applyFill="1" applyBorder="1" applyAlignment="1">
      <alignment horizontal="center" vertical="center"/>
    </xf>
    <xf numFmtId="0" fontId="8" fillId="0" borderId="9" xfId="0" applyFont="1" applyFill="1" applyBorder="1" applyAlignment="1" applyProtection="1">
      <alignment horizontal="center" vertical="center"/>
      <protection locked="0"/>
    </xf>
    <xf numFmtId="0" fontId="8" fillId="0" borderId="10" xfId="0" applyFont="1" applyFill="1" applyBorder="1" applyAlignment="1" applyProtection="1">
      <alignment horizontal="center" vertical="center"/>
      <protection locked="0"/>
    </xf>
    <xf numFmtId="0" fontId="8" fillId="0" borderId="11" xfId="0" applyFont="1" applyFill="1" applyBorder="1" applyAlignment="1" applyProtection="1">
      <alignment horizontal="center" vertical="center"/>
      <protection locked="0"/>
    </xf>
    <xf numFmtId="0" fontId="8" fillId="8" borderId="4" xfId="0" applyFont="1" applyFill="1" applyBorder="1" applyAlignment="1" applyProtection="1">
      <alignment horizontal="left" vertical="top" wrapText="1"/>
      <protection locked="0"/>
    </xf>
    <xf numFmtId="0" fontId="8" fillId="8" borderId="0" xfId="0" applyFont="1" applyFill="1" applyBorder="1" applyAlignment="1" applyProtection="1">
      <alignment horizontal="left" vertical="top" wrapText="1"/>
      <protection locked="0"/>
    </xf>
    <xf numFmtId="0" fontId="8" fillId="8" borderId="5" xfId="0" applyFont="1" applyFill="1" applyBorder="1" applyAlignment="1" applyProtection="1">
      <alignment horizontal="left" vertical="top" wrapText="1"/>
      <protection locked="0"/>
    </xf>
    <xf numFmtId="0" fontId="8" fillId="8" borderId="9" xfId="0" applyFont="1" applyFill="1" applyBorder="1" applyAlignment="1" applyProtection="1">
      <alignment horizontal="left" vertical="center" shrinkToFit="1"/>
      <protection locked="0"/>
    </xf>
    <xf numFmtId="0" fontId="8" fillId="8" borderId="11" xfId="0" applyFont="1" applyFill="1" applyBorder="1" applyAlignment="1" applyProtection="1">
      <alignment horizontal="left" vertical="center" shrinkToFit="1"/>
      <protection locked="0"/>
    </xf>
    <xf numFmtId="0" fontId="8" fillId="8" borderId="10" xfId="0" applyFont="1" applyFill="1" applyBorder="1" applyAlignment="1" applyProtection="1">
      <alignment horizontal="left" vertical="center" shrinkToFit="1"/>
      <protection locked="0"/>
    </xf>
    <xf numFmtId="0" fontId="8" fillId="0" borderId="1" xfId="0" applyFont="1" applyFill="1" applyBorder="1" applyAlignment="1" applyProtection="1">
      <alignment horizontal="left" vertical="center" shrinkToFit="1"/>
      <protection locked="0"/>
    </xf>
    <xf numFmtId="0" fontId="8" fillId="50" borderId="1" xfId="0" applyFont="1" applyFill="1" applyBorder="1" applyAlignment="1" applyProtection="1">
      <alignment horizontal="left" vertical="center" shrinkToFit="1"/>
      <protection locked="0"/>
    </xf>
    <xf numFmtId="0" fontId="8" fillId="46" borderId="1" xfId="0" applyFont="1" applyFill="1" applyBorder="1" applyAlignment="1">
      <alignment horizontal="center" vertical="center"/>
    </xf>
    <xf numFmtId="0" fontId="8" fillId="50" borderId="9" xfId="0" applyFont="1" applyFill="1" applyBorder="1" applyAlignment="1" applyProtection="1">
      <alignment horizontal="left" vertical="center" shrinkToFit="1"/>
      <protection locked="0"/>
    </xf>
    <xf numFmtId="0" fontId="8" fillId="50" borderId="11" xfId="0" applyFont="1" applyFill="1" applyBorder="1" applyAlignment="1" applyProtection="1">
      <alignment horizontal="left" vertical="center" shrinkToFit="1"/>
      <protection locked="0"/>
    </xf>
    <xf numFmtId="49" fontId="8" fillId="50" borderId="9" xfId="0" applyNumberFormat="1" applyFont="1" applyFill="1" applyBorder="1" applyAlignment="1" applyProtection="1">
      <alignment horizontal="left" vertical="center"/>
      <protection locked="0"/>
    </xf>
    <xf numFmtId="49" fontId="8" fillId="50" borderId="10" xfId="0" applyNumberFormat="1" applyFont="1" applyFill="1" applyBorder="1" applyAlignment="1" applyProtection="1">
      <alignment horizontal="left" vertical="center"/>
      <protection locked="0"/>
    </xf>
    <xf numFmtId="49" fontId="8" fillId="50" borderId="11" xfId="0" applyNumberFormat="1" applyFont="1" applyFill="1" applyBorder="1" applyAlignment="1" applyProtection="1">
      <alignment horizontal="left" vertical="center"/>
      <protection locked="0"/>
    </xf>
    <xf numFmtId="0" fontId="8" fillId="50" borderId="10" xfId="0" applyFont="1" applyFill="1" applyBorder="1" applyAlignment="1" applyProtection="1">
      <alignment horizontal="left" vertical="center" shrinkToFit="1"/>
      <protection locked="0"/>
    </xf>
    <xf numFmtId="49" fontId="8" fillId="0" borderId="2" xfId="0" applyNumberFormat="1" applyFont="1" applyFill="1" applyBorder="1" applyAlignment="1" applyProtection="1">
      <alignment horizontal="left" vertical="top" wrapText="1"/>
      <protection locked="0"/>
    </xf>
    <xf numFmtId="49" fontId="0" fillId="0" borderId="3" xfId="0" applyNumberFormat="1" applyBorder="1" applyAlignment="1" applyProtection="1">
      <alignment horizontal="left" vertical="top" wrapText="1"/>
      <protection locked="0"/>
    </xf>
    <xf numFmtId="49" fontId="0" fillId="0" borderId="20" xfId="0" applyNumberFormat="1" applyBorder="1" applyAlignment="1" applyProtection="1">
      <alignment horizontal="left" vertical="top" wrapText="1"/>
      <protection locked="0"/>
    </xf>
    <xf numFmtId="49" fontId="0" fillId="0" borderId="6" xfId="0" applyNumberFormat="1" applyBorder="1" applyAlignment="1" applyProtection="1">
      <alignment horizontal="left" vertical="top" wrapText="1"/>
      <protection locked="0"/>
    </xf>
    <xf numFmtId="49" fontId="0" fillId="0" borderId="7" xfId="0" applyNumberFormat="1" applyBorder="1" applyAlignment="1" applyProtection="1">
      <alignment horizontal="left" vertical="top" wrapText="1"/>
      <protection locked="0"/>
    </xf>
    <xf numFmtId="49" fontId="0" fillId="0" borderId="8" xfId="0" applyNumberFormat="1" applyBorder="1" applyAlignment="1" applyProtection="1">
      <alignment horizontal="left" vertical="top" wrapText="1"/>
      <protection locked="0"/>
    </xf>
    <xf numFmtId="0" fontId="8" fillId="2" borderId="1" xfId="0" applyFont="1" applyFill="1" applyBorder="1" applyAlignment="1">
      <alignment horizontal="center" vertical="center" shrinkToFit="1"/>
    </xf>
    <xf numFmtId="49" fontId="8" fillId="2" borderId="1" xfId="0" applyNumberFormat="1" applyFont="1" applyFill="1" applyBorder="1" applyAlignment="1">
      <alignment horizontal="center" vertical="center" shrinkToFit="1"/>
    </xf>
    <xf numFmtId="177" fontId="8" fillId="0" borderId="9" xfId="0" applyNumberFormat="1" applyFont="1" applyFill="1" applyBorder="1" applyAlignment="1" applyProtection="1">
      <alignment horizontal="left" vertical="center" shrinkToFit="1"/>
      <protection locked="0"/>
    </xf>
    <xf numFmtId="177" fontId="8" fillId="0" borderId="11" xfId="0" applyNumberFormat="1" applyFont="1" applyFill="1" applyBorder="1" applyAlignment="1" applyProtection="1">
      <alignment horizontal="left" vertical="center" shrinkToFit="1"/>
      <protection locked="0"/>
    </xf>
    <xf numFmtId="0" fontId="0" fillId="0" borderId="3" xfId="0" applyBorder="1" applyAlignment="1" applyProtection="1">
      <alignment horizontal="left" vertical="top" wrapText="1"/>
      <protection locked="0"/>
    </xf>
    <xf numFmtId="0" fontId="0" fillId="0" borderId="20" xfId="0" applyBorder="1" applyAlignment="1" applyProtection="1">
      <alignment horizontal="left" vertical="top" wrapText="1"/>
      <protection locked="0"/>
    </xf>
    <xf numFmtId="0" fontId="0" fillId="0" borderId="6"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8" fillId="5" borderId="9" xfId="0" applyFont="1" applyFill="1" applyBorder="1" applyAlignment="1" applyProtection="1">
      <alignment horizontal="left" vertical="center" shrinkToFit="1"/>
      <protection locked="0"/>
    </xf>
    <xf numFmtId="0" fontId="8" fillId="5" borderId="10" xfId="0" applyFont="1" applyFill="1" applyBorder="1" applyAlignment="1" applyProtection="1">
      <alignment horizontal="left" vertical="center" shrinkToFit="1"/>
      <protection locked="0"/>
    </xf>
    <xf numFmtId="0" fontId="8" fillId="5" borderId="11" xfId="0" applyFont="1" applyFill="1" applyBorder="1" applyAlignment="1" applyProtection="1">
      <alignment horizontal="left" vertical="center" shrinkToFit="1"/>
      <protection locked="0"/>
    </xf>
    <xf numFmtId="0" fontId="8" fillId="4" borderId="0" xfId="0" applyFont="1" applyFill="1" applyBorder="1" applyAlignment="1">
      <alignment horizontal="left" vertical="center" shrinkToFit="1"/>
    </xf>
    <xf numFmtId="0" fontId="8" fillId="4" borderId="9" xfId="0" applyFont="1" applyFill="1" applyBorder="1" applyAlignment="1">
      <alignment horizontal="left" vertical="center"/>
    </xf>
    <xf numFmtId="0" fontId="8" fillId="4" borderId="10" xfId="0" applyFont="1" applyFill="1" applyBorder="1" applyAlignment="1">
      <alignment horizontal="left" vertical="center"/>
    </xf>
    <xf numFmtId="0" fontId="8" fillId="4" borderId="11" xfId="0" applyFont="1" applyFill="1" applyBorder="1" applyAlignment="1">
      <alignment horizontal="left" vertical="center"/>
    </xf>
    <xf numFmtId="49" fontId="8" fillId="9" borderId="2" xfId="0" applyNumberFormat="1" applyFont="1" applyFill="1" applyBorder="1" applyAlignment="1" applyProtection="1">
      <alignment horizontal="left" vertical="top" wrapText="1"/>
    </xf>
    <xf numFmtId="49" fontId="0" fillId="9" borderId="3" xfId="0" applyNumberFormat="1" applyFill="1" applyBorder="1" applyAlignment="1" applyProtection="1">
      <alignment horizontal="left" vertical="top" wrapText="1"/>
    </xf>
    <xf numFmtId="49" fontId="0" fillId="9" borderId="20" xfId="0" applyNumberFormat="1" applyFill="1" applyBorder="1" applyAlignment="1" applyProtection="1">
      <alignment horizontal="left" vertical="top" wrapText="1"/>
    </xf>
    <xf numFmtId="49" fontId="0" fillId="9" borderId="6" xfId="0" applyNumberFormat="1" applyFill="1" applyBorder="1" applyAlignment="1" applyProtection="1">
      <alignment horizontal="left" vertical="top" wrapText="1"/>
    </xf>
    <xf numFmtId="49" fontId="0" fillId="9" borderId="7" xfId="0" applyNumberFormat="1" applyFill="1" applyBorder="1" applyAlignment="1" applyProtection="1">
      <alignment horizontal="left" vertical="top" wrapText="1"/>
    </xf>
    <xf numFmtId="49" fontId="0" fillId="9" borderId="8" xfId="0" applyNumberFormat="1" applyFill="1" applyBorder="1" applyAlignment="1" applyProtection="1">
      <alignment horizontal="left" vertical="top" wrapText="1"/>
    </xf>
    <xf numFmtId="49" fontId="8" fillId="0" borderId="1" xfId="0" applyNumberFormat="1" applyFont="1" applyFill="1" applyBorder="1" applyAlignment="1" applyProtection="1">
      <alignment horizontal="left" vertical="center" shrinkToFit="1"/>
      <protection locked="0"/>
    </xf>
    <xf numFmtId="177" fontId="8" fillId="10" borderId="9" xfId="0" applyNumberFormat="1" applyFont="1" applyFill="1" applyBorder="1" applyAlignment="1" applyProtection="1">
      <alignment vertical="center"/>
      <protection locked="0"/>
    </xf>
    <xf numFmtId="0" fontId="0" fillId="0" borderId="10" xfId="0" applyBorder="1" applyAlignment="1" applyProtection="1">
      <alignment vertical="center"/>
      <protection locked="0"/>
    </xf>
    <xf numFmtId="0" fontId="0" fillId="0" borderId="11" xfId="0" applyBorder="1" applyAlignment="1" applyProtection="1">
      <alignment vertical="center"/>
      <protection locked="0"/>
    </xf>
    <xf numFmtId="176" fontId="8" fillId="4" borderId="1" xfId="0" applyNumberFormat="1" applyFont="1" applyFill="1" applyBorder="1" applyAlignment="1">
      <alignment horizontal="center" vertical="center" shrinkToFit="1"/>
    </xf>
    <xf numFmtId="177" fontId="8" fillId="0" borderId="10" xfId="0" applyNumberFormat="1" applyFont="1" applyFill="1" applyBorder="1" applyAlignment="1" applyProtection="1">
      <alignment horizontal="left" vertical="center" shrinkToFit="1"/>
      <protection locked="0"/>
    </xf>
    <xf numFmtId="0" fontId="8" fillId="0" borderId="9" xfId="0" quotePrefix="1" applyNumberFormat="1" applyFont="1" applyFill="1" applyBorder="1" applyAlignment="1" applyProtection="1">
      <alignment horizontal="left" vertical="center" shrinkToFit="1"/>
      <protection locked="0"/>
    </xf>
    <xf numFmtId="0" fontId="8" fillId="0" borderId="11" xfId="0" quotePrefix="1" applyNumberFormat="1" applyFont="1" applyFill="1" applyBorder="1" applyAlignment="1" applyProtection="1">
      <alignment horizontal="left" vertical="center" shrinkToFit="1"/>
      <protection locked="0"/>
    </xf>
    <xf numFmtId="49" fontId="8" fillId="4" borderId="1" xfId="0" applyNumberFormat="1" applyFont="1" applyFill="1" applyBorder="1" applyAlignment="1">
      <alignment horizontal="left" vertical="center" shrinkToFit="1"/>
    </xf>
    <xf numFmtId="49" fontId="8" fillId="50" borderId="9" xfId="0" applyNumberFormat="1" applyFont="1" applyFill="1" applyBorder="1" applyAlignment="1" applyProtection="1">
      <alignment horizontal="left" vertical="center" shrinkToFit="1"/>
      <protection locked="0"/>
    </xf>
    <xf numFmtId="49" fontId="8" fillId="50" borderId="10" xfId="0" applyNumberFormat="1" applyFont="1" applyFill="1" applyBorder="1" applyAlignment="1" applyProtection="1">
      <alignment horizontal="left" vertical="center" shrinkToFit="1"/>
      <protection locked="0"/>
    </xf>
    <xf numFmtId="49" fontId="8" fillId="50" borderId="11" xfId="0" applyNumberFormat="1" applyFont="1" applyFill="1" applyBorder="1" applyAlignment="1" applyProtection="1">
      <alignment horizontal="left" vertical="center" shrinkToFit="1"/>
      <protection locked="0"/>
    </xf>
    <xf numFmtId="49" fontId="8" fillId="8" borderId="9" xfId="0" applyNumberFormat="1" applyFont="1" applyFill="1" applyBorder="1" applyAlignment="1" applyProtection="1">
      <alignment horizontal="left" vertical="center" shrinkToFit="1"/>
      <protection locked="0"/>
    </xf>
    <xf numFmtId="49" fontId="8" fillId="8" borderId="10" xfId="0" applyNumberFormat="1" applyFont="1" applyFill="1" applyBorder="1" applyAlignment="1" applyProtection="1">
      <alignment horizontal="left" vertical="center" shrinkToFit="1"/>
      <protection locked="0"/>
    </xf>
    <xf numFmtId="49" fontId="8" fillId="8" borderId="11" xfId="0" applyNumberFormat="1" applyFont="1" applyFill="1" applyBorder="1" applyAlignment="1" applyProtection="1">
      <alignment horizontal="left" vertical="center" shrinkToFit="1"/>
      <protection locked="0"/>
    </xf>
    <xf numFmtId="176" fontId="8" fillId="4" borderId="9" xfId="0" applyNumberFormat="1" applyFont="1" applyFill="1" applyBorder="1" applyAlignment="1" applyProtection="1">
      <alignment horizontal="center" vertical="center" shrinkToFit="1"/>
    </xf>
    <xf numFmtId="176" fontId="8" fillId="4" borderId="11" xfId="0" applyNumberFormat="1" applyFont="1" applyFill="1" applyBorder="1" applyAlignment="1" applyProtection="1">
      <alignment horizontal="center" vertical="center" shrinkToFit="1"/>
    </xf>
    <xf numFmtId="20" fontId="0" fillId="0" borderId="0" xfId="0" applyNumberFormat="1" applyAlignment="1">
      <alignment horizontal="left" vertical="center" shrinkToFit="1"/>
    </xf>
    <xf numFmtId="177" fontId="8" fillId="4" borderId="9" xfId="0" applyNumberFormat="1" applyFont="1" applyFill="1" applyBorder="1" applyAlignment="1" applyProtection="1">
      <alignment horizontal="left" vertical="center" shrinkToFit="1"/>
    </xf>
    <xf numFmtId="177" fontId="8" fillId="4" borderId="11" xfId="0" applyNumberFormat="1" applyFont="1" applyFill="1" applyBorder="1" applyAlignment="1" applyProtection="1">
      <alignment horizontal="left" vertical="center" shrinkToFit="1"/>
    </xf>
    <xf numFmtId="0" fontId="8" fillId="4" borderId="9" xfId="0" applyFont="1" applyFill="1" applyBorder="1" applyAlignment="1" applyProtection="1">
      <alignment horizontal="left" vertical="center" shrinkToFit="1"/>
    </xf>
    <xf numFmtId="0" fontId="8" fillId="4" borderId="10" xfId="0" applyFont="1" applyFill="1" applyBorder="1" applyAlignment="1" applyProtection="1">
      <alignment horizontal="left" vertical="center" shrinkToFit="1"/>
    </xf>
    <xf numFmtId="0" fontId="8" fillId="4" borderId="11" xfId="0" applyFont="1" applyFill="1" applyBorder="1" applyAlignment="1" applyProtection="1">
      <alignment horizontal="left" vertical="center" shrinkToFit="1"/>
    </xf>
    <xf numFmtId="176" fontId="8" fillId="4" borderId="1" xfId="0" applyNumberFormat="1" applyFont="1" applyFill="1" applyBorder="1" applyAlignment="1" applyProtection="1">
      <alignment horizontal="center" vertical="center" shrinkToFit="1"/>
    </xf>
    <xf numFmtId="177" fontId="8" fillId="9" borderId="9" xfId="0" applyNumberFormat="1" applyFont="1" applyFill="1" applyBorder="1" applyAlignment="1" applyProtection="1">
      <alignment vertical="center"/>
    </xf>
    <xf numFmtId="0" fontId="0" fillId="9" borderId="10" xfId="0" applyFill="1" applyBorder="1" applyAlignment="1" applyProtection="1">
      <alignment vertical="center"/>
    </xf>
    <xf numFmtId="0" fontId="0" fillId="9" borderId="11" xfId="0" applyFill="1" applyBorder="1" applyAlignment="1" applyProtection="1">
      <alignment vertical="center"/>
    </xf>
    <xf numFmtId="0" fontId="8" fillId="4" borderId="9" xfId="0" applyFont="1" applyFill="1" applyBorder="1" applyAlignment="1" applyProtection="1">
      <alignment horizontal="left" vertical="center"/>
    </xf>
    <xf numFmtId="0" fontId="8" fillId="4" borderId="10" xfId="0" applyFont="1" applyFill="1" applyBorder="1" applyAlignment="1" applyProtection="1">
      <alignment horizontal="left" vertical="center"/>
    </xf>
    <xf numFmtId="0" fontId="8" fillId="4" borderId="11" xfId="0" applyFont="1" applyFill="1" applyBorder="1" applyAlignment="1" applyProtection="1">
      <alignment horizontal="left" vertical="center"/>
    </xf>
    <xf numFmtId="177" fontId="8" fillId="4" borderId="10" xfId="0" applyNumberFormat="1" applyFont="1" applyFill="1" applyBorder="1" applyAlignment="1" applyProtection="1">
      <alignment horizontal="left" vertical="center" shrinkToFit="1"/>
    </xf>
    <xf numFmtId="0" fontId="8" fillId="4" borderId="9" xfId="0" quotePrefix="1" applyNumberFormat="1" applyFont="1" applyFill="1" applyBorder="1" applyAlignment="1" applyProtection="1">
      <alignment horizontal="left" vertical="center" shrinkToFit="1"/>
    </xf>
    <xf numFmtId="0" fontId="8" fillId="4" borderId="11" xfId="0" quotePrefix="1" applyNumberFormat="1" applyFont="1" applyFill="1" applyBorder="1" applyAlignment="1" applyProtection="1">
      <alignment horizontal="left" vertical="center" shrinkToFit="1"/>
    </xf>
    <xf numFmtId="0" fontId="8" fillId="4" borderId="2" xfId="0" applyFont="1" applyFill="1" applyBorder="1" applyAlignment="1" applyProtection="1">
      <alignment vertical="center" wrapText="1"/>
    </xf>
    <xf numFmtId="0" fontId="0" fillId="4" borderId="3" xfId="0" applyFill="1" applyBorder="1" applyAlignment="1" applyProtection="1">
      <alignment vertical="center" wrapText="1"/>
    </xf>
    <xf numFmtId="0" fontId="0" fillId="4" borderId="20" xfId="0" applyFill="1" applyBorder="1" applyAlignment="1" applyProtection="1">
      <alignment vertical="center" wrapText="1"/>
    </xf>
    <xf numFmtId="0" fontId="0" fillId="4" borderId="6" xfId="0" applyFill="1" applyBorder="1" applyAlignment="1" applyProtection="1">
      <alignment vertical="center" wrapText="1"/>
    </xf>
    <xf numFmtId="0" fontId="0" fillId="4" borderId="7" xfId="0" applyFill="1" applyBorder="1" applyAlignment="1" applyProtection="1">
      <alignment vertical="center" wrapText="1"/>
    </xf>
    <xf numFmtId="0" fontId="0" fillId="4" borderId="8" xfId="0" applyFill="1" applyBorder="1" applyAlignment="1" applyProtection="1">
      <alignment vertical="center" wrapText="1"/>
    </xf>
    <xf numFmtId="0" fontId="8" fillId="4" borderId="0" xfId="0" applyFont="1" applyFill="1" applyBorder="1" applyAlignment="1" applyProtection="1">
      <alignment horizontal="left" vertical="center" shrinkToFit="1"/>
    </xf>
    <xf numFmtId="49" fontId="8" fillId="4" borderId="9" xfId="0" applyNumberFormat="1" applyFont="1" applyFill="1" applyBorder="1" applyAlignment="1" applyProtection="1">
      <alignment horizontal="left" vertical="center"/>
    </xf>
    <xf numFmtId="49" fontId="8" fillId="4" borderId="10" xfId="0" applyNumberFormat="1" applyFont="1" applyFill="1" applyBorder="1" applyAlignment="1" applyProtection="1">
      <alignment horizontal="left" vertical="center"/>
    </xf>
    <xf numFmtId="49" fontId="8" fillId="4" borderId="11" xfId="0" applyNumberFormat="1" applyFont="1" applyFill="1" applyBorder="1" applyAlignment="1" applyProtection="1">
      <alignment horizontal="left" vertical="center"/>
    </xf>
    <xf numFmtId="49" fontId="8" fillId="4" borderId="9" xfId="0" applyNumberFormat="1" applyFont="1" applyFill="1" applyBorder="1" applyAlignment="1" applyProtection="1">
      <alignment horizontal="left" vertical="center" shrinkToFit="1"/>
    </xf>
    <xf numFmtId="49" fontId="8" fillId="4" borderId="10" xfId="0" applyNumberFormat="1" applyFont="1" applyFill="1" applyBorder="1" applyAlignment="1" applyProtection="1">
      <alignment horizontal="left" vertical="center" shrinkToFit="1"/>
    </xf>
    <xf numFmtId="49" fontId="8" fillId="4" borderId="11" xfId="0" applyNumberFormat="1" applyFont="1" applyFill="1" applyBorder="1" applyAlignment="1" applyProtection="1">
      <alignment horizontal="left" vertical="center" shrinkToFit="1"/>
    </xf>
    <xf numFmtId="0" fontId="8" fillId="4" borderId="2" xfId="0" applyFont="1" applyFill="1" applyBorder="1" applyAlignment="1" applyProtection="1">
      <alignment horizontal="left" vertical="top" wrapText="1"/>
    </xf>
    <xf numFmtId="0" fontId="8" fillId="4" borderId="3" xfId="0" applyFont="1" applyFill="1" applyBorder="1" applyAlignment="1" applyProtection="1">
      <alignment horizontal="left" vertical="top" wrapText="1"/>
    </xf>
    <xf numFmtId="0" fontId="8" fillId="4" borderId="20" xfId="0" applyFont="1" applyFill="1" applyBorder="1" applyAlignment="1" applyProtection="1">
      <alignment horizontal="left" vertical="top" wrapText="1"/>
    </xf>
    <xf numFmtId="0" fontId="8" fillId="4" borderId="6" xfId="0" applyFont="1" applyFill="1" applyBorder="1" applyAlignment="1" applyProtection="1">
      <alignment horizontal="left" vertical="top" wrapText="1"/>
    </xf>
    <xf numFmtId="0" fontId="8" fillId="4" borderId="7" xfId="0" applyFont="1" applyFill="1" applyBorder="1" applyAlignment="1" applyProtection="1">
      <alignment horizontal="left" vertical="top" wrapText="1"/>
    </xf>
    <xf numFmtId="0" fontId="8" fillId="4" borderId="8" xfId="0" applyFont="1" applyFill="1" applyBorder="1" applyAlignment="1" applyProtection="1">
      <alignment horizontal="left" vertical="top" wrapText="1"/>
    </xf>
    <xf numFmtId="0" fontId="8" fillId="4" borderId="4" xfId="0" applyFont="1" applyFill="1" applyBorder="1" applyAlignment="1" applyProtection="1">
      <alignment horizontal="left" vertical="top" wrapText="1"/>
    </xf>
    <xf numFmtId="0" fontId="8" fillId="4" borderId="0" xfId="0" applyFont="1" applyFill="1" applyBorder="1" applyAlignment="1" applyProtection="1">
      <alignment horizontal="left" vertical="top" wrapText="1"/>
    </xf>
    <xf numFmtId="0" fontId="8" fillId="4" borderId="5" xfId="0" applyFont="1" applyFill="1" applyBorder="1" applyAlignment="1" applyProtection="1">
      <alignment horizontal="left" vertical="top" wrapText="1"/>
    </xf>
    <xf numFmtId="0" fontId="8" fillId="4" borderId="1" xfId="0" applyFont="1" applyFill="1" applyBorder="1" applyAlignment="1" applyProtection="1">
      <alignment horizontal="left" vertical="center" shrinkToFit="1"/>
    </xf>
    <xf numFmtId="0" fontId="8" fillId="2" borderId="1" xfId="0" applyFont="1" applyFill="1" applyBorder="1" applyAlignment="1">
      <alignment horizontal="left" vertical="center" shrinkToFit="1"/>
    </xf>
    <xf numFmtId="0" fontId="8" fillId="0" borderId="2" xfId="0" applyFont="1" applyBorder="1" applyAlignment="1">
      <alignment vertical="center" textRotation="255"/>
    </xf>
    <xf numFmtId="0" fontId="0" fillId="0" borderId="6" xfId="0" applyBorder="1" applyAlignment="1">
      <alignment vertical="center" textRotation="255"/>
    </xf>
    <xf numFmtId="0" fontId="8" fillId="0" borderId="9" xfId="0" applyFont="1" applyBorder="1" applyAlignment="1">
      <alignment horizontal="center" vertical="center" shrinkToFit="1"/>
    </xf>
    <xf numFmtId="0" fontId="0" fillId="0" borderId="10" xfId="0" applyBorder="1" applyAlignment="1">
      <alignment horizontal="center" vertical="center" shrinkToFit="1"/>
    </xf>
    <xf numFmtId="0" fontId="0" fillId="0" borderId="11" xfId="0" applyBorder="1" applyAlignment="1">
      <alignment horizontal="center" vertical="center" shrinkToFit="1"/>
    </xf>
    <xf numFmtId="188" fontId="8" fillId="0" borderId="9" xfId="0" applyNumberFormat="1" applyFont="1" applyBorder="1" applyAlignment="1">
      <alignment horizontal="center" vertical="center"/>
    </xf>
    <xf numFmtId="188" fontId="0" fillId="0" borderId="10" xfId="0" applyNumberFormat="1" applyBorder="1" applyAlignment="1">
      <alignment horizontal="center" vertical="center"/>
    </xf>
    <xf numFmtId="188" fontId="0" fillId="0" borderId="11" xfId="0" applyNumberFormat="1" applyBorder="1" applyAlignment="1">
      <alignment horizontal="center" vertical="center"/>
    </xf>
    <xf numFmtId="187" fontId="19" fillId="0" borderId="0" xfId="0" applyNumberFormat="1" applyFont="1" applyBorder="1" applyAlignment="1">
      <alignment horizontal="right" vertical="center" shrinkToFit="1"/>
    </xf>
    <xf numFmtId="0" fontId="52" fillId="0" borderId="0" xfId="0" applyFont="1" applyBorder="1" applyAlignment="1">
      <alignment horizontal="center" vertical="center"/>
    </xf>
    <xf numFmtId="0" fontId="53" fillId="0" borderId="0" xfId="0" applyFont="1" applyBorder="1" applyAlignment="1">
      <alignment horizontal="left" vertical="center" shrinkToFit="1"/>
    </xf>
    <xf numFmtId="0" fontId="54" fillId="0" borderId="7" xfId="0" applyFont="1" applyBorder="1" applyAlignment="1">
      <alignment horizontal="left" shrinkToFit="1"/>
    </xf>
    <xf numFmtId="0" fontId="47" fillId="0" borderId="0" xfId="0" applyFont="1" applyBorder="1" applyAlignment="1">
      <alignment horizontal="center" vertical="center" wrapText="1" shrinkToFit="1"/>
    </xf>
    <xf numFmtId="0" fontId="47" fillId="0" borderId="0" xfId="0" applyFont="1" applyBorder="1" applyAlignment="1">
      <alignment horizontal="center" vertical="center" shrinkToFit="1"/>
    </xf>
    <xf numFmtId="0" fontId="0" fillId="0" borderId="0" xfId="0" applyFont="1" applyAlignment="1">
      <alignment horizontal="center" vertical="center"/>
    </xf>
    <xf numFmtId="0" fontId="0" fillId="0" borderId="0" xfId="0" applyFont="1" applyAlignment="1">
      <alignment vertical="center"/>
    </xf>
    <xf numFmtId="0" fontId="44" fillId="51" borderId="1" xfId="0" applyFont="1" applyFill="1" applyBorder="1" applyAlignment="1">
      <alignment horizontal="center" vertical="center" shrinkToFit="1"/>
    </xf>
    <xf numFmtId="0" fontId="44" fillId="0" borderId="1" xfId="0" applyFont="1" applyBorder="1" applyAlignment="1">
      <alignment horizontal="center" vertical="center" shrinkToFit="1"/>
    </xf>
    <xf numFmtId="0" fontId="44" fillId="0" borderId="1" xfId="0" applyFont="1" applyBorder="1" applyAlignment="1">
      <alignment horizontal="center" vertical="center"/>
    </xf>
    <xf numFmtId="0" fontId="77" fillId="0" borderId="0" xfId="0" applyFont="1" applyBorder="1" applyAlignment="1">
      <alignment horizontal="left" vertical="center"/>
    </xf>
    <xf numFmtId="0" fontId="77" fillId="0" borderId="7" xfId="0" applyFont="1" applyBorder="1" applyAlignment="1">
      <alignment horizontal="left" vertical="center"/>
    </xf>
    <xf numFmtId="0" fontId="87" fillId="0" borderId="0" xfId="0" applyFont="1" applyFill="1" applyBorder="1" applyAlignment="1">
      <alignment horizontal="center" vertical="center" shrinkToFit="1"/>
    </xf>
    <xf numFmtId="0" fontId="87" fillId="0" borderId="7" xfId="0" applyFont="1" applyFill="1" applyBorder="1" applyAlignment="1">
      <alignment horizontal="center" vertical="center" shrinkToFit="1"/>
    </xf>
    <xf numFmtId="0" fontId="44" fillId="52" borderId="108" xfId="0" applyFont="1" applyFill="1" applyBorder="1" applyAlignment="1">
      <alignment horizontal="center" vertical="center" shrinkToFit="1"/>
    </xf>
    <xf numFmtId="0" fontId="44" fillId="52" borderId="109" xfId="0" applyFont="1" applyFill="1" applyBorder="1" applyAlignment="1">
      <alignment horizontal="center" vertical="center" shrinkToFit="1"/>
    </xf>
    <xf numFmtId="0" fontId="44" fillId="52" borderId="110" xfId="0" applyFont="1" applyFill="1" applyBorder="1" applyAlignment="1">
      <alignment horizontal="center" vertical="center" shrinkToFit="1"/>
    </xf>
    <xf numFmtId="0" fontId="44" fillId="0" borderId="111" xfId="0" applyFont="1" applyFill="1" applyBorder="1" applyAlignment="1">
      <alignment horizontal="left" vertical="center" shrinkToFit="1"/>
    </xf>
    <xf numFmtId="0" fontId="44" fillId="0" borderId="109" xfId="0" applyFont="1" applyFill="1" applyBorder="1" applyAlignment="1">
      <alignment horizontal="left" vertical="center" shrinkToFit="1"/>
    </xf>
    <xf numFmtId="0" fontId="44" fillId="0" borderId="112" xfId="0" applyFont="1" applyFill="1" applyBorder="1" applyAlignment="1">
      <alignment horizontal="left" vertical="center" shrinkToFit="1"/>
    </xf>
    <xf numFmtId="189" fontId="75" fillId="0" borderId="111" xfId="0" applyNumberFormat="1" applyFont="1" applyFill="1" applyBorder="1" applyAlignment="1">
      <alignment horizontal="center" vertical="center" shrinkToFit="1"/>
    </xf>
    <xf numFmtId="189" fontId="75" fillId="0" borderId="109" xfId="0" applyNumberFormat="1" applyFont="1" applyFill="1" applyBorder="1" applyAlignment="1">
      <alignment horizontal="center" vertical="center" shrinkToFit="1"/>
    </xf>
    <xf numFmtId="189" fontId="75" fillId="0" borderId="112" xfId="0" applyNumberFormat="1" applyFont="1" applyFill="1" applyBorder="1" applyAlignment="1">
      <alignment horizontal="center" vertical="center" shrinkToFit="1"/>
    </xf>
    <xf numFmtId="0" fontId="44" fillId="0" borderId="1" xfId="0" applyFont="1" applyFill="1" applyBorder="1" applyAlignment="1">
      <alignment horizontal="center" vertical="center"/>
    </xf>
    <xf numFmtId="0" fontId="44" fillId="52" borderId="50" xfId="0" applyFont="1" applyFill="1" applyBorder="1" applyAlignment="1">
      <alignment horizontal="center" vertical="center" shrinkToFit="1"/>
    </xf>
    <xf numFmtId="0" fontId="44" fillId="52" borderId="51" xfId="0" applyFont="1" applyFill="1" applyBorder="1" applyAlignment="1">
      <alignment horizontal="center" vertical="center" shrinkToFit="1"/>
    </xf>
    <xf numFmtId="0" fontId="44" fillId="52" borderId="77" xfId="0" applyFont="1" applyFill="1" applyBorder="1" applyAlignment="1">
      <alignment horizontal="center" vertical="center" shrinkToFit="1"/>
    </xf>
    <xf numFmtId="0" fontId="44" fillId="0" borderId="78" xfId="0" applyFont="1" applyFill="1" applyBorder="1" applyAlignment="1">
      <alignment horizontal="left" vertical="center" shrinkToFit="1"/>
    </xf>
    <xf numFmtId="0" fontId="44" fillId="0" borderId="51" xfId="0" applyFont="1" applyFill="1" applyBorder="1" applyAlignment="1">
      <alignment horizontal="left" vertical="center" shrinkToFit="1"/>
    </xf>
    <xf numFmtId="0" fontId="44" fillId="0" borderId="52" xfId="0" applyFont="1" applyFill="1" applyBorder="1" applyAlignment="1">
      <alignment horizontal="left" vertical="center" shrinkToFit="1"/>
    </xf>
    <xf numFmtId="189" fontId="75" fillId="0" borderId="78" xfId="0" applyNumberFormat="1" applyFont="1" applyFill="1" applyBorder="1" applyAlignment="1">
      <alignment horizontal="center" vertical="center" shrinkToFit="1"/>
    </xf>
    <xf numFmtId="189" fontId="75" fillId="0" borderId="51" xfId="0" applyNumberFormat="1" applyFont="1" applyFill="1" applyBorder="1" applyAlignment="1">
      <alignment horizontal="center" vertical="center" shrinkToFit="1"/>
    </xf>
    <xf numFmtId="189" fontId="75" fillId="0" borderId="52" xfId="0" applyNumberFormat="1" applyFont="1" applyFill="1" applyBorder="1" applyAlignment="1">
      <alignment horizontal="center" vertical="center" shrinkToFit="1"/>
    </xf>
    <xf numFmtId="0" fontId="44" fillId="52" borderId="79" xfId="0" applyFont="1" applyFill="1" applyBorder="1" applyAlignment="1">
      <alignment horizontal="center" vertical="center" shrinkToFit="1"/>
    </xf>
    <xf numFmtId="0" fontId="44" fillId="52" borderId="53" xfId="0" applyFont="1" applyFill="1" applyBorder="1" applyAlignment="1">
      <alignment horizontal="center" vertical="center" shrinkToFit="1"/>
    </xf>
    <xf numFmtId="0" fontId="44" fillId="52" borderId="80" xfId="0" applyFont="1" applyFill="1" applyBorder="1" applyAlignment="1">
      <alignment horizontal="center" vertical="center" shrinkToFit="1"/>
    </xf>
    <xf numFmtId="189" fontId="89" fillId="0" borderId="81" xfId="0" applyNumberFormat="1" applyFont="1" applyFill="1" applyBorder="1" applyAlignment="1">
      <alignment horizontal="center" vertical="center" shrinkToFit="1"/>
    </xf>
    <xf numFmtId="189" fontId="89" fillId="0" borderId="53" xfId="0" applyNumberFormat="1" applyFont="1" applyFill="1" applyBorder="1" applyAlignment="1">
      <alignment horizontal="center" vertical="center" shrinkToFit="1"/>
    </xf>
    <xf numFmtId="189" fontId="89" fillId="0" borderId="54" xfId="0" applyNumberFormat="1" applyFont="1" applyFill="1" applyBorder="1" applyAlignment="1">
      <alignment horizontal="center" vertical="center" shrinkToFit="1"/>
    </xf>
    <xf numFmtId="0" fontId="44" fillId="52" borderId="120" xfId="0" applyFont="1" applyFill="1" applyBorder="1" applyAlignment="1">
      <alignment horizontal="center" vertical="center" shrinkToFit="1"/>
    </xf>
    <xf numFmtId="0" fontId="44" fillId="52" borderId="118" xfId="0" applyFont="1" applyFill="1" applyBorder="1" applyAlignment="1">
      <alignment horizontal="center" vertical="center" shrinkToFit="1"/>
    </xf>
    <xf numFmtId="190" fontId="75" fillId="0" borderId="118" xfId="0" applyNumberFormat="1" applyFont="1" applyBorder="1" applyAlignment="1">
      <alignment horizontal="center" vertical="center" shrinkToFit="1"/>
    </xf>
    <xf numFmtId="0" fontId="48" fillId="0" borderId="118" xfId="0" applyFont="1" applyBorder="1" applyAlignment="1">
      <alignment horizontal="center" vertical="center" shrinkToFit="1"/>
    </xf>
    <xf numFmtId="0" fontId="44" fillId="0" borderId="118" xfId="0" applyFont="1" applyBorder="1" applyAlignment="1">
      <alignment horizontal="center" vertical="center" shrinkToFit="1"/>
    </xf>
    <xf numFmtId="0" fontId="48" fillId="0" borderId="121" xfId="0" applyFont="1" applyBorder="1" applyAlignment="1">
      <alignment horizontal="center" vertical="center" shrinkToFit="1"/>
    </xf>
    <xf numFmtId="0" fontId="44" fillId="52" borderId="114" xfId="0" applyFont="1" applyFill="1" applyBorder="1" applyAlignment="1">
      <alignment horizontal="center" vertical="center"/>
    </xf>
    <xf numFmtId="0" fontId="44" fillId="52" borderId="115" xfId="0" applyFont="1" applyFill="1" applyBorder="1" applyAlignment="1">
      <alignment horizontal="center" vertical="center"/>
    </xf>
    <xf numFmtId="0" fontId="44" fillId="52" borderId="116" xfId="0" applyFont="1" applyFill="1" applyBorder="1" applyAlignment="1">
      <alignment horizontal="center" vertical="center"/>
    </xf>
    <xf numFmtId="0" fontId="44" fillId="0" borderId="117" xfId="0" applyFont="1" applyFill="1" applyBorder="1" applyAlignment="1">
      <alignment horizontal="left" vertical="center" shrinkToFit="1"/>
    </xf>
    <xf numFmtId="0" fontId="44" fillId="0" borderId="115" xfId="0" applyFont="1" applyFill="1" applyBorder="1" applyAlignment="1">
      <alignment horizontal="left" vertical="center" shrinkToFit="1"/>
    </xf>
    <xf numFmtId="0" fontId="44" fillId="0" borderId="119" xfId="0" applyFont="1" applyFill="1" applyBorder="1" applyAlignment="1">
      <alignment horizontal="left" vertical="center" shrinkToFit="1"/>
    </xf>
    <xf numFmtId="0" fontId="75" fillId="0" borderId="111" xfId="0" applyFont="1" applyFill="1" applyBorder="1" applyAlignment="1">
      <alignment horizontal="center" vertical="center" shrinkToFit="1"/>
    </xf>
    <xf numFmtId="0" fontId="75" fillId="0" borderId="109" xfId="0" applyFont="1" applyFill="1" applyBorder="1" applyAlignment="1">
      <alignment horizontal="center" vertical="center" shrinkToFit="1"/>
    </xf>
    <xf numFmtId="0" fontId="75" fillId="0" borderId="112" xfId="0" applyFont="1" applyFill="1" applyBorder="1" applyAlignment="1">
      <alignment horizontal="center" vertical="center" shrinkToFit="1"/>
    </xf>
    <xf numFmtId="0" fontId="44" fillId="52" borderId="118" xfId="0" applyFont="1" applyFill="1" applyBorder="1" applyAlignment="1">
      <alignment horizontal="center" vertical="center"/>
    </xf>
    <xf numFmtId="0" fontId="44" fillId="0" borderId="118" xfId="0" applyFont="1" applyBorder="1" applyAlignment="1">
      <alignment horizontal="left" vertical="center" shrinkToFit="1"/>
    </xf>
    <xf numFmtId="0" fontId="44" fillId="0" borderId="78" xfId="0" applyFont="1" applyBorder="1" applyAlignment="1">
      <alignment horizontal="left" vertical="center" shrinkToFit="1"/>
    </xf>
    <xf numFmtId="0" fontId="44" fillId="52" borderId="79" xfId="0" applyFont="1" applyFill="1" applyBorder="1" applyAlignment="1">
      <alignment horizontal="center" vertical="center"/>
    </xf>
    <xf numFmtId="0" fontId="44" fillId="52" borderId="53" xfId="0" applyFont="1" applyFill="1" applyBorder="1" applyAlignment="1">
      <alignment horizontal="center" vertical="center"/>
    </xf>
    <xf numFmtId="0" fontId="44" fillId="52" borderId="80" xfId="0" applyFont="1" applyFill="1" applyBorder="1" applyAlignment="1">
      <alignment horizontal="center" vertical="center"/>
    </xf>
    <xf numFmtId="0" fontId="44" fillId="0" borderId="81" xfId="0" applyFont="1" applyBorder="1" applyAlignment="1">
      <alignment horizontal="left" vertical="center" shrinkToFit="1"/>
    </xf>
    <xf numFmtId="0" fontId="44" fillId="0" borderId="53" xfId="0" applyFont="1" applyBorder="1" applyAlignment="1">
      <alignment horizontal="left" vertical="center" shrinkToFit="1"/>
    </xf>
    <xf numFmtId="0" fontId="44" fillId="0" borderId="54" xfId="0" applyFont="1" applyBorder="1" applyAlignment="1">
      <alignment horizontal="left" vertical="center" shrinkToFit="1"/>
    </xf>
    <xf numFmtId="0" fontId="44" fillId="52" borderId="113" xfId="0" applyFont="1" applyFill="1" applyBorder="1" applyAlignment="1">
      <alignment horizontal="center" vertical="center"/>
    </xf>
    <xf numFmtId="200" fontId="44" fillId="0" borderId="113" xfId="0" applyNumberFormat="1" applyFont="1" applyBorder="1" applyAlignment="1">
      <alignment horizontal="center" vertical="center" shrinkToFit="1"/>
    </xf>
    <xf numFmtId="0" fontId="44" fillId="52" borderId="120" xfId="0" applyFont="1" applyFill="1" applyBorder="1" applyAlignment="1">
      <alignment horizontal="center" vertical="center"/>
    </xf>
    <xf numFmtId="0" fontId="44" fillId="0" borderId="118" xfId="0" applyFont="1" applyBorder="1" applyAlignment="1">
      <alignment horizontal="left" vertical="center"/>
    </xf>
    <xf numFmtId="0" fontId="44" fillId="0" borderId="121" xfId="0" applyFont="1" applyBorder="1" applyAlignment="1">
      <alignment horizontal="center" vertical="center" shrinkToFit="1"/>
    </xf>
    <xf numFmtId="0" fontId="44" fillId="52" borderId="122" xfId="0" applyFont="1" applyFill="1" applyBorder="1" applyAlignment="1">
      <alignment horizontal="center" vertical="center"/>
    </xf>
    <xf numFmtId="0" fontId="44" fillId="0" borderId="113" xfId="0" applyFont="1" applyBorder="1" applyAlignment="1">
      <alignment horizontal="left" vertical="center"/>
    </xf>
    <xf numFmtId="0" fontId="44" fillId="52" borderId="113" xfId="0" applyFont="1" applyFill="1" applyBorder="1" applyAlignment="1">
      <alignment horizontal="center" vertical="center" shrinkToFit="1"/>
    </xf>
    <xf numFmtId="191" fontId="44" fillId="0" borderId="113" xfId="0" applyNumberFormat="1" applyFont="1" applyBorder="1" applyAlignment="1">
      <alignment horizontal="center" vertical="center" shrinkToFit="1"/>
    </xf>
    <xf numFmtId="191" fontId="44" fillId="0" borderId="123" xfId="0" applyNumberFormat="1" applyFont="1" applyBorder="1" applyAlignment="1">
      <alignment horizontal="center" vertical="center" shrinkToFit="1"/>
    </xf>
    <xf numFmtId="0" fontId="44" fillId="52" borderId="122" xfId="0" applyFont="1" applyFill="1" applyBorder="1" applyAlignment="1">
      <alignment horizontal="center" vertical="center" shrinkToFit="1"/>
    </xf>
    <xf numFmtId="0" fontId="44" fillId="0" borderId="113" xfId="0" applyFont="1" applyBorder="1" applyAlignment="1">
      <alignment horizontal="left" vertical="center" shrinkToFit="1"/>
    </xf>
    <xf numFmtId="0" fontId="44" fillId="0" borderId="123" xfId="0" applyFont="1" applyBorder="1" applyAlignment="1">
      <alignment horizontal="left" vertical="center" shrinkToFit="1"/>
    </xf>
    <xf numFmtId="0" fontId="44" fillId="52" borderId="124" xfId="0" applyFont="1" applyFill="1" applyBorder="1" applyAlignment="1">
      <alignment horizontal="center" vertical="center" shrinkToFit="1"/>
    </xf>
    <xf numFmtId="0" fontId="44" fillId="52" borderId="125" xfId="0" applyFont="1" applyFill="1" applyBorder="1" applyAlignment="1">
      <alignment horizontal="center" vertical="center" shrinkToFit="1"/>
    </xf>
    <xf numFmtId="0" fontId="44" fillId="0" borderId="125" xfId="0" applyFont="1" applyBorder="1" applyAlignment="1">
      <alignment horizontal="left" vertical="center" shrinkToFit="1"/>
    </xf>
    <xf numFmtId="0" fontId="44" fillId="0" borderId="126" xfId="0" applyFont="1" applyBorder="1" applyAlignment="1">
      <alignment horizontal="left" vertical="center" shrinkToFit="1"/>
    </xf>
    <xf numFmtId="0" fontId="44" fillId="0" borderId="125" xfId="0" applyFont="1" applyBorder="1" applyAlignment="1">
      <alignment horizontal="center" vertical="center" shrinkToFit="1"/>
    </xf>
    <xf numFmtId="0" fontId="44" fillId="0" borderId="126" xfId="0" applyFont="1" applyBorder="1" applyAlignment="1">
      <alignment horizontal="center" vertical="center" shrinkToFit="1"/>
    </xf>
    <xf numFmtId="0" fontId="48" fillId="0" borderId="51" xfId="0" applyFont="1" applyBorder="1" applyAlignment="1">
      <alignment horizontal="center" vertical="center" shrinkToFit="1"/>
    </xf>
    <xf numFmtId="0" fontId="48" fillId="0" borderId="77" xfId="0" applyFont="1" applyBorder="1" applyAlignment="1">
      <alignment horizontal="center" vertical="center" shrinkToFit="1"/>
    </xf>
    <xf numFmtId="0" fontId="44" fillId="52" borderId="124" xfId="0" applyFont="1" applyFill="1" applyBorder="1" applyAlignment="1">
      <alignment horizontal="center" vertical="center"/>
    </xf>
    <xf numFmtId="0" fontId="44" fillId="52" borderId="125" xfId="0" applyFont="1" applyFill="1" applyBorder="1" applyAlignment="1">
      <alignment horizontal="center" vertical="center"/>
    </xf>
    <xf numFmtId="0" fontId="44" fillId="0" borderId="113" xfId="0" applyFont="1" applyBorder="1" applyAlignment="1">
      <alignment horizontal="left" vertical="top" wrapText="1"/>
    </xf>
    <xf numFmtId="0" fontId="44" fillId="0" borderId="125" xfId="0" applyFont="1" applyBorder="1" applyAlignment="1">
      <alignment horizontal="left" vertical="top" wrapText="1"/>
    </xf>
    <xf numFmtId="189" fontId="75" fillId="0" borderId="113" xfId="0" applyNumberFormat="1" applyFont="1" applyFill="1" applyBorder="1" applyAlignment="1">
      <alignment horizontal="center" vertical="center" shrinkToFit="1"/>
    </xf>
    <xf numFmtId="189" fontId="75" fillId="0" borderId="123" xfId="0" applyNumberFormat="1" applyFont="1" applyFill="1" applyBorder="1" applyAlignment="1">
      <alignment horizontal="center" vertical="center" shrinkToFit="1"/>
    </xf>
    <xf numFmtId="20" fontId="44" fillId="0" borderId="125" xfId="0" applyNumberFormat="1" applyFont="1" applyFill="1" applyBorder="1" applyAlignment="1">
      <alignment horizontal="center" vertical="center" shrinkToFit="1"/>
    </xf>
    <xf numFmtId="20" fontId="44" fillId="0" borderId="126" xfId="0" applyNumberFormat="1" applyFont="1" applyFill="1" applyBorder="1" applyAlignment="1">
      <alignment horizontal="center" vertical="center" shrinkToFit="1"/>
    </xf>
    <xf numFmtId="0" fontId="44" fillId="0" borderId="78" xfId="0" applyFont="1" applyBorder="1" applyAlignment="1">
      <alignment horizontal="center" vertical="center" shrinkToFit="1"/>
    </xf>
    <xf numFmtId="0" fontId="48" fillId="0" borderId="52" xfId="0" applyFont="1" applyBorder="1" applyAlignment="1">
      <alignment horizontal="center" vertical="center" shrinkToFit="1"/>
    </xf>
    <xf numFmtId="0" fontId="48" fillId="0" borderId="53" xfId="0" applyFont="1" applyBorder="1" applyAlignment="1">
      <alignment horizontal="center" vertical="center" shrinkToFit="1"/>
    </xf>
    <xf numFmtId="0" fontId="48" fillId="0" borderId="80" xfId="0" applyFont="1" applyBorder="1" applyAlignment="1">
      <alignment horizontal="center" vertical="center" shrinkToFit="1"/>
    </xf>
    <xf numFmtId="0" fontId="44" fillId="0" borderId="81" xfId="0" applyFont="1" applyBorder="1" applyAlignment="1">
      <alignment horizontal="center" vertical="center" shrinkToFit="1"/>
    </xf>
    <xf numFmtId="0" fontId="48" fillId="0" borderId="54" xfId="0" applyFont="1" applyBorder="1" applyAlignment="1">
      <alignment horizontal="center" vertical="center" shrinkToFit="1"/>
    </xf>
    <xf numFmtId="1" fontId="86" fillId="0" borderId="113" xfId="0" applyNumberFormat="1" applyFont="1" applyBorder="1" applyAlignment="1">
      <alignment horizontal="center" vertical="center" shrinkToFit="1"/>
    </xf>
    <xf numFmtId="1" fontId="86" fillId="0" borderId="123" xfId="0" applyNumberFormat="1" applyFont="1" applyBorder="1" applyAlignment="1">
      <alignment horizontal="center" vertical="center" shrinkToFit="1"/>
    </xf>
    <xf numFmtId="189" fontId="75" fillId="0" borderId="122" xfId="0" applyNumberFormat="1" applyFont="1" applyFill="1" applyBorder="1" applyAlignment="1">
      <alignment horizontal="center" vertical="center" shrinkToFit="1"/>
    </xf>
    <xf numFmtId="0" fontId="44" fillId="0" borderId="113" xfId="0" applyFont="1" applyFill="1" applyBorder="1" applyAlignment="1">
      <alignment horizontal="left" vertical="center"/>
    </xf>
    <xf numFmtId="0" fontId="44" fillId="0" borderId="123" xfId="0" applyFont="1" applyFill="1" applyBorder="1" applyAlignment="1">
      <alignment horizontal="left" vertical="center"/>
    </xf>
    <xf numFmtId="189" fontId="75" fillId="0" borderId="124" xfId="0" applyNumberFormat="1" applyFont="1" applyFill="1" applyBorder="1" applyAlignment="1">
      <alignment horizontal="center" vertical="center" shrinkToFit="1"/>
    </xf>
    <xf numFmtId="189" fontId="75" fillId="0" borderId="125" xfId="0" applyNumberFormat="1" applyFont="1" applyFill="1" applyBorder="1" applyAlignment="1">
      <alignment horizontal="center" vertical="center" shrinkToFit="1"/>
    </xf>
    <xf numFmtId="0" fontId="44" fillId="0" borderId="125" xfId="0" applyFont="1" applyFill="1" applyBorder="1" applyAlignment="1">
      <alignment horizontal="left" vertical="center"/>
    </xf>
    <xf numFmtId="0" fontId="44" fillId="0" borderId="126" xfId="0" applyFont="1" applyFill="1" applyBorder="1" applyAlignment="1">
      <alignment horizontal="left" vertical="center"/>
    </xf>
    <xf numFmtId="0" fontId="44" fillId="52" borderId="121" xfId="0" applyFont="1" applyFill="1" applyBorder="1" applyAlignment="1">
      <alignment horizontal="center" vertical="center"/>
    </xf>
    <xf numFmtId="0" fontId="44" fillId="0" borderId="113" xfId="0" applyFont="1" applyBorder="1" applyAlignment="1">
      <alignment horizontal="center" vertical="center" shrinkToFit="1"/>
    </xf>
    <xf numFmtId="0" fontId="44" fillId="0" borderId="123" xfId="0" applyFont="1" applyBorder="1" applyAlignment="1">
      <alignment horizontal="center" vertical="center" shrinkToFit="1"/>
    </xf>
    <xf numFmtId="0" fontId="44" fillId="52" borderId="2" xfId="0" applyFont="1" applyFill="1" applyBorder="1" applyAlignment="1">
      <alignment horizontal="center" vertical="center"/>
    </xf>
    <xf numFmtId="0" fontId="44" fillId="52" borderId="3" xfId="0" applyFont="1" applyFill="1" applyBorder="1" applyAlignment="1">
      <alignment horizontal="center" vertical="center"/>
    </xf>
    <xf numFmtId="0" fontId="44" fillId="52" borderId="4" xfId="0" applyFont="1" applyFill="1" applyBorder="1" applyAlignment="1">
      <alignment horizontal="center" vertical="center"/>
    </xf>
    <xf numFmtId="0" fontId="44" fillId="52" borderId="0" xfId="0" applyFont="1" applyFill="1" applyBorder="1" applyAlignment="1">
      <alignment horizontal="center" vertical="center"/>
    </xf>
    <xf numFmtId="0" fontId="44" fillId="52" borderId="6" xfId="0" applyFont="1" applyFill="1" applyBorder="1" applyAlignment="1">
      <alignment horizontal="center" vertical="center"/>
    </xf>
    <xf numFmtId="0" fontId="44" fillId="52" borderId="7" xfId="0" applyFont="1" applyFill="1" applyBorder="1" applyAlignment="1">
      <alignment horizontal="center" vertical="center"/>
    </xf>
    <xf numFmtId="0" fontId="44" fillId="0" borderId="71" xfId="0" applyFont="1" applyBorder="1" applyAlignment="1">
      <alignment horizontal="left" vertical="top" wrapText="1"/>
    </xf>
    <xf numFmtId="0" fontId="44" fillId="0" borderId="3" xfId="0" applyFont="1" applyBorder="1" applyAlignment="1">
      <alignment horizontal="left" vertical="top" wrapText="1"/>
    </xf>
    <xf numFmtId="0" fontId="44" fillId="0" borderId="20" xfId="0" applyFont="1" applyBorder="1" applyAlignment="1">
      <alignment horizontal="left" vertical="top" wrapText="1"/>
    </xf>
    <xf numFmtId="0" fontId="44" fillId="0" borderId="76" xfId="0" applyFont="1" applyBorder="1" applyAlignment="1">
      <alignment horizontal="left" vertical="top" wrapText="1"/>
    </xf>
    <xf numFmtId="0" fontId="44" fillId="0" borderId="0" xfId="0" applyFont="1" applyBorder="1" applyAlignment="1">
      <alignment horizontal="left" vertical="top" wrapText="1"/>
    </xf>
    <xf numFmtId="0" fontId="44" fillId="0" borderId="5" xfId="0" applyFont="1" applyBorder="1" applyAlignment="1">
      <alignment horizontal="left" vertical="top" wrapText="1"/>
    </xf>
    <xf numFmtId="0" fontId="44" fillId="0" borderId="72" xfId="0" applyFont="1" applyBorder="1" applyAlignment="1">
      <alignment horizontal="left" vertical="top" wrapText="1"/>
    </xf>
    <xf numFmtId="0" fontId="44" fillId="0" borderId="7" xfId="0" applyFont="1" applyBorder="1" applyAlignment="1">
      <alignment horizontal="left" vertical="top" wrapText="1"/>
    </xf>
    <xf numFmtId="0" fontId="44" fillId="0" borderId="8" xfId="0" applyFont="1" applyBorder="1" applyAlignment="1">
      <alignment horizontal="left" vertical="top" wrapText="1"/>
    </xf>
    <xf numFmtId="0" fontId="44" fillId="52" borderId="127" xfId="0" applyFont="1" applyFill="1" applyBorder="1" applyAlignment="1">
      <alignment horizontal="center" vertical="center" wrapText="1"/>
    </xf>
    <xf numFmtId="0" fontId="44" fillId="52" borderId="128" xfId="0" applyFont="1" applyFill="1" applyBorder="1" applyAlignment="1">
      <alignment horizontal="center" vertical="center" wrapText="1"/>
    </xf>
    <xf numFmtId="0" fontId="44" fillId="52" borderId="130" xfId="0" applyFont="1" applyFill="1" applyBorder="1" applyAlignment="1">
      <alignment horizontal="center" vertical="center" wrapText="1"/>
    </xf>
    <xf numFmtId="0" fontId="44" fillId="52" borderId="131" xfId="0" applyFont="1" applyFill="1" applyBorder="1" applyAlignment="1">
      <alignment horizontal="center" vertical="center" wrapText="1"/>
    </xf>
    <xf numFmtId="0" fontId="44" fillId="52" borderId="133" xfId="0" applyFont="1" applyFill="1" applyBorder="1" applyAlignment="1">
      <alignment horizontal="center" vertical="center" wrapText="1"/>
    </xf>
    <xf numFmtId="0" fontId="44" fillId="52" borderId="134" xfId="0" applyFont="1" applyFill="1" applyBorder="1" applyAlignment="1">
      <alignment horizontal="center" vertical="center" wrapText="1"/>
    </xf>
    <xf numFmtId="0" fontId="44" fillId="0" borderId="128" xfId="0" applyFont="1" applyBorder="1" applyAlignment="1">
      <alignment horizontal="center" vertical="center"/>
    </xf>
    <xf numFmtId="0" fontId="44" fillId="0" borderId="129" xfId="0" applyFont="1" applyBorder="1" applyAlignment="1">
      <alignment horizontal="center" vertical="center"/>
    </xf>
    <xf numFmtId="0" fontId="44" fillId="0" borderId="131" xfId="0" applyFont="1" applyBorder="1" applyAlignment="1">
      <alignment horizontal="center" vertical="center"/>
    </xf>
    <xf numFmtId="0" fontId="44" fillId="0" borderId="132" xfId="0" applyFont="1" applyBorder="1" applyAlignment="1">
      <alignment horizontal="center" vertical="center"/>
    </xf>
    <xf numFmtId="0" fontId="44" fillId="0" borderId="134" xfId="0" applyFont="1" applyBorder="1" applyAlignment="1">
      <alignment horizontal="center" vertical="center"/>
    </xf>
    <xf numFmtId="0" fontId="44" fillId="0" borderId="135" xfId="0" applyFont="1" applyBorder="1" applyAlignment="1">
      <alignment horizontal="center" vertical="center"/>
    </xf>
    <xf numFmtId="0" fontId="44" fillId="52" borderId="78" xfId="0" applyFont="1" applyFill="1" applyBorder="1" applyAlignment="1">
      <alignment horizontal="center" vertical="center" shrinkToFit="1"/>
    </xf>
    <xf numFmtId="0" fontId="44" fillId="52" borderId="52" xfId="0" applyFont="1" applyFill="1" applyBorder="1" applyAlignment="1">
      <alignment horizontal="center" vertical="center" shrinkToFit="1"/>
    </xf>
    <xf numFmtId="0" fontId="44" fillId="52" borderId="136" xfId="0" applyFont="1" applyFill="1" applyBorder="1" applyAlignment="1">
      <alignment horizontal="center" vertical="center" shrinkToFit="1"/>
    </xf>
    <xf numFmtId="0" fontId="44" fillId="52" borderId="137" xfId="0" applyFont="1" applyFill="1" applyBorder="1" applyAlignment="1">
      <alignment horizontal="center" vertical="center" shrinkToFit="1"/>
    </xf>
    <xf numFmtId="0" fontId="44" fillId="52" borderId="138" xfId="0" applyFont="1" applyFill="1" applyBorder="1" applyAlignment="1">
      <alignment horizontal="center" vertical="center" shrinkToFit="1"/>
    </xf>
    <xf numFmtId="0" fontId="44" fillId="52" borderId="139" xfId="0" applyFont="1" applyFill="1" applyBorder="1" applyAlignment="1">
      <alignment horizontal="center" vertical="center" shrinkToFit="1"/>
    </xf>
    <xf numFmtId="0" fontId="44" fillId="52" borderId="140" xfId="0" applyFont="1" applyFill="1" applyBorder="1" applyAlignment="1">
      <alignment horizontal="center" vertical="center" shrinkToFit="1"/>
    </xf>
    <xf numFmtId="0" fontId="44" fillId="50" borderId="141" xfId="0" applyFont="1" applyFill="1" applyBorder="1" applyAlignment="1">
      <alignment horizontal="center" vertical="center" shrinkToFit="1"/>
    </xf>
    <xf numFmtId="0" fontId="44" fillId="50" borderId="142" xfId="0" applyFont="1" applyFill="1" applyBorder="1" applyAlignment="1">
      <alignment horizontal="center" vertical="center" shrinkToFit="1"/>
    </xf>
    <xf numFmtId="0" fontId="44" fillId="50" borderId="143" xfId="0" applyFont="1" applyFill="1" applyBorder="1" applyAlignment="1">
      <alignment horizontal="center" vertical="center" shrinkToFit="1"/>
    </xf>
    <xf numFmtId="0" fontId="44" fillId="50" borderId="144" xfId="0" applyFont="1" applyFill="1" applyBorder="1" applyAlignment="1">
      <alignment horizontal="center" vertical="center" shrinkToFit="1"/>
    </xf>
    <xf numFmtId="0" fontId="44" fillId="50" borderId="145" xfId="0" applyFont="1" applyFill="1" applyBorder="1" applyAlignment="1">
      <alignment horizontal="center" vertical="center" shrinkToFit="1"/>
    </xf>
    <xf numFmtId="0" fontId="44" fillId="50" borderId="136" xfId="0" applyFont="1" applyFill="1" applyBorder="1" applyAlignment="1">
      <alignment horizontal="center" vertical="center" shrinkToFit="1"/>
    </xf>
    <xf numFmtId="0" fontId="44" fillId="50" borderId="137" xfId="0" applyFont="1" applyFill="1" applyBorder="1" applyAlignment="1">
      <alignment horizontal="center" vertical="center" shrinkToFit="1"/>
    </xf>
    <xf numFmtId="0" fontId="44" fillId="50" borderId="138" xfId="0" applyFont="1" applyFill="1" applyBorder="1" applyAlignment="1">
      <alignment horizontal="center" vertical="center" shrinkToFit="1"/>
    </xf>
    <xf numFmtId="0" fontId="44" fillId="50" borderId="139" xfId="0" applyFont="1" applyFill="1" applyBorder="1" applyAlignment="1">
      <alignment horizontal="left" vertical="center" shrinkToFit="1"/>
    </xf>
    <xf numFmtId="0" fontId="44" fillId="50" borderId="137" xfId="0" applyFont="1" applyFill="1" applyBorder="1" applyAlignment="1">
      <alignment horizontal="left" vertical="center" shrinkToFit="1"/>
    </xf>
    <xf numFmtId="0" fontId="44" fillId="50" borderId="138" xfId="0" applyFont="1" applyFill="1" applyBorder="1" applyAlignment="1">
      <alignment horizontal="left" vertical="center" shrinkToFit="1"/>
    </xf>
    <xf numFmtId="0" fontId="44" fillId="50" borderId="139" xfId="0" applyFont="1" applyFill="1" applyBorder="1" applyAlignment="1">
      <alignment horizontal="center" vertical="center" shrinkToFit="1"/>
    </xf>
    <xf numFmtId="0" fontId="44" fillId="50" borderId="140" xfId="0" applyFont="1" applyFill="1" applyBorder="1" applyAlignment="1">
      <alignment horizontal="center" vertical="center" shrinkToFit="1"/>
    </xf>
    <xf numFmtId="0" fontId="44" fillId="0" borderId="141" xfId="0" applyFont="1" applyFill="1" applyBorder="1" applyAlignment="1">
      <alignment horizontal="center" vertical="center" shrinkToFit="1"/>
    </xf>
    <xf numFmtId="0" fontId="44" fillId="0" borderId="142" xfId="0" applyFont="1" applyFill="1" applyBorder="1" applyAlignment="1">
      <alignment horizontal="center" vertical="center" shrinkToFit="1"/>
    </xf>
    <xf numFmtId="0" fontId="44" fillId="0" borderId="143" xfId="0" applyFont="1" applyFill="1" applyBorder="1" applyAlignment="1">
      <alignment horizontal="center" vertical="center" shrinkToFit="1"/>
    </xf>
    <xf numFmtId="0" fontId="44" fillId="0" borderId="144" xfId="0" applyFont="1" applyFill="1" applyBorder="1" applyAlignment="1">
      <alignment horizontal="center" vertical="center" shrinkToFit="1"/>
    </xf>
    <xf numFmtId="0" fontId="44" fillId="0" borderId="145" xfId="0" applyFont="1" applyFill="1" applyBorder="1" applyAlignment="1">
      <alignment horizontal="center" vertical="center" shrinkToFit="1"/>
    </xf>
    <xf numFmtId="0" fontId="44" fillId="0" borderId="79" xfId="0" applyFont="1" applyFill="1" applyBorder="1" applyAlignment="1">
      <alignment horizontal="center" vertical="center" shrinkToFit="1"/>
    </xf>
    <xf numFmtId="0" fontId="44" fillId="0" borderId="53" xfId="0" applyFont="1" applyFill="1" applyBorder="1" applyAlignment="1">
      <alignment horizontal="center" vertical="center" shrinkToFit="1"/>
    </xf>
    <xf numFmtId="0" fontId="44" fillId="0" borderId="80" xfId="0" applyFont="1" applyFill="1" applyBorder="1" applyAlignment="1">
      <alignment horizontal="center" vertical="center" shrinkToFit="1"/>
    </xf>
    <xf numFmtId="0" fontId="44" fillId="0" borderId="81" xfId="0" applyFont="1" applyFill="1" applyBorder="1" applyAlignment="1">
      <alignment horizontal="left" vertical="center" shrinkToFit="1"/>
    </xf>
    <xf numFmtId="0" fontId="44" fillId="0" borderId="53" xfId="0" applyFont="1" applyFill="1" applyBorder="1" applyAlignment="1">
      <alignment horizontal="left" vertical="center" shrinkToFit="1"/>
    </xf>
    <xf numFmtId="0" fontId="44" fillId="0" borderId="80" xfId="0" applyFont="1" applyFill="1" applyBorder="1" applyAlignment="1">
      <alignment horizontal="left" vertical="center" shrinkToFit="1"/>
    </xf>
    <xf numFmtId="0" fontId="44" fillId="0" borderId="81" xfId="0" applyFont="1" applyFill="1" applyBorder="1" applyAlignment="1">
      <alignment horizontal="center" vertical="center" shrinkToFit="1"/>
    </xf>
    <xf numFmtId="0" fontId="44" fillId="0" borderId="54" xfId="0" applyFont="1" applyFill="1" applyBorder="1" applyAlignment="1">
      <alignment horizontal="center" vertical="center" shrinkToFit="1"/>
    </xf>
    <xf numFmtId="0" fontId="44" fillId="0" borderId="136" xfId="0" applyFont="1" applyFill="1" applyBorder="1" applyAlignment="1">
      <alignment horizontal="center" vertical="center" shrinkToFit="1"/>
    </xf>
    <xf numFmtId="0" fontId="44" fillId="0" borderId="137" xfId="0" applyFont="1" applyFill="1" applyBorder="1" applyAlignment="1">
      <alignment horizontal="center" vertical="center" shrinkToFit="1"/>
    </xf>
    <xf numFmtId="0" fontId="44" fillId="0" borderId="138" xfId="0" applyFont="1" applyFill="1" applyBorder="1" applyAlignment="1">
      <alignment horizontal="center" vertical="center" shrinkToFit="1"/>
    </xf>
    <xf numFmtId="0" fontId="44" fillId="0" borderId="139" xfId="0" applyFont="1" applyFill="1" applyBorder="1" applyAlignment="1">
      <alignment horizontal="left" vertical="center" shrinkToFit="1"/>
    </xf>
    <xf numFmtId="0" fontId="44" fillId="0" borderId="137" xfId="0" applyFont="1" applyFill="1" applyBorder="1" applyAlignment="1">
      <alignment horizontal="left" vertical="center" shrinkToFit="1"/>
    </xf>
    <xf numFmtId="0" fontId="44" fillId="0" borderId="138" xfId="0" applyFont="1" applyFill="1" applyBorder="1" applyAlignment="1">
      <alignment horizontal="left" vertical="center" shrinkToFit="1"/>
    </xf>
    <xf numFmtId="0" fontId="44" fillId="0" borderId="139" xfId="0" applyFont="1" applyFill="1" applyBorder="1" applyAlignment="1">
      <alignment horizontal="center" vertical="center" shrinkToFit="1"/>
    </xf>
    <xf numFmtId="0" fontId="44" fillId="0" borderId="140" xfId="0" applyFont="1" applyFill="1" applyBorder="1" applyAlignment="1">
      <alignment horizontal="center" vertical="center" shrinkToFit="1"/>
    </xf>
    <xf numFmtId="192" fontId="44" fillId="0" borderId="113" xfId="0" applyNumberFormat="1" applyFont="1" applyBorder="1" applyAlignment="1">
      <alignment horizontal="left" vertical="center"/>
    </xf>
    <xf numFmtId="199" fontId="44" fillId="0" borderId="113" xfId="0" applyNumberFormat="1" applyFont="1" applyBorder="1" applyAlignment="1">
      <alignment horizontal="center" vertical="center" shrinkToFit="1"/>
    </xf>
    <xf numFmtId="199" fontId="44" fillId="0" borderId="123" xfId="0" applyNumberFormat="1" applyFont="1" applyBorder="1" applyAlignment="1">
      <alignment horizontal="center" vertical="center" shrinkToFit="1"/>
    </xf>
    <xf numFmtId="192" fontId="44" fillId="0" borderId="113" xfId="0" applyNumberFormat="1" applyFont="1" applyFill="1" applyBorder="1" applyAlignment="1">
      <alignment horizontal="left" vertical="center" shrinkToFit="1"/>
    </xf>
    <xf numFmtId="192" fontId="44" fillId="0" borderId="113" xfId="0" applyNumberFormat="1" applyFont="1" applyFill="1" applyBorder="1" applyAlignment="1">
      <alignment horizontal="center" vertical="center" shrinkToFit="1"/>
    </xf>
    <xf numFmtId="192" fontId="44" fillId="0" borderId="123" xfId="0" applyNumberFormat="1" applyFont="1" applyFill="1" applyBorder="1" applyAlignment="1">
      <alignment horizontal="center" vertical="center" shrinkToFit="1"/>
    </xf>
    <xf numFmtId="0" fontId="44" fillId="52" borderId="73" xfId="0" applyFont="1" applyFill="1" applyBorder="1" applyAlignment="1">
      <alignment horizontal="center" vertical="center" shrinkToFit="1"/>
    </xf>
    <xf numFmtId="0" fontId="44" fillId="52" borderId="74" xfId="0" applyFont="1" applyFill="1" applyBorder="1" applyAlignment="1">
      <alignment horizontal="center" vertical="center" shrinkToFit="1"/>
    </xf>
    <xf numFmtId="192" fontId="44" fillId="0" borderId="74" xfId="0" applyNumberFormat="1" applyFont="1" applyBorder="1" applyAlignment="1">
      <alignment horizontal="left" vertical="center" shrinkToFit="1"/>
    </xf>
    <xf numFmtId="192" fontId="44" fillId="0" borderId="75" xfId="0" applyNumberFormat="1" applyFont="1" applyBorder="1" applyAlignment="1">
      <alignment horizontal="left" vertical="center" shrinkToFit="1"/>
    </xf>
    <xf numFmtId="192" fontId="44" fillId="0" borderId="113" xfId="0" applyNumberFormat="1" applyFont="1" applyBorder="1" applyAlignment="1">
      <alignment horizontal="left" vertical="top" wrapText="1"/>
    </xf>
    <xf numFmtId="192" fontId="44" fillId="0" borderId="125" xfId="0" applyNumberFormat="1" applyFont="1" applyBorder="1" applyAlignment="1">
      <alignment horizontal="left" vertical="top" wrapText="1"/>
    </xf>
    <xf numFmtId="0" fontId="88" fillId="8" borderId="82" xfId="0" applyFont="1" applyFill="1" applyBorder="1" applyAlignment="1">
      <alignment horizontal="center" vertical="center"/>
    </xf>
    <xf numFmtId="0" fontId="88" fillId="8" borderId="83" xfId="0" applyFont="1" applyFill="1" applyBorder="1" applyAlignment="1">
      <alignment horizontal="center" vertical="center"/>
    </xf>
    <xf numFmtId="193" fontId="88" fillId="8" borderId="83" xfId="0" quotePrefix="1" applyNumberFormat="1" applyFont="1" applyFill="1" applyBorder="1" applyAlignment="1">
      <alignment horizontal="center" vertical="center"/>
    </xf>
    <xf numFmtId="193" fontId="88" fillId="8" borderId="84" xfId="0" quotePrefix="1" applyNumberFormat="1" applyFont="1" applyFill="1" applyBorder="1" applyAlignment="1">
      <alignment horizontal="center" vertical="center"/>
    </xf>
    <xf numFmtId="192" fontId="44" fillId="0" borderId="118" xfId="0" applyNumberFormat="1" applyFont="1" applyBorder="1" applyAlignment="1">
      <alignment horizontal="left" vertical="center"/>
    </xf>
    <xf numFmtId="192" fontId="44" fillId="0" borderId="118" xfId="0" applyNumberFormat="1" applyFont="1" applyBorder="1" applyAlignment="1">
      <alignment horizontal="center" vertical="center" shrinkToFit="1"/>
    </xf>
    <xf numFmtId="192" fontId="44" fillId="0" borderId="121" xfId="0" applyNumberFormat="1" applyFont="1" applyBorder="1" applyAlignment="1">
      <alignment horizontal="center" vertical="center" shrinkToFit="1"/>
    </xf>
    <xf numFmtId="0" fontId="70" fillId="0" borderId="0" xfId="0" applyNumberFormat="1" applyFont="1" applyBorder="1" applyAlignment="1">
      <alignment horizontal="left" vertical="center" shrinkToFit="1"/>
    </xf>
    <xf numFmtId="0" fontId="68" fillId="0" borderId="0" xfId="0" applyFont="1" applyBorder="1" applyAlignment="1">
      <alignment horizontal="left" vertical="center" shrinkToFit="1"/>
    </xf>
    <xf numFmtId="0" fontId="71" fillId="0" borderId="0" xfId="0" applyNumberFormat="1" applyFont="1" applyBorder="1" applyAlignment="1">
      <alignment horizontal="left" vertical="center" shrinkToFit="1"/>
    </xf>
    <xf numFmtId="185" fontId="69" fillId="0" borderId="0" xfId="0" applyNumberFormat="1" applyFont="1" applyBorder="1" applyAlignment="1">
      <alignment horizontal="left" vertical="center" shrinkToFit="1"/>
    </xf>
    <xf numFmtId="0" fontId="69" fillId="0" borderId="0" xfId="0" applyNumberFormat="1" applyFont="1" applyFill="1" applyBorder="1" applyAlignment="1">
      <alignment horizontal="left" vertical="center" shrinkToFit="1"/>
    </xf>
    <xf numFmtId="0" fontId="69" fillId="0" borderId="0" xfId="0" applyNumberFormat="1" applyFont="1" applyBorder="1" applyAlignment="1">
      <alignment horizontal="left" vertical="center" shrinkToFit="1"/>
    </xf>
    <xf numFmtId="177" fontId="70" fillId="0" borderId="0" xfId="0" applyNumberFormat="1" applyFont="1" applyBorder="1" applyAlignment="1">
      <alignment horizontal="left" vertical="center" shrinkToFit="1"/>
    </xf>
    <xf numFmtId="194" fontId="70" fillId="0" borderId="0" xfId="0" applyNumberFormat="1" applyFont="1" applyFill="1" applyBorder="1" applyAlignment="1">
      <alignment horizontal="left" vertical="center" shrinkToFit="1"/>
    </xf>
    <xf numFmtId="0" fontId="47" fillId="48" borderId="66" xfId="0" applyFont="1" applyFill="1" applyBorder="1" applyAlignment="1">
      <alignment horizontal="left" vertical="top" wrapText="1"/>
    </xf>
    <xf numFmtId="0" fontId="47" fillId="48" borderId="66" xfId="0" applyFont="1" applyFill="1" applyBorder="1" applyAlignment="1">
      <alignment horizontal="left" vertical="center" wrapText="1"/>
    </xf>
    <xf numFmtId="0" fontId="47" fillId="11" borderId="66" xfId="0" applyFont="1" applyFill="1" applyBorder="1" applyAlignment="1">
      <alignment horizontal="left" vertical="center" wrapText="1"/>
    </xf>
    <xf numFmtId="0" fontId="0" fillId="11" borderId="66" xfId="0" applyFill="1" applyBorder="1" applyAlignment="1">
      <alignment horizontal="left" vertical="center" wrapText="1"/>
    </xf>
    <xf numFmtId="0" fontId="0" fillId="11" borderId="66" xfId="0" applyFill="1" applyBorder="1" applyAlignment="1">
      <alignment horizontal="left" vertical="center"/>
    </xf>
    <xf numFmtId="0" fontId="0" fillId="48" borderId="66" xfId="0" applyFill="1" applyBorder="1" applyAlignment="1">
      <alignment horizontal="left" vertical="top" wrapText="1"/>
    </xf>
    <xf numFmtId="0" fontId="8" fillId="0" borderId="9" xfId="0" applyFont="1" applyFill="1" applyBorder="1" applyAlignment="1" applyProtection="1">
      <alignment vertical="center" shrinkToFit="1"/>
      <protection locked="0"/>
    </xf>
    <xf numFmtId="0" fontId="8" fillId="0" borderId="10" xfId="0" applyFont="1" applyFill="1" applyBorder="1" applyAlignment="1" applyProtection="1">
      <alignment vertical="center" shrinkToFit="1"/>
      <protection locked="0"/>
    </xf>
    <xf numFmtId="0" fontId="8" fillId="0" borderId="11" xfId="0" applyFont="1" applyFill="1" applyBorder="1" applyAlignment="1" applyProtection="1">
      <alignment vertical="center" shrinkToFit="1"/>
      <protection locked="0"/>
    </xf>
    <xf numFmtId="0" fontId="8" fillId="5" borderId="9" xfId="0" applyFont="1" applyFill="1" applyBorder="1" applyAlignment="1" applyProtection="1">
      <alignment vertical="center" shrinkToFit="1"/>
      <protection locked="0"/>
    </xf>
    <xf numFmtId="0" fontId="8" fillId="5" borderId="10" xfId="0" applyFont="1" applyFill="1" applyBorder="1" applyAlignment="1" applyProtection="1">
      <alignment vertical="center" shrinkToFit="1"/>
      <protection locked="0"/>
    </xf>
    <xf numFmtId="0" fontId="8" fillId="5" borderId="11" xfId="0" applyFont="1" applyFill="1" applyBorder="1" applyAlignment="1" applyProtection="1">
      <alignment vertical="center" shrinkToFit="1"/>
      <protection locked="0"/>
    </xf>
    <xf numFmtId="0" fontId="8" fillId="10" borderId="9" xfId="0" applyFont="1" applyFill="1" applyBorder="1" applyAlignment="1" applyProtection="1">
      <alignment horizontal="left" vertical="center"/>
      <protection locked="0"/>
    </xf>
    <xf numFmtId="0" fontId="8" fillId="10" borderId="10" xfId="0" applyFont="1" applyFill="1" applyBorder="1" applyAlignment="1" applyProtection="1">
      <alignment horizontal="left" vertical="center"/>
      <protection locked="0"/>
    </xf>
    <xf numFmtId="0" fontId="8" fillId="10" borderId="11" xfId="0" applyFont="1" applyFill="1" applyBorder="1" applyAlignment="1" applyProtection="1">
      <alignment horizontal="left" vertical="center"/>
      <protection locked="0"/>
    </xf>
    <xf numFmtId="0" fontId="8" fillId="10" borderId="9" xfId="0" applyFont="1" applyFill="1" applyBorder="1" applyAlignment="1" applyProtection="1">
      <alignment vertical="center" shrinkToFit="1"/>
      <protection locked="0"/>
    </xf>
    <xf numFmtId="0" fontId="8" fillId="10" borderId="10" xfId="0" applyFont="1" applyFill="1" applyBorder="1" applyAlignment="1" applyProtection="1">
      <alignment vertical="center" shrinkToFit="1"/>
      <protection locked="0"/>
    </xf>
    <xf numFmtId="0" fontId="8" fillId="10" borderId="11" xfId="0" applyFont="1" applyFill="1" applyBorder="1" applyAlignment="1" applyProtection="1">
      <alignment vertical="center" shrinkToFit="1"/>
      <protection locked="0"/>
    </xf>
    <xf numFmtId="0" fontId="8" fillId="5" borderId="9" xfId="0" applyFont="1" applyFill="1" applyBorder="1" applyAlignment="1" applyProtection="1">
      <alignment vertical="center"/>
      <protection locked="0"/>
    </xf>
    <xf numFmtId="0" fontId="8" fillId="5" borderId="10" xfId="0" applyFont="1" applyFill="1" applyBorder="1" applyAlignment="1" applyProtection="1">
      <alignment vertical="center"/>
      <protection locked="0"/>
    </xf>
    <xf numFmtId="0" fontId="8" fillId="5" borderId="11" xfId="0" applyFont="1" applyFill="1" applyBorder="1" applyAlignment="1" applyProtection="1">
      <alignment vertical="center"/>
      <protection locked="0"/>
    </xf>
    <xf numFmtId="0" fontId="8" fillId="8" borderId="9" xfId="0" applyFont="1" applyFill="1" applyBorder="1" applyAlignment="1" applyProtection="1">
      <alignment horizontal="left" vertical="center"/>
      <protection locked="0"/>
    </xf>
    <xf numFmtId="0" fontId="8" fillId="8" borderId="10" xfId="0" applyFont="1" applyFill="1" applyBorder="1" applyAlignment="1" applyProtection="1">
      <alignment horizontal="left" vertical="center"/>
      <protection locked="0"/>
    </xf>
    <xf numFmtId="0" fontId="8" fillId="8" borderId="11" xfId="0" applyFont="1" applyFill="1" applyBorder="1" applyAlignment="1" applyProtection="1">
      <alignment horizontal="left" vertical="center"/>
      <protection locked="0"/>
    </xf>
    <xf numFmtId="0" fontId="8" fillId="5" borderId="9" xfId="0" applyFont="1" applyFill="1" applyBorder="1" applyAlignment="1" applyProtection="1">
      <alignment horizontal="left" vertical="center"/>
      <protection locked="0"/>
    </xf>
    <xf numFmtId="0" fontId="8" fillId="5" borderId="10" xfId="0" applyFont="1" applyFill="1" applyBorder="1" applyAlignment="1" applyProtection="1">
      <alignment horizontal="left" vertical="center"/>
      <protection locked="0"/>
    </xf>
    <xf numFmtId="0" fontId="8" fillId="5" borderId="11" xfId="0" applyFont="1" applyFill="1" applyBorder="1" applyAlignment="1" applyProtection="1">
      <alignment horizontal="left" vertical="center"/>
      <protection locked="0"/>
    </xf>
    <xf numFmtId="0" fontId="8" fillId="10" borderId="9" xfId="0" applyFont="1" applyFill="1" applyBorder="1" applyAlignment="1" applyProtection="1">
      <alignment horizontal="center" vertical="center"/>
      <protection locked="0"/>
    </xf>
    <xf numFmtId="0" fontId="8" fillId="10" borderId="10" xfId="0" applyFont="1" applyFill="1" applyBorder="1" applyAlignment="1" applyProtection="1">
      <alignment horizontal="center" vertical="center"/>
      <protection locked="0"/>
    </xf>
    <xf numFmtId="0" fontId="8" fillId="10" borderId="11" xfId="0" applyFont="1" applyFill="1" applyBorder="1" applyAlignment="1" applyProtection="1">
      <alignment horizontal="center" vertical="center"/>
      <protection locked="0"/>
    </xf>
    <xf numFmtId="0" fontId="0" fillId="0" borderId="10" xfId="0" applyFill="1" applyBorder="1" applyAlignment="1" applyProtection="1">
      <alignment horizontal="left" vertical="center" shrinkToFit="1"/>
      <protection locked="0"/>
    </xf>
    <xf numFmtId="0" fontId="0" fillId="0" borderId="11" xfId="0" applyFill="1" applyBorder="1" applyAlignment="1" applyProtection="1">
      <alignment horizontal="left" vertical="center" shrinkToFit="1"/>
      <protection locked="0"/>
    </xf>
    <xf numFmtId="0" fontId="0" fillId="0" borderId="10" xfId="0" applyBorder="1" applyAlignment="1" applyProtection="1">
      <alignment horizontal="left" vertical="center" shrinkToFit="1"/>
      <protection locked="0"/>
    </xf>
    <xf numFmtId="0" fontId="0" fillId="0" borderId="11" xfId="0" applyBorder="1" applyAlignment="1" applyProtection="1">
      <alignment horizontal="left" vertical="center" shrinkToFit="1"/>
      <protection locked="0"/>
    </xf>
    <xf numFmtId="0" fontId="8" fillId="10" borderId="9" xfId="0" applyFont="1" applyFill="1" applyBorder="1" applyAlignment="1" applyProtection="1">
      <alignment horizontal="center" vertical="center" shrinkToFit="1"/>
      <protection locked="0"/>
    </xf>
    <xf numFmtId="0" fontId="8" fillId="10" borderId="10" xfId="0" applyFont="1" applyFill="1" applyBorder="1" applyAlignment="1" applyProtection="1">
      <alignment horizontal="center" vertical="center" shrinkToFit="1"/>
      <protection locked="0"/>
    </xf>
    <xf numFmtId="0" fontId="8" fillId="10" borderId="11" xfId="0" applyFont="1" applyFill="1" applyBorder="1" applyAlignment="1" applyProtection="1">
      <alignment horizontal="center" vertical="center" shrinkToFit="1"/>
      <protection locked="0"/>
    </xf>
    <xf numFmtId="0" fontId="8" fillId="5" borderId="9" xfId="0" applyFont="1" applyFill="1" applyBorder="1" applyAlignment="1" applyProtection="1">
      <alignment horizontal="center" vertical="center"/>
      <protection locked="0"/>
    </xf>
    <xf numFmtId="0" fontId="8" fillId="5" borderId="10" xfId="0" applyFont="1" applyFill="1" applyBorder="1" applyAlignment="1" applyProtection="1">
      <alignment horizontal="center" vertical="center"/>
      <protection locked="0"/>
    </xf>
    <xf numFmtId="0" fontId="8" fillId="5" borderId="11" xfId="0" applyFont="1" applyFill="1" applyBorder="1" applyAlignment="1" applyProtection="1">
      <alignment horizontal="center" vertical="center"/>
      <protection locked="0"/>
    </xf>
    <xf numFmtId="0" fontId="8" fillId="0" borderId="9" xfId="0" applyFont="1" applyFill="1" applyBorder="1" applyAlignment="1" applyProtection="1">
      <alignment horizontal="center" vertical="center" shrinkToFit="1"/>
      <protection locked="0"/>
    </xf>
    <xf numFmtId="0" fontId="8" fillId="0" borderId="10" xfId="0" applyFont="1" applyFill="1" applyBorder="1" applyAlignment="1" applyProtection="1">
      <alignment horizontal="center" vertical="center" shrinkToFit="1"/>
      <protection locked="0"/>
    </xf>
    <xf numFmtId="0" fontId="8" fillId="0" borderId="11" xfId="0" applyFont="1" applyFill="1" applyBorder="1" applyAlignment="1" applyProtection="1">
      <alignment horizontal="center" vertical="center" shrinkToFit="1"/>
      <protection locked="0"/>
    </xf>
    <xf numFmtId="0" fontId="0" fillId="0" borderId="0" xfId="0" applyFill="1" applyBorder="1" applyAlignment="1">
      <alignment horizontal="left" vertical="center" wrapText="1"/>
    </xf>
    <xf numFmtId="0" fontId="0" fillId="0" borderId="0" xfId="0" applyFill="1" applyBorder="1" applyAlignment="1">
      <alignment horizontal="left" vertical="center"/>
    </xf>
    <xf numFmtId="0" fontId="48" fillId="53" borderId="23" xfId="0" applyFont="1" applyFill="1" applyBorder="1" applyAlignment="1">
      <alignment horizontal="left" wrapText="1"/>
    </xf>
    <xf numFmtId="0" fontId="48" fillId="53" borderId="64" xfId="0" applyFont="1" applyFill="1" applyBorder="1" applyAlignment="1">
      <alignment horizontal="left" wrapText="1"/>
    </xf>
    <xf numFmtId="0" fontId="48" fillId="53" borderId="23" xfId="0" applyFont="1" applyFill="1" applyBorder="1" applyAlignment="1">
      <alignment horizontal="left" vertical="top" wrapText="1"/>
    </xf>
    <xf numFmtId="0" fontId="48" fillId="11" borderId="97" xfId="0" applyFont="1" applyFill="1" applyBorder="1" applyAlignment="1">
      <alignment horizontal="left" vertical="top" wrapText="1"/>
    </xf>
    <xf numFmtId="0" fontId="8" fillId="10" borderId="9" xfId="0" applyFont="1" applyFill="1" applyBorder="1" applyAlignment="1" applyProtection="1">
      <alignment horizontal="left" vertical="center" shrinkToFit="1"/>
      <protection locked="0"/>
    </xf>
    <xf numFmtId="0" fontId="8" fillId="10" borderId="10" xfId="0" applyFont="1" applyFill="1" applyBorder="1" applyAlignment="1" applyProtection="1">
      <alignment horizontal="left" vertical="center" shrinkToFit="1"/>
      <protection locked="0"/>
    </xf>
    <xf numFmtId="0" fontId="8" fillId="10" borderId="11" xfId="0" applyFont="1" applyFill="1" applyBorder="1" applyAlignment="1" applyProtection="1">
      <alignment horizontal="left" vertical="center" shrinkToFit="1"/>
      <protection locked="0"/>
    </xf>
    <xf numFmtId="0" fontId="0" fillId="0" borderId="10" xfId="0" applyFill="1" applyBorder="1" applyAlignment="1" applyProtection="1">
      <alignment vertical="center" shrinkToFit="1"/>
      <protection locked="0"/>
    </xf>
    <xf numFmtId="0" fontId="0" fillId="0" borderId="11" xfId="0" applyFill="1" applyBorder="1" applyAlignment="1" applyProtection="1">
      <alignment vertical="center" shrinkToFit="1"/>
      <protection locked="0"/>
    </xf>
    <xf numFmtId="0" fontId="0" fillId="0" borderId="10" xfId="0" applyBorder="1" applyAlignment="1" applyProtection="1">
      <alignment vertical="center" shrinkToFit="1"/>
      <protection locked="0"/>
    </xf>
    <xf numFmtId="0" fontId="0" fillId="0" borderId="11" xfId="0" applyBorder="1" applyAlignment="1" applyProtection="1">
      <alignment vertical="center" shrinkToFit="1"/>
      <protection locked="0"/>
    </xf>
    <xf numFmtId="0" fontId="8" fillId="8" borderId="51" xfId="0" applyFont="1" applyFill="1" applyBorder="1" applyAlignment="1">
      <alignment horizontal="left" vertical="center" shrinkToFit="1"/>
    </xf>
    <xf numFmtId="0" fontId="8" fillId="8" borderId="52" xfId="0" applyFont="1" applyFill="1" applyBorder="1" applyAlignment="1">
      <alignment horizontal="left" vertical="center" shrinkToFit="1"/>
    </xf>
    <xf numFmtId="0" fontId="8" fillId="8" borderId="53" xfId="0" applyFont="1" applyFill="1" applyBorder="1" applyAlignment="1">
      <alignment horizontal="left" vertical="center" shrinkToFit="1"/>
    </xf>
    <xf numFmtId="0" fontId="8" fillId="8" borderId="54" xfId="0" applyFont="1" applyFill="1" applyBorder="1" applyAlignment="1">
      <alignment horizontal="left" vertical="center" shrinkToFit="1"/>
    </xf>
    <xf numFmtId="14" fontId="8" fillId="5" borderId="9" xfId="0" applyNumberFormat="1" applyFont="1" applyFill="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48" fillId="48" borderId="23" xfId="0" applyFont="1" applyFill="1" applyBorder="1" applyAlignment="1">
      <alignment horizontal="center" wrapText="1"/>
    </xf>
    <xf numFmtId="0" fontId="0" fillId="11" borderId="64" xfId="0" applyFill="1" applyBorder="1" applyAlignment="1">
      <alignment horizontal="center" vertical="center"/>
    </xf>
    <xf numFmtId="0" fontId="8" fillId="0" borderId="7" xfId="0" applyFont="1" applyFill="1" applyBorder="1" applyAlignment="1">
      <alignment horizontal="left" vertical="center"/>
    </xf>
    <xf numFmtId="0" fontId="47" fillId="10" borderId="10" xfId="0" applyFont="1" applyFill="1" applyBorder="1" applyAlignment="1" applyProtection="1">
      <alignment horizontal="center" vertical="center" shrinkToFit="1"/>
      <protection locked="0"/>
    </xf>
    <xf numFmtId="0" fontId="47" fillId="10" borderId="11" xfId="0" applyFont="1" applyFill="1" applyBorder="1" applyAlignment="1" applyProtection="1">
      <alignment horizontal="center" vertical="center" shrinkToFit="1"/>
      <protection locked="0"/>
    </xf>
    <xf numFmtId="0" fontId="47" fillId="0" borderId="10" xfId="0" applyFont="1" applyFill="1" applyBorder="1" applyAlignment="1" applyProtection="1">
      <alignment horizontal="left" vertical="center" shrinkToFit="1"/>
      <protection locked="0"/>
    </xf>
    <xf numFmtId="0" fontId="47" fillId="0" borderId="11" xfId="0" applyFont="1" applyFill="1" applyBorder="1" applyAlignment="1" applyProtection="1">
      <alignment horizontal="left" vertical="center" shrinkToFit="1"/>
      <protection locked="0"/>
    </xf>
    <xf numFmtId="0" fontId="0" fillId="0" borderId="10" xfId="0" applyBorder="1" applyAlignment="1">
      <alignment horizontal="left" vertical="center"/>
    </xf>
    <xf numFmtId="0" fontId="0" fillId="0" borderId="11" xfId="0" applyBorder="1" applyAlignment="1">
      <alignment horizontal="left" vertical="center"/>
    </xf>
    <xf numFmtId="49" fontId="0" fillId="5" borderId="10" xfId="0" applyNumberFormat="1" applyFill="1" applyBorder="1" applyAlignment="1" applyProtection="1">
      <alignment horizontal="left" vertical="center" shrinkToFit="1"/>
      <protection locked="0"/>
    </xf>
    <xf numFmtId="49" fontId="0" fillId="5" borderId="11" xfId="0" applyNumberFormat="1" applyFill="1" applyBorder="1" applyAlignment="1" applyProtection="1">
      <alignment horizontal="left" vertical="center" shrinkToFit="1"/>
      <protection locked="0"/>
    </xf>
    <xf numFmtId="0" fontId="8" fillId="9" borderId="9" xfId="0" applyFont="1" applyFill="1" applyBorder="1" applyAlignment="1" applyProtection="1">
      <alignment horizontal="left" vertical="center" shrinkToFit="1"/>
    </xf>
    <xf numFmtId="0" fontId="0" fillId="9" borderId="10" xfId="0" applyFill="1" applyBorder="1" applyAlignment="1" applyProtection="1">
      <alignment horizontal="left" vertical="center" shrinkToFit="1"/>
    </xf>
    <xf numFmtId="0" fontId="0" fillId="9" borderId="11" xfId="0" applyFill="1" applyBorder="1" applyAlignment="1" applyProtection="1">
      <alignment horizontal="left" vertical="center" shrinkToFit="1"/>
    </xf>
    <xf numFmtId="0" fontId="8" fillId="10" borderId="6" xfId="0" applyFont="1" applyFill="1" applyBorder="1" applyAlignment="1" applyProtection="1">
      <alignment horizontal="center" vertical="center"/>
      <protection locked="0"/>
    </xf>
    <xf numFmtId="0" fontId="8" fillId="10" borderId="7" xfId="0" applyFont="1" applyFill="1" applyBorder="1" applyAlignment="1" applyProtection="1">
      <alignment horizontal="center" vertical="center"/>
      <protection locked="0"/>
    </xf>
    <xf numFmtId="0" fontId="8" fillId="10" borderId="8" xfId="0" applyFont="1" applyFill="1" applyBorder="1" applyAlignment="1" applyProtection="1">
      <alignment horizontal="center" vertical="center"/>
      <protection locked="0"/>
    </xf>
    <xf numFmtId="0" fontId="0" fillId="0" borderId="1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47" fillId="0" borderId="0" xfId="0" applyFont="1" applyAlignment="1">
      <alignment vertical="center" shrinkToFit="1"/>
    </xf>
    <xf numFmtId="0" fontId="0" fillId="57" borderId="9" xfId="0" applyFill="1" applyBorder="1" applyAlignment="1">
      <alignment horizontal="center" vertical="center"/>
    </xf>
    <xf numFmtId="0" fontId="0" fillId="57" borderId="10" xfId="0" applyFill="1" applyBorder="1" applyAlignment="1">
      <alignment horizontal="center" vertical="center"/>
    </xf>
    <xf numFmtId="0" fontId="0" fillId="57" borderId="11" xfId="0" applyFill="1" applyBorder="1" applyAlignment="1">
      <alignment horizontal="center" vertical="center"/>
    </xf>
    <xf numFmtId="0" fontId="0" fillId="2" borderId="1" xfId="0" applyFill="1" applyBorder="1" applyAlignment="1">
      <alignment horizontal="left" vertical="center"/>
    </xf>
    <xf numFmtId="0" fontId="0" fillId="57" borderId="13" xfId="0" applyFill="1" applyBorder="1" applyAlignment="1">
      <alignment horizontal="center" vertical="center"/>
    </xf>
    <xf numFmtId="0" fontId="0" fillId="55" borderId="1" xfId="0" applyFill="1" applyBorder="1" applyAlignment="1">
      <alignment horizontal="left" vertical="center"/>
    </xf>
    <xf numFmtId="0" fontId="0" fillId="57" borderId="2" xfId="0" applyFill="1" applyBorder="1" applyAlignment="1">
      <alignment horizontal="center" vertical="center"/>
    </xf>
    <xf numFmtId="0" fontId="0" fillId="57" borderId="3" xfId="0" applyFill="1" applyBorder="1" applyAlignment="1">
      <alignment horizontal="center" vertical="center"/>
    </xf>
    <xf numFmtId="0" fontId="0" fillId="57" borderId="20" xfId="0" applyFill="1" applyBorder="1" applyAlignment="1">
      <alignment horizontal="center" vertical="center"/>
    </xf>
    <xf numFmtId="0" fontId="0" fillId="55" borderId="14" xfId="0" applyFill="1" applyBorder="1" applyAlignment="1">
      <alignment horizontal="left" vertical="center"/>
    </xf>
    <xf numFmtId="0" fontId="0" fillId="55" borderId="13" xfId="0" applyFill="1" applyBorder="1" applyAlignment="1">
      <alignment horizontal="left" vertical="center"/>
    </xf>
    <xf numFmtId="0" fontId="0" fillId="55" borderId="9" xfId="0" applyFill="1" applyBorder="1" applyAlignment="1">
      <alignment horizontal="left" vertical="center" wrapText="1"/>
    </xf>
    <xf numFmtId="0" fontId="0" fillId="55" borderId="11" xfId="0" applyFill="1" applyBorder="1" applyAlignment="1">
      <alignment horizontal="left" vertical="center"/>
    </xf>
    <xf numFmtId="0" fontId="8" fillId="0" borderId="0" xfId="0" applyFont="1" applyFill="1" applyBorder="1" applyAlignment="1">
      <alignment horizontal="left"/>
    </xf>
    <xf numFmtId="0" fontId="8" fillId="0" borderId="7" xfId="0" applyFont="1" applyFill="1" applyBorder="1" applyAlignment="1">
      <alignment horizontal="center"/>
    </xf>
    <xf numFmtId="0" fontId="8" fillId="0" borderId="7" xfId="0" applyFont="1" applyBorder="1" applyAlignment="1">
      <alignment horizontal="center"/>
    </xf>
    <xf numFmtId="0" fontId="0" fillId="0" borderId="7" xfId="0" applyBorder="1" applyAlignment="1">
      <alignment horizontal="center"/>
    </xf>
    <xf numFmtId="0" fontId="8" fillId="0" borderId="7" xfId="0" applyFont="1" applyFill="1" applyBorder="1" applyAlignment="1">
      <alignment horizontal="left"/>
    </xf>
    <xf numFmtId="0" fontId="8" fillId="0" borderId="10" xfId="0" applyFont="1" applyFill="1" applyBorder="1" applyAlignment="1">
      <alignment horizontal="center"/>
    </xf>
    <xf numFmtId="0" fontId="8" fillId="0" borderId="10" xfId="0" applyFont="1" applyFill="1" applyBorder="1" applyAlignment="1">
      <alignment horizontal="left"/>
    </xf>
    <xf numFmtId="0" fontId="0" fillId="0" borderId="10" xfId="0" applyBorder="1" applyAlignment="1">
      <alignment horizontal="left"/>
    </xf>
    <xf numFmtId="0" fontId="44" fillId="51" borderId="1" xfId="0" applyFont="1" applyFill="1" applyBorder="1" applyAlignment="1">
      <alignment horizontal="center" vertical="center" wrapText="1" shrinkToFit="1"/>
    </xf>
    <xf numFmtId="0" fontId="48" fillId="0" borderId="1" xfId="0" applyFont="1" applyBorder="1" applyAlignment="1">
      <alignment horizontal="center" vertical="center" shrinkToFit="1"/>
    </xf>
    <xf numFmtId="0" fontId="8" fillId="9" borderId="9" xfId="0" applyFont="1" applyFill="1" applyBorder="1" applyAlignment="1" applyProtection="1">
      <alignment horizontal="left" vertical="center"/>
    </xf>
    <xf numFmtId="0" fontId="8" fillId="9" borderId="10" xfId="0" applyFont="1" applyFill="1" applyBorder="1" applyAlignment="1" applyProtection="1">
      <alignment horizontal="left" vertical="center"/>
    </xf>
    <xf numFmtId="0" fontId="8" fillId="9" borderId="11" xfId="0" applyFont="1" applyFill="1" applyBorder="1" applyAlignment="1" applyProtection="1">
      <alignment horizontal="left" vertical="center"/>
    </xf>
    <xf numFmtId="0" fontId="0" fillId="10" borderId="10" xfId="0" applyFill="1" applyBorder="1" applyAlignment="1" applyProtection="1">
      <alignment vertical="center" shrinkToFit="1"/>
      <protection locked="0"/>
    </xf>
    <xf numFmtId="0" fontId="0" fillId="10" borderId="11" xfId="0" applyFill="1" applyBorder="1" applyAlignment="1" applyProtection="1">
      <alignment vertical="center" shrinkToFit="1"/>
      <protection locked="0"/>
    </xf>
    <xf numFmtId="0" fontId="0" fillId="5" borderId="10" xfId="0" applyFill="1" applyBorder="1" applyAlignment="1" applyProtection="1">
      <alignment vertical="center" shrinkToFit="1"/>
      <protection locked="0"/>
    </xf>
    <xf numFmtId="0" fontId="0" fillId="5" borderId="11" xfId="0" applyFill="1" applyBorder="1" applyAlignment="1" applyProtection="1">
      <alignment vertical="center" shrinkToFit="1"/>
      <protection locked="0"/>
    </xf>
    <xf numFmtId="0" fontId="8" fillId="10" borderId="2" xfId="0" applyFont="1" applyFill="1" applyBorder="1" applyAlignment="1" applyProtection="1">
      <alignment vertical="center" shrinkToFit="1"/>
      <protection locked="0"/>
    </xf>
    <xf numFmtId="0" fontId="0" fillId="10" borderId="3" xfId="0" applyFill="1" applyBorder="1" applyAlignment="1" applyProtection="1">
      <alignment vertical="center" shrinkToFit="1"/>
      <protection locked="0"/>
    </xf>
    <xf numFmtId="0" fontId="0" fillId="10" borderId="20" xfId="0" applyFill="1" applyBorder="1" applyAlignment="1" applyProtection="1">
      <alignment vertical="center" shrinkToFit="1"/>
      <protection locked="0"/>
    </xf>
    <xf numFmtId="0" fontId="0" fillId="0" borderId="10" xfId="0" applyBorder="1" applyAlignment="1">
      <alignment horizontal="left" vertical="center" shrinkToFit="1"/>
    </xf>
    <xf numFmtId="0" fontId="0" fillId="0" borderId="11" xfId="0" applyBorder="1" applyAlignment="1">
      <alignment horizontal="left" vertical="center" shrinkToFit="1"/>
    </xf>
    <xf numFmtId="0" fontId="8" fillId="9" borderId="9" xfId="0" applyFont="1" applyFill="1" applyBorder="1" applyAlignment="1">
      <alignment horizontal="center" vertical="center" shrinkToFit="1"/>
    </xf>
    <xf numFmtId="0" fontId="8" fillId="9" borderId="10" xfId="0" applyFont="1" applyFill="1" applyBorder="1" applyAlignment="1">
      <alignment horizontal="center" vertical="center" shrinkToFit="1"/>
    </xf>
    <xf numFmtId="0" fontId="8" fillId="9" borderId="11" xfId="0" applyFont="1" applyFill="1" applyBorder="1" applyAlignment="1">
      <alignment horizontal="center" vertical="center" shrinkToFit="1"/>
    </xf>
    <xf numFmtId="0" fontId="8" fillId="10" borderId="9" xfId="0" applyFont="1" applyFill="1" applyBorder="1" applyAlignment="1" applyProtection="1">
      <alignment vertical="center"/>
      <protection locked="0"/>
    </xf>
    <xf numFmtId="0" fontId="8" fillId="10" borderId="10" xfId="0" applyFont="1" applyFill="1" applyBorder="1" applyAlignment="1" applyProtection="1">
      <alignment vertical="center"/>
      <protection locked="0"/>
    </xf>
    <xf numFmtId="0" fontId="8" fillId="10" borderId="11" xfId="0" applyFont="1" applyFill="1" applyBorder="1" applyAlignment="1" applyProtection="1">
      <alignment vertical="center"/>
      <protection locked="0"/>
    </xf>
    <xf numFmtId="0" fontId="0" fillId="57" borderId="1" xfId="0" applyFill="1" applyBorder="1" applyAlignment="1">
      <alignment horizontal="center" vertical="center"/>
    </xf>
    <xf numFmtId="0" fontId="0" fillId="55" borderId="2" xfId="0" applyFill="1" applyBorder="1" applyAlignment="1">
      <alignment horizontal="left" vertical="center"/>
    </xf>
    <xf numFmtId="0" fontId="0" fillId="55" borderId="20" xfId="0" applyFill="1" applyBorder="1" applyAlignment="1">
      <alignment horizontal="left" vertical="center"/>
    </xf>
    <xf numFmtId="0" fontId="17" fillId="0" borderId="0" xfId="0" applyFont="1" applyBorder="1" applyAlignment="1">
      <alignment horizontal="left" shrinkToFit="1"/>
    </xf>
    <xf numFmtId="0" fontId="0" fillId="0" borderId="0" xfId="0" applyBorder="1" applyAlignment="1">
      <alignment horizontal="left" shrinkToFit="1"/>
    </xf>
    <xf numFmtId="0" fontId="0" fillId="10" borderId="10" xfId="0" applyFill="1" applyBorder="1" applyAlignment="1" applyProtection="1">
      <alignment horizontal="left" vertical="center" shrinkToFit="1"/>
      <protection locked="0"/>
    </xf>
    <xf numFmtId="0" fontId="0" fillId="10" borderId="11" xfId="0" applyFill="1" applyBorder="1" applyAlignment="1" applyProtection="1">
      <alignment horizontal="left" vertical="center" shrinkToFit="1"/>
      <protection locked="0"/>
    </xf>
    <xf numFmtId="0" fontId="0" fillId="10" borderId="10" xfId="0" applyFill="1" applyBorder="1" applyAlignment="1" applyProtection="1">
      <alignment horizontal="center" vertical="center" shrinkToFit="1"/>
      <protection locked="0"/>
    </xf>
    <xf numFmtId="0" fontId="0" fillId="10" borderId="11" xfId="0" applyFill="1" applyBorder="1" applyAlignment="1" applyProtection="1">
      <alignment horizontal="center" vertical="center" shrinkToFit="1"/>
      <protection locked="0"/>
    </xf>
    <xf numFmtId="0" fontId="46" fillId="55" borderId="2" xfId="0" applyFont="1" applyFill="1" applyBorder="1" applyAlignment="1">
      <alignment horizontal="left" vertical="center"/>
    </xf>
    <xf numFmtId="0" fontId="46" fillId="55" borderId="20" xfId="0" applyFont="1" applyFill="1" applyBorder="1" applyAlignment="1">
      <alignment horizontal="left" vertical="center"/>
    </xf>
    <xf numFmtId="0" fontId="47" fillId="2" borderId="1" xfId="0" applyFont="1" applyFill="1" applyBorder="1" applyAlignment="1">
      <alignment horizontal="left" vertical="center"/>
    </xf>
    <xf numFmtId="0" fontId="47" fillId="57" borderId="13" xfId="0" applyFont="1" applyFill="1" applyBorder="1" applyAlignment="1">
      <alignment horizontal="center" vertical="center"/>
    </xf>
    <xf numFmtId="0" fontId="47" fillId="55" borderId="1" xfId="0" applyFont="1" applyFill="1" applyBorder="1" applyAlignment="1">
      <alignment horizontal="left" vertical="center"/>
    </xf>
    <xf numFmtId="0" fontId="47" fillId="57" borderId="1" xfId="0" applyFont="1" applyFill="1" applyBorder="1" applyAlignment="1">
      <alignment horizontal="center" vertical="center"/>
    </xf>
    <xf numFmtId="0" fontId="47" fillId="57" borderId="2" xfId="0" applyFont="1" applyFill="1" applyBorder="1" applyAlignment="1">
      <alignment horizontal="center" vertical="center"/>
    </xf>
    <xf numFmtId="0" fontId="47" fillId="57" borderId="3" xfId="0" applyFont="1" applyFill="1" applyBorder="1" applyAlignment="1">
      <alignment horizontal="center" vertical="center"/>
    </xf>
    <xf numFmtId="0" fontId="47" fillId="57" borderId="20" xfId="0" applyFont="1" applyFill="1" applyBorder="1" applyAlignment="1">
      <alignment horizontal="center" vertical="center"/>
    </xf>
    <xf numFmtId="0" fontId="47" fillId="55" borderId="13" xfId="0" applyFont="1" applyFill="1" applyBorder="1" applyAlignment="1">
      <alignment horizontal="left" vertical="center"/>
    </xf>
    <xf numFmtId="0" fontId="84" fillId="8" borderId="0" xfId="0" applyFont="1" applyFill="1" applyBorder="1" applyAlignment="1">
      <alignment horizontal="left" vertical="center" shrinkToFit="1"/>
    </xf>
    <xf numFmtId="0" fontId="84" fillId="8" borderId="0" xfId="0" applyFont="1" applyFill="1" applyBorder="1" applyAlignment="1">
      <alignment horizontal="right" vertical="center"/>
    </xf>
    <xf numFmtId="0" fontId="82" fillId="8" borderId="0" xfId="0" applyFont="1" applyFill="1" applyBorder="1" applyAlignment="1">
      <alignment horizontal="left" vertical="center" shrinkToFit="1"/>
    </xf>
    <xf numFmtId="0" fontId="82" fillId="8" borderId="0" xfId="0" applyFont="1" applyFill="1" applyBorder="1" applyAlignment="1">
      <alignment horizontal="right" vertical="center" shrinkToFit="1"/>
    </xf>
    <xf numFmtId="0" fontId="82" fillId="8" borderId="0" xfId="0" applyFont="1" applyFill="1" applyBorder="1" applyAlignment="1">
      <alignment horizontal="left" vertical="center"/>
    </xf>
    <xf numFmtId="0" fontId="82" fillId="8" borderId="0" xfId="0" applyFont="1" applyFill="1" applyBorder="1" applyAlignment="1">
      <alignment horizontal="left" vertical="center" wrapText="1" shrinkToFit="1"/>
    </xf>
    <xf numFmtId="0" fontId="9" fillId="0" borderId="7" xfId="0" applyFont="1" applyFill="1" applyBorder="1" applyAlignment="1">
      <alignment horizontal="left" vertical="center"/>
    </xf>
    <xf numFmtId="0" fontId="82" fillId="8" borderId="0" xfId="0" applyFont="1" applyFill="1" applyBorder="1" applyAlignment="1">
      <alignment horizontal="right" vertical="center"/>
    </xf>
    <xf numFmtId="0" fontId="95" fillId="0" borderId="0" xfId="0" applyFont="1" applyBorder="1" applyAlignment="1">
      <alignment horizontal="left" vertical="center"/>
    </xf>
    <xf numFmtId="0" fontId="8" fillId="4" borderId="9" xfId="0" applyFont="1" applyFill="1" applyBorder="1" applyAlignment="1">
      <alignment vertical="center" shrinkToFit="1"/>
    </xf>
    <xf numFmtId="0" fontId="0" fillId="0" borderId="10" xfId="0" applyBorder="1" applyAlignment="1">
      <alignment vertical="center" shrinkToFit="1"/>
    </xf>
    <xf numFmtId="0" fontId="0" fillId="0" borderId="11" xfId="0" applyBorder="1" applyAlignment="1">
      <alignment vertical="center" shrinkToFit="1"/>
    </xf>
    <xf numFmtId="0" fontId="8" fillId="10" borderId="1" xfId="0" applyFont="1" applyFill="1" applyBorder="1" applyAlignment="1" applyProtection="1">
      <alignment horizontal="center" vertical="center" shrinkToFit="1"/>
      <protection locked="0"/>
    </xf>
    <xf numFmtId="0" fontId="20" fillId="0" borderId="7" xfId="0" applyFont="1" applyFill="1" applyBorder="1" applyAlignment="1">
      <alignment horizontal="left" vertical="center"/>
    </xf>
    <xf numFmtId="0" fontId="8" fillId="55" borderId="13" xfId="0" applyFont="1" applyFill="1" applyBorder="1" applyAlignment="1">
      <alignment horizontal="left" vertical="center"/>
    </xf>
    <xf numFmtId="0" fontId="10" fillId="63" borderId="2" xfId="0" applyFont="1" applyFill="1" applyBorder="1" applyAlignment="1">
      <alignment horizontal="center" vertical="center"/>
    </xf>
    <xf numFmtId="0" fontId="10" fillId="63" borderId="3" xfId="0" applyFont="1" applyFill="1" applyBorder="1" applyAlignment="1">
      <alignment horizontal="center" vertical="center"/>
    </xf>
    <xf numFmtId="0" fontId="10" fillId="63" borderId="20" xfId="0" applyFont="1" applyFill="1" applyBorder="1" applyAlignment="1">
      <alignment horizontal="center" vertical="center"/>
    </xf>
    <xf numFmtId="0" fontId="8" fillId="57" borderId="2" xfId="0" applyFont="1" applyFill="1" applyBorder="1" applyAlignment="1">
      <alignment horizontal="center" vertical="center"/>
    </xf>
    <xf numFmtId="0" fontId="8" fillId="57" borderId="3" xfId="0" applyFont="1" applyFill="1" applyBorder="1" applyAlignment="1">
      <alignment horizontal="center" vertical="center"/>
    </xf>
    <xf numFmtId="0" fontId="8" fillId="57" borderId="20" xfId="0" applyFont="1" applyFill="1" applyBorder="1" applyAlignment="1">
      <alignment horizontal="center" vertical="center"/>
    </xf>
    <xf numFmtId="0" fontId="8" fillId="55" borderId="1" xfId="0" applyFont="1" applyFill="1" applyBorder="1" applyAlignment="1">
      <alignment horizontal="left" vertical="center"/>
    </xf>
    <xf numFmtId="0" fontId="10" fillId="55" borderId="9" xfId="0" applyFont="1" applyFill="1" applyBorder="1" applyAlignment="1">
      <alignment horizontal="center" vertical="center"/>
    </xf>
    <xf numFmtId="0" fontId="10" fillId="55" borderId="10" xfId="0" applyFont="1" applyFill="1" applyBorder="1" applyAlignment="1">
      <alignment horizontal="center" vertical="center"/>
    </xf>
    <xf numFmtId="0" fontId="10" fillId="55" borderId="11" xfId="0" applyFont="1" applyFill="1" applyBorder="1" applyAlignment="1">
      <alignment horizontal="center" vertical="center"/>
    </xf>
    <xf numFmtId="0" fontId="8" fillId="55" borderId="2" xfId="0" applyFont="1" applyFill="1" applyBorder="1" applyAlignment="1">
      <alignment horizontal="left" vertical="center"/>
    </xf>
    <xf numFmtId="0" fontId="8" fillId="55" borderId="11" xfId="0" applyFont="1" applyFill="1" applyBorder="1" applyAlignment="1">
      <alignment horizontal="left" vertical="center"/>
    </xf>
    <xf numFmtId="0" fontId="8" fillId="55" borderId="14" xfId="0" applyFont="1" applyFill="1" applyBorder="1" applyAlignment="1">
      <alignment horizontal="center" vertical="center"/>
    </xf>
    <xf numFmtId="0" fontId="8" fillId="55" borderId="1" xfId="0" applyFont="1" applyFill="1" applyBorder="1" applyAlignment="1">
      <alignment horizontal="center" vertical="center"/>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0" borderId="20" xfId="0" applyFont="1" applyFill="1" applyBorder="1" applyAlignment="1" applyProtection="1">
      <alignment horizontal="left" vertical="top" wrapText="1"/>
      <protection locked="0"/>
    </xf>
    <xf numFmtId="0" fontId="8" fillId="0" borderId="6" xfId="0" applyFont="1" applyFill="1" applyBorder="1" applyAlignment="1" applyProtection="1">
      <alignment horizontal="left" vertical="top" wrapText="1"/>
      <protection locked="0"/>
    </xf>
    <xf numFmtId="0" fontId="8" fillId="0" borderId="7" xfId="0" applyFont="1" applyFill="1" applyBorder="1" applyAlignment="1" applyProtection="1">
      <alignment horizontal="left" vertical="top" wrapText="1"/>
      <protection locked="0"/>
    </xf>
    <xf numFmtId="0" fontId="8" fillId="0" borderId="8" xfId="0" applyFont="1" applyFill="1" applyBorder="1" applyAlignment="1" applyProtection="1">
      <alignment horizontal="left" vertical="top" wrapText="1"/>
      <protection locked="0"/>
    </xf>
    <xf numFmtId="0" fontId="8" fillId="9" borderId="1" xfId="0" applyFont="1" applyFill="1" applyBorder="1" applyAlignment="1">
      <alignment horizontal="center" vertical="center" shrinkToFit="1"/>
    </xf>
    <xf numFmtId="0" fontId="8" fillId="9" borderId="9" xfId="0" applyFont="1" applyFill="1" applyBorder="1" applyAlignment="1">
      <alignment horizontal="left" vertical="center" shrinkToFit="1"/>
    </xf>
    <xf numFmtId="0" fontId="8" fillId="9" borderId="10" xfId="0" applyFont="1" applyFill="1" applyBorder="1" applyAlignment="1">
      <alignment horizontal="left" vertical="center" shrinkToFit="1"/>
    </xf>
    <xf numFmtId="0" fontId="8" fillId="9" borderId="11" xfId="0" applyFont="1" applyFill="1" applyBorder="1" applyAlignment="1">
      <alignment horizontal="left" vertical="center" shrinkToFit="1"/>
    </xf>
    <xf numFmtId="0" fontId="8" fillId="9" borderId="9" xfId="0" applyFont="1" applyFill="1" applyBorder="1" applyAlignment="1">
      <alignment horizontal="left" vertical="center"/>
    </xf>
    <xf numFmtId="0" fontId="8" fillId="4" borderId="1" xfId="0" applyFont="1" applyFill="1" applyBorder="1" applyAlignment="1" applyProtection="1">
      <alignment horizontal="center" vertical="center" shrinkToFit="1"/>
    </xf>
    <xf numFmtId="0" fontId="0" fillId="4" borderId="10" xfId="0" applyFill="1" applyBorder="1" applyAlignment="1" applyProtection="1">
      <alignment horizontal="left" vertical="center"/>
    </xf>
    <xf numFmtId="0" fontId="0" fillId="4" borderId="11" xfId="0" applyFill="1" applyBorder="1" applyAlignment="1" applyProtection="1">
      <alignment horizontal="left" vertical="center"/>
    </xf>
    <xf numFmtId="0" fontId="46" fillId="55" borderId="9" xfId="0" applyFont="1" applyFill="1" applyBorder="1" applyAlignment="1">
      <alignment horizontal="left" vertical="center"/>
    </xf>
    <xf numFmtId="0" fontId="46" fillId="55" borderId="11" xfId="0" applyFont="1" applyFill="1" applyBorder="1" applyAlignment="1">
      <alignment horizontal="left" vertical="center"/>
    </xf>
    <xf numFmtId="0" fontId="46" fillId="57" borderId="9" xfId="0" applyFont="1" applyFill="1" applyBorder="1" applyAlignment="1">
      <alignment horizontal="center" vertical="center"/>
    </xf>
    <xf numFmtId="0" fontId="46" fillId="57" borderId="10" xfId="0" applyFont="1" applyFill="1" applyBorder="1" applyAlignment="1">
      <alignment horizontal="center" vertical="center"/>
    </xf>
    <xf numFmtId="0" fontId="47" fillId="55" borderId="2" xfId="0" applyFont="1" applyFill="1" applyBorder="1" applyAlignment="1">
      <alignment horizontal="left" vertical="center"/>
    </xf>
    <xf numFmtId="0" fontId="47" fillId="55" borderId="20" xfId="0" applyFont="1" applyFill="1" applyBorder="1" applyAlignment="1">
      <alignment horizontal="left" vertical="center"/>
    </xf>
    <xf numFmtId="0" fontId="46" fillId="57" borderId="11" xfId="0" applyFont="1" applyFill="1" applyBorder="1" applyAlignment="1">
      <alignment horizontal="center" vertical="center"/>
    </xf>
    <xf numFmtId="0" fontId="8" fillId="55" borderId="3" xfId="0" applyFont="1" applyFill="1" applyBorder="1" applyAlignment="1">
      <alignment horizontal="left" vertical="center"/>
    </xf>
    <xf numFmtId="0" fontId="8" fillId="55" borderId="20" xfId="0" applyFont="1" applyFill="1" applyBorder="1" applyAlignment="1">
      <alignment horizontal="left" vertical="center"/>
    </xf>
    <xf numFmtId="0" fontId="8" fillId="55" borderId="6" xfId="0" applyFont="1" applyFill="1" applyBorder="1" applyAlignment="1">
      <alignment horizontal="left" vertical="center"/>
    </xf>
    <xf numFmtId="0" fontId="8" fillId="55" borderId="7" xfId="0" applyFont="1" applyFill="1" applyBorder="1" applyAlignment="1">
      <alignment horizontal="left" vertical="center"/>
    </xf>
    <xf numFmtId="0" fontId="8" fillId="55" borderId="8" xfId="0" applyFont="1" applyFill="1" applyBorder="1" applyAlignment="1">
      <alignment horizontal="left" vertical="center"/>
    </xf>
    <xf numFmtId="0" fontId="8" fillId="55" borderId="9" xfId="0" applyFont="1" applyFill="1" applyBorder="1" applyAlignment="1">
      <alignment horizontal="left" vertical="center"/>
    </xf>
    <xf numFmtId="0" fontId="8" fillId="4" borderId="0" xfId="0" applyFont="1" applyFill="1" applyBorder="1" applyAlignment="1">
      <alignment horizontal="center" vertical="center"/>
    </xf>
    <xf numFmtId="0" fontId="8" fillId="4" borderId="1" xfId="0" applyFont="1" applyFill="1" applyBorder="1" applyAlignment="1">
      <alignment horizontal="left" vertical="center"/>
    </xf>
    <xf numFmtId="49" fontId="8" fillId="0" borderId="2" xfId="0" applyNumberFormat="1" applyFont="1" applyFill="1" applyBorder="1" applyAlignment="1" applyProtection="1">
      <alignment horizontal="left" vertical="center" shrinkToFit="1"/>
      <protection locked="0"/>
    </xf>
    <xf numFmtId="49" fontId="0" fillId="0" borderId="20" xfId="0" applyNumberFormat="1" applyBorder="1" applyAlignment="1" applyProtection="1">
      <alignment horizontal="left" vertical="center" shrinkToFit="1"/>
      <protection locked="0"/>
    </xf>
    <xf numFmtId="49" fontId="8" fillId="4" borderId="9" xfId="0" applyNumberFormat="1" applyFont="1" applyFill="1" applyBorder="1" applyAlignment="1">
      <alignment horizontal="left" vertical="center"/>
    </xf>
    <xf numFmtId="49" fontId="8" fillId="4" borderId="10" xfId="0" applyNumberFormat="1" applyFont="1" applyFill="1" applyBorder="1" applyAlignment="1">
      <alignment horizontal="left" vertical="center"/>
    </xf>
    <xf numFmtId="49" fontId="8" fillId="4" borderId="11" xfId="0" applyNumberFormat="1" applyFont="1" applyFill="1" applyBorder="1" applyAlignment="1">
      <alignment horizontal="left" vertical="center"/>
    </xf>
    <xf numFmtId="49" fontId="8" fillId="4" borderId="2" xfId="0" applyNumberFormat="1" applyFont="1" applyFill="1" applyBorder="1" applyAlignment="1" applyProtection="1">
      <alignment horizontal="left" vertical="center" shrinkToFit="1"/>
    </xf>
    <xf numFmtId="49" fontId="0" fillId="4" borderId="20" xfId="0" applyNumberFormat="1" applyFill="1" applyBorder="1" applyAlignment="1" applyProtection="1">
      <alignment horizontal="left" vertical="center" shrinkToFit="1"/>
    </xf>
    <xf numFmtId="0" fontId="75" fillId="0" borderId="9" xfId="0" applyFont="1" applyBorder="1" applyAlignment="1">
      <alignment horizontal="left" vertical="center" wrapText="1"/>
    </xf>
    <xf numFmtId="0" fontId="75" fillId="0" borderId="10" xfId="0" applyFont="1" applyBorder="1" applyAlignment="1">
      <alignment horizontal="left" vertical="center" wrapText="1"/>
    </xf>
    <xf numFmtId="0" fontId="75" fillId="0" borderId="11" xfId="0" applyFont="1" applyBorder="1" applyAlignment="1">
      <alignment horizontal="left" vertical="center" wrapText="1"/>
    </xf>
    <xf numFmtId="0" fontId="44" fillId="0" borderId="1" xfId="0" applyFont="1" applyBorder="1" applyAlignment="1">
      <alignment horizontal="left" vertical="center" wrapText="1"/>
    </xf>
    <xf numFmtId="0" fontId="44" fillId="0" borderId="9" xfId="0" applyFont="1" applyBorder="1" applyAlignment="1">
      <alignment horizontal="center" vertical="center" shrinkToFit="1"/>
    </xf>
    <xf numFmtId="0" fontId="44" fillId="0" borderId="10" xfId="0" applyFont="1" applyBorder="1" applyAlignment="1">
      <alignment horizontal="center" vertical="center" shrinkToFit="1"/>
    </xf>
    <xf numFmtId="0" fontId="44" fillId="0" borderId="11" xfId="0" applyFont="1" applyBorder="1" applyAlignment="1">
      <alignment horizontal="center" vertical="center" shrinkToFit="1"/>
    </xf>
    <xf numFmtId="0" fontId="77" fillId="0" borderId="0" xfId="0" applyFont="1" applyBorder="1" applyAlignment="1">
      <alignment horizontal="left"/>
    </xf>
    <xf numFmtId="0" fontId="78" fillId="0" borderId="36" xfId="0" applyFont="1" applyBorder="1" applyAlignment="1">
      <alignment horizontal="left" vertical="center" shrinkToFit="1"/>
    </xf>
    <xf numFmtId="0" fontId="78" fillId="0" borderId="35" xfId="0" applyFont="1" applyBorder="1" applyAlignment="1">
      <alignment horizontal="left" vertical="center" shrinkToFit="1"/>
    </xf>
    <xf numFmtId="0" fontId="78" fillId="0" borderId="37" xfId="0" applyFont="1" applyBorder="1" applyAlignment="1">
      <alignment horizontal="left" vertical="center" shrinkToFit="1"/>
    </xf>
    <xf numFmtId="0" fontId="76" fillId="0" borderId="26" xfId="0" applyFont="1" applyBorder="1" applyAlignment="1">
      <alignment horizontal="center" vertical="center" shrinkToFit="1"/>
    </xf>
    <xf numFmtId="0" fontId="81" fillId="0" borderId="31" xfId="0" applyFont="1" applyBorder="1" applyAlignment="1">
      <alignment vertical="center"/>
    </xf>
    <xf numFmtId="0" fontId="78" fillId="0" borderId="29" xfId="0" applyFont="1" applyBorder="1" applyAlignment="1">
      <alignment horizontal="left" vertical="center" shrinkToFit="1"/>
    </xf>
    <xf numFmtId="0" fontId="78" fillId="0" borderId="30" xfId="0" applyFont="1" applyBorder="1" applyAlignment="1">
      <alignment horizontal="left" vertical="center" shrinkToFit="1"/>
    </xf>
    <xf numFmtId="0" fontId="78" fillId="0" borderId="9" xfId="0" applyFont="1" applyBorder="1" applyAlignment="1">
      <alignment horizontal="left" vertical="center" shrinkToFit="1"/>
    </xf>
    <xf numFmtId="0" fontId="78" fillId="0" borderId="32" xfId="0" applyFont="1" applyBorder="1" applyAlignment="1">
      <alignment horizontal="left" vertical="center" shrinkToFit="1"/>
    </xf>
    <xf numFmtId="184" fontId="78" fillId="0" borderId="9" xfId="0" applyNumberFormat="1" applyFont="1" applyBorder="1" applyAlignment="1">
      <alignment horizontal="left" vertical="center" shrinkToFit="1"/>
    </xf>
    <xf numFmtId="184" fontId="78" fillId="0" borderId="10" xfId="0" applyNumberFormat="1" applyFont="1" applyBorder="1" applyAlignment="1">
      <alignment horizontal="left" vertical="center" shrinkToFit="1"/>
    </xf>
    <xf numFmtId="184" fontId="78" fillId="0" borderId="32" xfId="0" applyNumberFormat="1" applyFont="1" applyBorder="1" applyAlignment="1">
      <alignment horizontal="left" vertical="center" shrinkToFit="1"/>
    </xf>
    <xf numFmtId="0" fontId="79" fillId="0" borderId="9" xfId="0" applyFont="1" applyBorder="1" applyAlignment="1">
      <alignment horizontal="left" vertical="center" shrinkToFit="1"/>
    </xf>
    <xf numFmtId="0" fontId="79" fillId="0" borderId="32" xfId="0" applyFont="1" applyBorder="1" applyAlignment="1">
      <alignment horizontal="left" vertical="center" shrinkToFit="1"/>
    </xf>
    <xf numFmtId="184" fontId="79" fillId="0" borderId="9" xfId="0" applyNumberFormat="1" applyFont="1" applyBorder="1" applyAlignment="1">
      <alignment horizontal="left" vertical="center" shrinkToFit="1"/>
    </xf>
    <xf numFmtId="184" fontId="79" fillId="0" borderId="10" xfId="0" applyNumberFormat="1" applyFont="1" applyBorder="1" applyAlignment="1">
      <alignment horizontal="left" vertical="center" shrinkToFit="1"/>
    </xf>
    <xf numFmtId="184" fontId="79" fillId="0" borderId="32" xfId="0" applyNumberFormat="1" applyFont="1" applyBorder="1" applyAlignment="1">
      <alignment horizontal="left" vertical="center" shrinkToFit="1"/>
    </xf>
    <xf numFmtId="0" fontId="18" fillId="0" borderId="0" xfId="0" applyFont="1" applyBorder="1" applyAlignment="1">
      <alignment horizontal="center" vertical="center"/>
    </xf>
    <xf numFmtId="0" fontId="70" fillId="0" borderId="106" xfId="0" applyFont="1" applyBorder="1" applyAlignment="1">
      <alignment horizontal="center" vertical="center" wrapText="1"/>
    </xf>
    <xf numFmtId="0" fontId="70" fillId="0" borderId="107" xfId="0" applyFont="1" applyBorder="1" applyAlignment="1">
      <alignment horizontal="center" vertical="center" wrapText="1"/>
    </xf>
    <xf numFmtId="0" fontId="78" fillId="0" borderId="1" xfId="0" applyFont="1" applyBorder="1" applyAlignment="1">
      <alignment horizontal="left" vertical="center" shrinkToFit="1"/>
    </xf>
    <xf numFmtId="0" fontId="78" fillId="0" borderId="39" xfId="0" applyFont="1" applyBorder="1" applyAlignment="1">
      <alignment horizontal="left" vertical="center" shrinkToFit="1"/>
    </xf>
    <xf numFmtId="0" fontId="75" fillId="0" borderId="106" xfId="0" applyFont="1" applyBorder="1" applyAlignment="1">
      <alignment horizontal="center" vertical="center" wrapText="1"/>
    </xf>
    <xf numFmtId="0" fontId="75" fillId="0" borderId="107" xfId="0" applyFont="1" applyBorder="1" applyAlignment="1">
      <alignment horizontal="center" vertical="center" wrapText="1"/>
    </xf>
    <xf numFmtId="0" fontId="79" fillId="0" borderId="1" xfId="0" applyFont="1" applyBorder="1" applyAlignment="1">
      <alignment horizontal="left" vertical="center" shrinkToFit="1"/>
    </xf>
    <xf numFmtId="0" fontId="79" fillId="0" borderId="39" xfId="0" applyFont="1" applyBorder="1" applyAlignment="1">
      <alignment horizontal="left" vertical="center" shrinkToFit="1"/>
    </xf>
    <xf numFmtId="0" fontId="79" fillId="0" borderId="36" xfId="0" applyFont="1" applyBorder="1" applyAlignment="1">
      <alignment horizontal="left" vertical="center" shrinkToFit="1"/>
    </xf>
    <xf numFmtId="0" fontId="79" fillId="0" borderId="35" xfId="0" applyFont="1" applyBorder="1" applyAlignment="1">
      <alignment horizontal="left" vertical="center" shrinkToFit="1"/>
    </xf>
    <xf numFmtId="0" fontId="79" fillId="0" borderId="37" xfId="0" applyFont="1" applyBorder="1" applyAlignment="1">
      <alignment horizontal="left" vertical="center" shrinkToFit="1"/>
    </xf>
    <xf numFmtId="0" fontId="44" fillId="0" borderId="26" xfId="0" applyFont="1" applyBorder="1" applyAlignment="1">
      <alignment horizontal="center" vertical="center" shrinkToFit="1"/>
    </xf>
    <xf numFmtId="0" fontId="48" fillId="0" borderId="31" xfId="0" applyFont="1" applyBorder="1" applyAlignment="1">
      <alignment vertical="center"/>
    </xf>
    <xf numFmtId="0" fontId="79" fillId="0" borderId="29" xfId="0" applyFont="1" applyBorder="1" applyAlignment="1">
      <alignment horizontal="left" vertical="center" shrinkToFit="1"/>
    </xf>
    <xf numFmtId="0" fontId="79" fillId="0" borderId="30" xfId="0" applyFont="1" applyBorder="1" applyAlignment="1">
      <alignment horizontal="left" vertical="center" shrinkToFit="1"/>
    </xf>
    <xf numFmtId="0" fontId="8" fillId="0" borderId="26" xfId="0" applyFont="1" applyBorder="1" applyAlignment="1">
      <alignment horizontal="center" vertical="center" shrinkToFit="1"/>
    </xf>
    <xf numFmtId="0" fontId="0" fillId="0" borderId="31" xfId="0" applyBorder="1" applyAlignment="1">
      <alignment vertical="center"/>
    </xf>
    <xf numFmtId="0" fontId="19" fillId="0" borderId="29" xfId="0" applyFont="1" applyBorder="1" applyAlignment="1">
      <alignment horizontal="left" vertical="center" shrinkToFit="1"/>
    </xf>
    <xf numFmtId="0" fontId="19" fillId="0" borderId="30" xfId="0" applyFont="1" applyBorder="1" applyAlignment="1">
      <alignment horizontal="left" vertical="center" shrinkToFit="1"/>
    </xf>
    <xf numFmtId="0" fontId="19" fillId="0" borderId="9" xfId="0" applyFont="1" applyBorder="1" applyAlignment="1">
      <alignment horizontal="left" vertical="center" shrinkToFit="1"/>
    </xf>
    <xf numFmtId="0" fontId="19" fillId="0" borderId="32" xfId="0" applyFont="1" applyBorder="1" applyAlignment="1">
      <alignment horizontal="left" vertical="center" shrinkToFit="1"/>
    </xf>
    <xf numFmtId="184" fontId="19" fillId="0" borderId="9" xfId="0" applyNumberFormat="1" applyFont="1" applyBorder="1" applyAlignment="1">
      <alignment horizontal="left" vertical="center" shrinkToFit="1"/>
    </xf>
    <xf numFmtId="184" fontId="19" fillId="0" borderId="10" xfId="0" applyNumberFormat="1" applyFont="1" applyBorder="1" applyAlignment="1">
      <alignment horizontal="left" vertical="center" shrinkToFit="1"/>
    </xf>
    <xf numFmtId="184" fontId="19" fillId="0" borderId="32" xfId="0" applyNumberFormat="1" applyFont="1" applyBorder="1" applyAlignment="1">
      <alignment horizontal="left" vertical="center" shrinkToFit="1"/>
    </xf>
    <xf numFmtId="0" fontId="20" fillId="0" borderId="106" xfId="0" applyFont="1" applyBorder="1" applyAlignment="1">
      <alignment horizontal="center" vertical="center" wrapText="1"/>
    </xf>
    <xf numFmtId="0" fontId="21" fillId="0" borderId="107" xfId="0" applyFont="1" applyBorder="1" applyAlignment="1">
      <alignment horizontal="center" vertical="center" wrapText="1"/>
    </xf>
    <xf numFmtId="0" fontId="19" fillId="0" borderId="1" xfId="0" applyFont="1" applyBorder="1" applyAlignment="1">
      <alignment horizontal="left" vertical="center" shrinkToFit="1"/>
    </xf>
    <xf numFmtId="0" fontId="19" fillId="0" borderId="39" xfId="0" applyFont="1" applyBorder="1" applyAlignment="1">
      <alignment horizontal="left" vertical="center" shrinkToFit="1"/>
    </xf>
    <xf numFmtId="0" fontId="19" fillId="0" borderId="36" xfId="0" applyFont="1" applyBorder="1" applyAlignment="1">
      <alignment horizontal="left" vertical="center" shrinkToFit="1"/>
    </xf>
    <xf numFmtId="0" fontId="19" fillId="0" borderId="35" xfId="0" applyFont="1" applyBorder="1" applyAlignment="1">
      <alignment horizontal="left" vertical="center" shrinkToFit="1"/>
    </xf>
    <xf numFmtId="0" fontId="19" fillId="0" borderId="37" xfId="0" applyFont="1" applyBorder="1" applyAlignment="1">
      <alignment horizontal="left" vertical="center" shrinkToFit="1"/>
    </xf>
    <xf numFmtId="0" fontId="20" fillId="0" borderId="38" xfId="0" applyFont="1" applyBorder="1" applyAlignment="1">
      <alignment horizontal="center" vertical="center" wrapText="1"/>
    </xf>
    <xf numFmtId="0" fontId="21" fillId="0" borderId="38" xfId="0" applyFont="1" applyBorder="1" applyAlignment="1">
      <alignment horizontal="center" vertical="center" wrapText="1"/>
    </xf>
    <xf numFmtId="0" fontId="85" fillId="0" borderId="106" xfId="0" applyFont="1" applyBorder="1" applyAlignment="1">
      <alignment horizontal="center" vertical="center" wrapText="1"/>
    </xf>
    <xf numFmtId="0" fontId="85" fillId="0" borderId="107" xfId="0" applyFont="1" applyBorder="1" applyAlignment="1">
      <alignment horizontal="center" vertical="center" wrapText="1"/>
    </xf>
    <xf numFmtId="0" fontId="83" fillId="0" borderId="1" xfId="0" applyFont="1" applyBorder="1" applyAlignment="1">
      <alignment horizontal="left" vertical="center" shrinkToFit="1"/>
    </xf>
    <xf numFmtId="0" fontId="83" fillId="0" borderId="39" xfId="0" applyFont="1" applyBorder="1" applyAlignment="1">
      <alignment horizontal="left" vertical="center" shrinkToFit="1"/>
    </xf>
    <xf numFmtId="0" fontId="83" fillId="0" borderId="36" xfId="0" applyFont="1" applyBorder="1" applyAlignment="1">
      <alignment horizontal="left" vertical="center" shrinkToFit="1"/>
    </xf>
    <xf numFmtId="0" fontId="83" fillId="0" borderId="35" xfId="0" applyFont="1" applyBorder="1" applyAlignment="1">
      <alignment horizontal="left" vertical="center" shrinkToFit="1"/>
    </xf>
    <xf numFmtId="0" fontId="83" fillId="0" borderId="37" xfId="0" applyFont="1" applyBorder="1" applyAlignment="1">
      <alignment horizontal="left" vertical="center" shrinkToFit="1"/>
    </xf>
    <xf numFmtId="0" fontId="82" fillId="0" borderId="26" xfId="0" applyFont="1" applyBorder="1" applyAlignment="1">
      <alignment horizontal="center" vertical="center" shrinkToFit="1"/>
    </xf>
    <xf numFmtId="0" fontId="84" fillId="0" borderId="31" xfId="0" applyFont="1" applyBorder="1" applyAlignment="1">
      <alignment vertical="center"/>
    </xf>
    <xf numFmtId="0" fontId="83" fillId="0" borderId="29" xfId="0" applyFont="1" applyBorder="1" applyAlignment="1">
      <alignment horizontal="left" vertical="center" shrinkToFit="1"/>
    </xf>
    <xf numFmtId="0" fontId="83" fillId="0" borderId="30" xfId="0" applyFont="1" applyBorder="1" applyAlignment="1">
      <alignment horizontal="left" vertical="center" shrinkToFit="1"/>
    </xf>
    <xf numFmtId="0" fontId="83" fillId="0" borderId="9" xfId="0" applyFont="1" applyBorder="1" applyAlignment="1">
      <alignment horizontal="left" vertical="center" shrinkToFit="1"/>
    </xf>
    <xf numFmtId="0" fontId="83" fillId="0" borderId="32" xfId="0" applyFont="1" applyBorder="1" applyAlignment="1">
      <alignment horizontal="left" vertical="center" shrinkToFit="1"/>
    </xf>
    <xf numFmtId="184" fontId="83" fillId="0" borderId="9" xfId="0" applyNumberFormat="1" applyFont="1" applyBorder="1" applyAlignment="1">
      <alignment horizontal="left" vertical="center" shrinkToFit="1"/>
    </xf>
    <xf numFmtId="184" fontId="83" fillId="0" borderId="10" xfId="0" applyNumberFormat="1" applyFont="1" applyBorder="1" applyAlignment="1">
      <alignment horizontal="left" vertical="center" shrinkToFit="1"/>
    </xf>
    <xf numFmtId="184" fontId="83" fillId="0" borderId="32" xfId="0" applyNumberFormat="1" applyFont="1" applyBorder="1" applyAlignment="1">
      <alignment horizontal="left" vertical="center" shrinkToFit="1"/>
    </xf>
    <xf numFmtId="203" fontId="66" fillId="0" borderId="1" xfId="2" applyNumberFormat="1" applyFont="1" applyBorder="1">
      <alignment vertical="center"/>
    </xf>
  </cellXfs>
  <cellStyles count="44">
    <cellStyle name="20% - アクセント 1" xfId="21" builtinId="30" customBuiltin="1"/>
    <cellStyle name="20% - アクセント 2" xfId="25" builtinId="34" customBuiltin="1"/>
    <cellStyle name="20% - アクセント 3" xfId="29" builtinId="38" customBuiltin="1"/>
    <cellStyle name="20% - アクセント 4" xfId="33" builtinId="42" customBuiltin="1"/>
    <cellStyle name="20% - アクセント 5" xfId="37" builtinId="46" customBuiltin="1"/>
    <cellStyle name="20% - アクセント 6" xfId="41" builtinId="50" customBuiltin="1"/>
    <cellStyle name="40% - アクセント 1" xfId="22" builtinId="31" customBuiltin="1"/>
    <cellStyle name="40% - アクセント 2" xfId="26" builtinId="35" customBuiltin="1"/>
    <cellStyle name="40% - アクセント 3" xfId="30" builtinId="39" customBuiltin="1"/>
    <cellStyle name="40% - アクセント 4" xfId="34" builtinId="43" customBuiltin="1"/>
    <cellStyle name="40% - アクセント 5" xfId="38" builtinId="47" customBuiltin="1"/>
    <cellStyle name="40% - アクセント 6" xfId="42" builtinId="51" customBuiltin="1"/>
    <cellStyle name="60% - アクセント 1" xfId="23" builtinId="32" customBuiltin="1"/>
    <cellStyle name="60% - アクセント 2" xfId="27" builtinId="36" customBuiltin="1"/>
    <cellStyle name="60% - アクセント 3" xfId="31" builtinId="40" customBuiltin="1"/>
    <cellStyle name="60% - アクセント 4" xfId="35" builtinId="44" customBuiltin="1"/>
    <cellStyle name="60% - アクセント 5" xfId="39" builtinId="48" customBuiltin="1"/>
    <cellStyle name="60% - アクセント 6" xfId="43" builtinId="52" customBuiltin="1"/>
    <cellStyle name="アクセント 1" xfId="20" builtinId="29" customBuiltin="1"/>
    <cellStyle name="アクセント 2" xfId="24" builtinId="33" customBuiltin="1"/>
    <cellStyle name="アクセント 3" xfId="28" builtinId="37" customBuiltin="1"/>
    <cellStyle name="アクセント 4" xfId="32" builtinId="41" customBuiltin="1"/>
    <cellStyle name="アクセント 5" xfId="36" builtinId="45" customBuiltin="1"/>
    <cellStyle name="アクセント 6" xfId="40" builtinId="49" customBuiltin="1"/>
    <cellStyle name="タイトル" xfId="3" builtinId="15" customBuiltin="1"/>
    <cellStyle name="チェック セル" xfId="15" builtinId="23" customBuiltin="1"/>
    <cellStyle name="どちらでもない" xfId="10" builtinId="28" customBuiltin="1"/>
    <cellStyle name="メモ" xfId="17" builtinId="10" customBuiltin="1"/>
    <cellStyle name="リンク セル" xfId="14" builtinId="24" customBuiltin="1"/>
    <cellStyle name="悪い" xfId="9" builtinId="27" customBuiltin="1"/>
    <cellStyle name="計算" xfId="13" builtinId="22" customBuiltin="1"/>
    <cellStyle name="警告文" xfId="16" builtinId="11" customBuiltin="1"/>
    <cellStyle name="見出し 1" xfId="4" builtinId="16" customBuiltin="1"/>
    <cellStyle name="見出し 2" xfId="5" builtinId="17" customBuiltin="1"/>
    <cellStyle name="見出し 3" xfId="6" builtinId="18" customBuiltin="1"/>
    <cellStyle name="見出し 4" xfId="7" builtinId="19" customBuiltin="1"/>
    <cellStyle name="集計" xfId="19" builtinId="25" customBuiltin="1"/>
    <cellStyle name="出力" xfId="12" builtinId="21" customBuiltin="1"/>
    <cellStyle name="説明文" xfId="18" builtinId="53" customBuiltin="1"/>
    <cellStyle name="入力" xfId="11" builtinId="20" customBuiltin="1"/>
    <cellStyle name="標準" xfId="0" builtinId="0"/>
    <cellStyle name="標準 2" xfId="2"/>
    <cellStyle name="標準_外部一覧" xfId="1"/>
    <cellStyle name="良い" xfId="8" builtinId="26" customBuiltin="1"/>
  </cellStyles>
  <dxfs count="156">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font>
        <color rgb="FFFF0000"/>
      </font>
      <fill>
        <patternFill>
          <bgColor rgb="FFFFFF00"/>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border>
        <left style="thin">
          <color auto="1"/>
        </left>
        <right style="thin">
          <color auto="1"/>
        </right>
        <top style="thin">
          <color auto="1"/>
        </top>
        <bottom style="thin">
          <color auto="1"/>
        </bottom>
        <vertical/>
        <horizontal/>
      </border>
    </dxf>
    <dxf>
      <numFmt numFmtId="181" formatCode="#,##0_ ;[Red]\-#,##0\ "/>
    </dxf>
    <dxf>
      <font>
        <color rgb="FFFF0000"/>
      </font>
      <fill>
        <patternFill>
          <bgColor rgb="FFFFFF00"/>
        </patternFill>
      </fill>
    </dxf>
    <dxf>
      <numFmt numFmtId="197" formatCode="#,##0_ "/>
    </dxf>
    <dxf>
      <numFmt numFmtId="197" formatCode="#,##0_ "/>
    </dxf>
    <dxf>
      <fill>
        <patternFill>
          <bgColor theme="9" tint="-0.24994659260841701"/>
        </patternFill>
      </fill>
    </dxf>
    <dxf>
      <numFmt numFmtId="181" formatCode="#,##0_ ;[Red]\-#,##0\ "/>
    </dxf>
    <dxf>
      <numFmt numFmtId="181" formatCode="#,##0_ ;[Red]\-#,##0\ "/>
    </dxf>
    <dxf>
      <numFmt numFmtId="181" formatCode="#,##0_ ;[Red]\-#,##0\ "/>
    </dxf>
    <dxf>
      <fill>
        <patternFill>
          <bgColor theme="0" tint="-0.14996795556505021"/>
        </patternFill>
      </fill>
    </dxf>
    <dxf>
      <numFmt numFmtId="181" formatCode="#,##0_ ;[Red]\-#,##0\ "/>
    </dxf>
    <dxf>
      <numFmt numFmtId="181" formatCode="#,##0_ ;[Red]\-#,##0\ "/>
    </dxf>
    <dxf>
      <numFmt numFmtId="181" formatCode="#,##0_ ;[Red]\-#,##0\ "/>
    </dxf>
    <dxf>
      <numFmt numFmtId="181" formatCode="#,##0_ ;[Red]\-#,##0\ "/>
    </dxf>
    <dxf>
      <fill>
        <patternFill>
          <bgColor theme="0" tint="-0.14996795556505021"/>
        </patternFill>
      </fill>
    </dxf>
    <dxf>
      <numFmt numFmtId="181" formatCode="#,##0_ ;[Red]\-#,##0\ "/>
    </dxf>
    <dxf>
      <numFmt numFmtId="181" formatCode="#,##0_ ;[Red]\-#,##0\ "/>
    </dxf>
    <dxf>
      <numFmt numFmtId="181" formatCode="#,##0_ ;[Red]\-#,##0\ "/>
    </dxf>
    <dxf>
      <numFmt numFmtId="181" formatCode="#,##0_ ;[Red]\-#,##0\ "/>
    </dxf>
    <dxf>
      <fill>
        <patternFill>
          <bgColor theme="0" tint="-0.14996795556505021"/>
        </patternFill>
      </fill>
    </dxf>
    <dxf>
      <numFmt numFmtId="181" formatCode="#,##0_ ;[Red]\-#,##0\ "/>
    </dxf>
    <dxf>
      <numFmt numFmtId="181" formatCode="#,##0_ ;[Red]\-#,##0\ "/>
    </dxf>
    <dxf>
      <numFmt numFmtId="181" formatCode="#,##0_ ;[Red]\-#,##0\ "/>
    </dxf>
    <dxf>
      <numFmt numFmtId="181" formatCode="#,##0_ ;[Red]\-#,##0\ "/>
    </dxf>
    <dxf>
      <fill>
        <patternFill>
          <bgColor theme="0" tint="-0.14996795556505021"/>
        </patternFill>
      </fill>
    </dxf>
    <dxf>
      <numFmt numFmtId="181" formatCode="#,##0_ ;[Red]\-#,##0\ "/>
    </dxf>
    <dxf>
      <numFmt numFmtId="181" formatCode="#,##0_ ;[Red]\-#,##0\ "/>
    </dxf>
    <dxf>
      <numFmt numFmtId="181" formatCode="#,##0_ ;[Red]\-#,##0\ "/>
    </dxf>
    <dxf>
      <numFmt numFmtId="181" formatCode="#,##0_ ;[Red]\-#,##0\ "/>
    </dxf>
    <dxf>
      <fill>
        <patternFill>
          <bgColor theme="0" tint="-0.14996795556505021"/>
        </patternFill>
      </fill>
    </dxf>
    <dxf>
      <numFmt numFmtId="181" formatCode="#,##0_ ;[Red]\-#,##0\ "/>
    </dxf>
    <dxf>
      <font>
        <color rgb="FFFF0000"/>
      </font>
      <fill>
        <patternFill>
          <bgColor rgb="FFFFFF00"/>
        </patternFill>
      </fill>
    </dxf>
    <dxf>
      <numFmt numFmtId="197" formatCode="#,##0_ "/>
    </dxf>
    <dxf>
      <numFmt numFmtId="197" formatCode="#,##0_ "/>
    </dxf>
    <dxf>
      <numFmt numFmtId="197" formatCode="#,##0_ "/>
    </dxf>
    <dxf>
      <fill>
        <patternFill>
          <bgColor rgb="FFFFFF66"/>
        </patternFill>
      </fill>
    </dxf>
    <dxf>
      <fill>
        <patternFill>
          <bgColor theme="9" tint="-0.24994659260841701"/>
        </patternFill>
      </fill>
    </dxf>
    <dxf>
      <font>
        <color rgb="FF9C0006"/>
      </font>
      <fill>
        <patternFill>
          <bgColor rgb="FFFFC7CE"/>
        </patternFill>
      </fill>
    </dxf>
    <dxf>
      <font>
        <color rgb="FF9C0006"/>
      </font>
      <fill>
        <patternFill>
          <bgColor rgb="FFFFC7CE"/>
        </patternFill>
      </fill>
    </dxf>
    <dxf>
      <fill>
        <patternFill patternType="darkUp">
          <bgColor theme="0"/>
        </patternFill>
      </fill>
      <border>
        <vertical/>
        <horizontal/>
      </border>
    </dxf>
    <dxf>
      <fill>
        <patternFill patternType="darkUp">
          <bgColor theme="0"/>
        </patternFill>
      </fill>
      <border>
        <vertical/>
        <horizontal/>
      </border>
    </dxf>
    <dxf>
      <fill>
        <patternFill patternType="darkUp">
          <fgColor rgb="FFFF0000"/>
          <bgColor theme="0"/>
        </patternFill>
      </fill>
      <border>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tint="-0.14996795556505021"/>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rgb="FFFF0000"/>
      </font>
      <fill>
        <patternFill>
          <bgColor rgb="FFFFFF00"/>
        </patternFill>
      </fill>
    </dxf>
    <dxf>
      <font>
        <color rgb="FF9C0006"/>
      </font>
      <fill>
        <patternFill>
          <bgColor rgb="FFFFC7CE"/>
        </patternFill>
      </fill>
    </dxf>
    <dxf>
      <fill>
        <patternFill>
          <bgColor rgb="FFFFFF99"/>
        </patternFill>
      </fill>
    </dxf>
    <dxf>
      <fill>
        <patternFill>
          <bgColor rgb="FFFFFF99"/>
        </patternFill>
      </fill>
    </dxf>
    <dxf>
      <fill>
        <patternFill>
          <bgColor rgb="FFFFFF99"/>
        </patternFill>
      </fill>
    </dxf>
  </dxfs>
  <tableStyles count="0" defaultTableStyle="TableStyleMedium9" defaultPivotStyle="PivotStyleLight16"/>
  <colors>
    <mruColors>
      <color rgb="FFCCFFCC"/>
      <color rgb="FF00FF00"/>
      <color rgb="FF00CC00"/>
      <color rgb="FFFFFF99"/>
      <color rgb="FF99FFCC"/>
      <color rgb="FF0033CC"/>
      <color rgb="FFFFFF66"/>
      <color rgb="FFFFFFC1"/>
      <color rgb="FF0080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styles" Target="styles.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theme" Target="theme/theme1.xml"/></Relationships>
</file>

<file path=xl/ctrlProps/ctrlProp1.xml><?xml version="1.0" encoding="utf-8"?>
<formControlPr xmlns="http://schemas.microsoft.com/office/spreadsheetml/2009/9/main" objectType="Radio" checked="Checked" firstButton="1" fmlaLink="UNJC0020_H_FREEWD_KBN"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fmlaLink="UNJC0020_H_KAKUTEIMI_STS" lockText="1" noThreeD="1"/>
</file>

<file path=xl/ctrlProps/ctrlProp5.xml><?xml version="1.0" encoding="utf-8"?>
<formControlPr xmlns="http://schemas.microsoft.com/office/spreadsheetml/2009/9/main" objectType="CheckBox" checked="Checked" fmlaLink="UNJC0020_H_UKETSUKE_STS" lockText="1" noThreeD="1"/>
</file>

<file path=xl/ctrlProps/ctrlProp6.xml><?xml version="1.0" encoding="utf-8"?>
<formControlPr xmlns="http://schemas.microsoft.com/office/spreadsheetml/2009/9/main" objectType="CheckBox" checked="Checked" fmlaLink="UNJC0020_H_GIJUTSU_STS" lockText="1" noThreeD="1"/>
</file>

<file path=xl/ctrlProps/ctrlProp7.xml><?xml version="1.0" encoding="utf-8"?>
<formControlPr xmlns="http://schemas.microsoft.com/office/spreadsheetml/2009/9/main" objectType="CheckBox" checked="Checked" fmlaLink="UNJC0020_H_CHUKAN_STS" lockText="1" noThreeD="1"/>
</file>

<file path=xl/ctrlProps/ctrlProp8.xml><?xml version="1.0" encoding="utf-8"?>
<formControlPr xmlns="http://schemas.microsoft.com/office/spreadsheetml/2009/9/main" objectType="CheckBox" checked="Checked" fmlaLink="UNJC0020_H_KAKUNIN2_STS" lockText="1" noThreeD="1"/>
</file>

<file path=xl/ctrlProps/ctrlProp9.xml><?xml version="1.0" encoding="utf-8"?>
<formControlPr xmlns="http://schemas.microsoft.com/office/spreadsheetml/2009/9/main" objectType="CheckBox" checked="Checked" fmlaLink="UNJC0020_H_SOKUHO_STS" lockText="1" noThreeD="1"/>
</file>

<file path=xl/ctrlProps/ctrlProp10.xml><?xml version="1.0" encoding="utf-8"?>
<formControlPr xmlns="http://schemas.microsoft.com/office/spreadsheetml/2009/9/main" objectType="CheckBox" checked="Checked" fmlaLink="UNJC0020_H_EIGYO_STS" lockText="1" noThreeD="1"/>
</file>

<file path=xl/ctrlProps/ctrlProp11.xml><?xml version="1.0" encoding="utf-8"?>
<formControlPr xmlns="http://schemas.microsoft.com/office/spreadsheetml/2009/9/main" objectType="CheckBox" checked="Checked" fmlaLink="UNJC0020_H_NOHIN_STS" lockText="1" noThreeD="1"/>
</file>

<file path=xl/ctrlProps/ctrlProp12.xml><?xml version="1.0" encoding="utf-8"?>
<formControlPr xmlns="http://schemas.microsoft.com/office/spreadsheetml/2009/9/main" objectType="CheckBox" checked="Checked" fmlaLink="UNJC0020_H_TEISEI_STS" lockText="1" noThreeD="1"/>
</file>

<file path=xl/ctrlProps/ctrlProp13.xml><?xml version="1.0" encoding="utf-8"?>
<formControlPr xmlns="http://schemas.microsoft.com/office/spreadsheetml/2009/9/main" objectType="CheckBox" fmlaLink="UNJC0020_H_CHUDAN_STS" lockText="1" noThreeD="1"/>
</file>

<file path=xl/ctrlProps/ctrlProp14.xml><?xml version="1.0" encoding="utf-8"?>
<formControlPr xmlns="http://schemas.microsoft.com/office/spreadsheetml/2009/9/main" objectType="CheckBox" fmlaLink="UNJC0020_H_CHUSHI_STS" lockText="1" noThreeD="1"/>
</file>

<file path=xl/ctrlProps/ctrlProp15.xml><?xml version="1.0" encoding="utf-8"?>
<formControlPr xmlns="http://schemas.microsoft.com/office/spreadsheetml/2009/9/main" objectType="CheckBox" fmlaLink="UNJC0020_H_DEL_HYOJI_FLG" lockText="1" noThreeD="1"/>
</file>

<file path=xl/ctrlProps/ctrlProp16.xml><?xml version="1.0" encoding="utf-8"?>
<formControlPr xmlns="http://schemas.microsoft.com/office/spreadsheetml/2009/9/main" objectType="CheckBox" checked="Checked" fmlaLink="UNJC0020_H_BUNSEKI_HOKAN_STS" lockText="1" noThreeD="1"/>
</file>

<file path=xl/ctrlProps/ctrlProp17.xml><?xml version="1.0" encoding="utf-8"?>
<formControlPr xmlns="http://schemas.microsoft.com/office/spreadsheetml/2009/9/main" objectType="CheckBox" fmlaLink="UNJC0030_H_EIGYO_FUYO_FLG" lockText="1" noThreeD="1"/>
</file>

<file path=xl/ctrlProps/ctrlProp18.xml><?xml version="1.0" encoding="utf-8"?>
<formControlPr xmlns="http://schemas.microsoft.com/office/spreadsheetml/2009/9/main" objectType="CheckBox" fmlaLink="UNJC0030_H_SHINKI_FLG" lockText="1" noThreeD="1"/>
</file>

<file path=xl/ctrlProps/ctrlProp19.xml><?xml version="1.0" encoding="utf-8"?>
<formControlPr xmlns="http://schemas.microsoft.com/office/spreadsheetml/2009/9/main" objectType="CheckBox" fmlaLink="UNJC0030_H_HENKOYOTEI_FLG" lockText="1" noThreeD="1"/>
</file>

<file path=xl/ctrlProps/ctrlProp20.xml><?xml version="1.0" encoding="utf-8"?>
<formControlPr xmlns="http://schemas.microsoft.com/office/spreadsheetml/2009/9/main" objectType="CheckBox" fmlaLink="UNJC0030_H_HOKOKU_CHUKAN_FLG_1" lockText="1" noThreeD="1"/>
</file>

<file path=xl/ctrlProps/ctrlProp21.xml><?xml version="1.0" encoding="utf-8"?>
<formControlPr xmlns="http://schemas.microsoft.com/office/spreadsheetml/2009/9/main" objectType="CheckBox" fmlaLink="UNJC0030_H_HOKOKU_CHUKAN_FLG_2" lockText="1" noThreeD="1"/>
</file>

<file path=xl/ctrlProps/ctrlProp22.xml><?xml version="1.0" encoding="utf-8"?>
<formControlPr xmlns="http://schemas.microsoft.com/office/spreadsheetml/2009/9/main" objectType="CheckBox" fmlaLink="UNJC0030_H_HOKOKU_CHUKAN_FLG_3" lockText="1" noThreeD="1"/>
</file>

<file path=xl/ctrlProps/ctrlProp23.xml><?xml version="1.0" encoding="utf-8"?>
<formControlPr xmlns="http://schemas.microsoft.com/office/spreadsheetml/2009/9/main" objectType="CheckBox" fmlaLink="UNJC0030_H_HOKOKU_SOKUHO_FLG_1" lockText="1" noThreeD="1"/>
</file>

<file path=xl/ctrlProps/ctrlProp24.xml><?xml version="1.0" encoding="utf-8"?>
<formControlPr xmlns="http://schemas.microsoft.com/office/spreadsheetml/2009/9/main" objectType="CheckBox" fmlaLink="UNJC0030_H_HOKOKU_SOKUHO_FLG_2" lockText="1" noThreeD="1"/>
</file>

<file path=xl/ctrlProps/ctrlProp25.xml><?xml version="1.0" encoding="utf-8"?>
<formControlPr xmlns="http://schemas.microsoft.com/office/spreadsheetml/2009/9/main" objectType="CheckBox" fmlaLink="UNJC0030_H_HOKOKU_SOKUHO_FLG_3" lockText="1" noThreeD="1"/>
</file>

<file path=xl/ctrlProps/ctrlProp26.xml><?xml version="1.0" encoding="utf-8"?>
<formControlPr xmlns="http://schemas.microsoft.com/office/spreadsheetml/2009/9/main" objectType="CheckBox" fmlaLink="UNJC0030_H_HOKOKU_HOKOKUSOFU_FLG_1" lockText="1" noThreeD="1"/>
</file>

<file path=xl/ctrlProps/ctrlProp27.xml><?xml version="1.0" encoding="utf-8"?>
<formControlPr xmlns="http://schemas.microsoft.com/office/spreadsheetml/2009/9/main" objectType="CheckBox" fmlaLink="UNJC0030_H_HOKOKU_HOKOKUSOFU_FLG_2" lockText="1" noThreeD="1"/>
</file>

<file path=xl/ctrlProps/ctrlProp28.xml><?xml version="1.0" encoding="utf-8"?>
<formControlPr xmlns="http://schemas.microsoft.com/office/spreadsheetml/2009/9/main" objectType="CheckBox" fmlaLink="UNJC0030_H_HOKOKU_HOKOKUSOFU_FLG_3" lockText="1" noThreeD="1"/>
</file>

<file path=xl/ctrlProps/ctrlProp29.xml><?xml version="1.0" encoding="utf-8"?>
<formControlPr xmlns="http://schemas.microsoft.com/office/spreadsheetml/2009/9/main" objectType="CheckBox" fmlaLink="UNJC0030_H_HOKOKU_SHOKEN_FLG" lockText="1" noThreeD="1"/>
</file>

<file path=xl/ctrlProps/ctrlProp30.xml><?xml version="1.0" encoding="utf-8"?>
<formControlPr xmlns="http://schemas.microsoft.com/office/spreadsheetml/2009/9/main" objectType="CheckBox" fmlaLink="UNJC0030_H_EDA_FLG" lockText="1" noThreeD="1"/>
</file>

<file path=xl/ctrlProps/ctrlProp31.xml><?xml version="1.0" encoding="utf-8"?>
<formControlPr xmlns="http://schemas.microsoft.com/office/spreadsheetml/2009/9/main" objectType="CheckBox" checked="Checked" fmlaLink="UNJC0060_H_KAKUTEIMI_STS" lockText="1" noThreeD="1"/>
</file>

<file path=xl/ctrlProps/ctrlProp32.xml><?xml version="1.0" encoding="utf-8"?>
<formControlPr xmlns="http://schemas.microsoft.com/office/spreadsheetml/2009/9/main" objectType="CheckBox" checked="Checked" fmlaLink="UNJC0060_H_UKETSUKE_STS" lockText="1" noThreeD="1"/>
</file>

<file path=xl/ctrlProps/ctrlProp33.xml><?xml version="1.0" encoding="utf-8"?>
<formControlPr xmlns="http://schemas.microsoft.com/office/spreadsheetml/2009/9/main" objectType="CheckBox" checked="Checked" fmlaLink="UNJC0060_H_GIJUTSU_STS" lockText="1" noThreeD="1"/>
</file>

<file path=xl/ctrlProps/ctrlProp34.xml><?xml version="1.0" encoding="utf-8"?>
<formControlPr xmlns="http://schemas.microsoft.com/office/spreadsheetml/2009/9/main" objectType="CheckBox" checked="Checked" fmlaLink="UNJC0060_H_CHUKAN_STS" lockText="1" noThreeD="1"/>
</file>

<file path=xl/ctrlProps/ctrlProp35.xml><?xml version="1.0" encoding="utf-8"?>
<formControlPr xmlns="http://schemas.microsoft.com/office/spreadsheetml/2009/9/main" objectType="CheckBox" checked="Checked" fmlaLink="UNJC0060_H_KAKUNIN2_STS" lockText="1" noThreeD="1"/>
</file>

<file path=xl/ctrlProps/ctrlProp36.xml><?xml version="1.0" encoding="utf-8"?>
<formControlPr xmlns="http://schemas.microsoft.com/office/spreadsheetml/2009/9/main" objectType="CheckBox" checked="Checked" fmlaLink="UNJC0060_H_SOKUHO_STS" lockText="1" noThreeD="1"/>
</file>

<file path=xl/ctrlProps/ctrlProp37.xml><?xml version="1.0" encoding="utf-8"?>
<formControlPr xmlns="http://schemas.microsoft.com/office/spreadsheetml/2009/9/main" objectType="CheckBox" checked="Checked" fmlaLink="UNJC0060_H_EIGYO_STS" lockText="1" noThreeD="1"/>
</file>

<file path=xl/ctrlProps/ctrlProp38.xml><?xml version="1.0" encoding="utf-8"?>
<formControlPr xmlns="http://schemas.microsoft.com/office/spreadsheetml/2009/9/main" objectType="CheckBox" checked="Checked" fmlaLink="UNJC0060_H_NOHIN_STS" lockText="1" noThreeD="1"/>
</file>

<file path=xl/ctrlProps/ctrlProp39.xml><?xml version="1.0" encoding="utf-8"?>
<formControlPr xmlns="http://schemas.microsoft.com/office/spreadsheetml/2009/9/main" objectType="CheckBox" checked="Checked" fmlaLink="UNJC0060_H_TEISEI_STS" lockText="1" noThreeD="1"/>
</file>

<file path=xl/ctrlProps/ctrlProp40.xml><?xml version="1.0" encoding="utf-8"?>
<formControlPr xmlns="http://schemas.microsoft.com/office/spreadsheetml/2009/9/main" objectType="CheckBox" fmlaLink="UNJC0060_H_CHUDAN_STS" lockText="1" noThreeD="1"/>
</file>

<file path=xl/ctrlProps/ctrlProp41.xml><?xml version="1.0" encoding="utf-8"?>
<formControlPr xmlns="http://schemas.microsoft.com/office/spreadsheetml/2009/9/main" objectType="CheckBox" fmlaLink="UNJC0060_H_CHUSHI_STS" lockText="1" noThreeD="1"/>
</file>

<file path=xl/ctrlProps/ctrlProp42.xml><?xml version="1.0" encoding="utf-8"?>
<formControlPr xmlns="http://schemas.microsoft.com/office/spreadsheetml/2009/9/main" objectType="CheckBox" checked="Checked" fmlaLink="UNJC0060_H_BUNSEKI_HOKAN_STS" lockText="1" noThreeD="1"/>
</file>

<file path=xl/ctrlProps/ctrlProp43.xml><?xml version="1.0" encoding="utf-8"?>
<formControlPr xmlns="http://schemas.microsoft.com/office/spreadsheetml/2009/9/main" objectType="Radio" checked="Checked" firstButton="1" fmlaLink="UNJC0060_H_FREEWD_KBN"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checked="Checked" fmlaLink="UNJC0070_H_KAKUTEIMI_STS" lockText="1" noThreeD="1"/>
</file>

<file path=xl/ctrlProps/ctrlProp48.xml><?xml version="1.0" encoding="utf-8"?>
<formControlPr xmlns="http://schemas.microsoft.com/office/spreadsheetml/2009/9/main" objectType="CheckBox" checked="Checked" fmlaLink="UNJC0070_H_UKETSUKE_STS" lockText="1" noThreeD="1"/>
</file>

<file path=xl/ctrlProps/ctrlProp49.xml><?xml version="1.0" encoding="utf-8"?>
<formControlPr xmlns="http://schemas.microsoft.com/office/spreadsheetml/2009/9/main" objectType="CheckBox" checked="Checked" fmlaLink="UNJC0070_H_CHUKAN_STS" lockText="1" noThreeD="1"/>
</file>

<file path=xl/ctrlProps/ctrlProp50.xml><?xml version="1.0" encoding="utf-8"?>
<formControlPr xmlns="http://schemas.microsoft.com/office/spreadsheetml/2009/9/main" objectType="CheckBox" checked="Checked" fmlaLink="UNJC0070_H_GIJUTSU_STS" lockText="1" noThreeD="1"/>
</file>

<file path=xl/ctrlProps/ctrlProp51.xml><?xml version="1.0" encoding="utf-8"?>
<formControlPr xmlns="http://schemas.microsoft.com/office/spreadsheetml/2009/9/main" objectType="CheckBox" checked="Checked" fmlaLink="UNJC0070_H_KAKUNIN2_STS" lockText="1" noThreeD="1"/>
</file>

<file path=xl/ctrlProps/ctrlProp52.xml><?xml version="1.0" encoding="utf-8"?>
<formControlPr xmlns="http://schemas.microsoft.com/office/spreadsheetml/2009/9/main" objectType="CheckBox" checked="Checked" fmlaLink="UNJC0070_H_SOKUHO_STS" lockText="1" noThreeD="1"/>
</file>

<file path=xl/ctrlProps/ctrlProp53.xml><?xml version="1.0" encoding="utf-8"?>
<formControlPr xmlns="http://schemas.microsoft.com/office/spreadsheetml/2009/9/main" objectType="CheckBox" checked="Checked" fmlaLink="UNJC0070_H_EIGYO_STS" lockText="1" noThreeD="1"/>
</file>

<file path=xl/ctrlProps/ctrlProp54.xml><?xml version="1.0" encoding="utf-8"?>
<formControlPr xmlns="http://schemas.microsoft.com/office/spreadsheetml/2009/9/main" objectType="CheckBox" checked="Checked" fmlaLink="UNJC0070_H_NOHIN_STS" lockText="1" noThreeD="1"/>
</file>

<file path=xl/ctrlProps/ctrlProp55.xml><?xml version="1.0" encoding="utf-8"?>
<formControlPr xmlns="http://schemas.microsoft.com/office/spreadsheetml/2009/9/main" objectType="CheckBox" checked="Checked" fmlaLink="UNJC0070_H_TEISEI_STS" lockText="1" noThreeD="1"/>
</file>

<file path=xl/ctrlProps/ctrlProp56.xml><?xml version="1.0" encoding="utf-8"?>
<formControlPr xmlns="http://schemas.microsoft.com/office/spreadsheetml/2009/9/main" objectType="CheckBox" fmlaLink="UNJC0070_H_CHUDAN_STS" lockText="1" noThreeD="1"/>
</file>

<file path=xl/ctrlProps/ctrlProp57.xml><?xml version="1.0" encoding="utf-8"?>
<formControlPr xmlns="http://schemas.microsoft.com/office/spreadsheetml/2009/9/main" objectType="CheckBox" fmlaLink="UNJC0070_H_CHUSHI_STS" lockText="1" noThreeD="1"/>
</file>

<file path=xl/ctrlProps/ctrlProp58.xml><?xml version="1.0" encoding="utf-8"?>
<formControlPr xmlns="http://schemas.microsoft.com/office/spreadsheetml/2009/9/main" objectType="Radio" checked="Checked" firstButton="1" fmlaLink="UNJC0070_H_FREEWD_KBN"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Radio" checked="Checked" firstButton="1" fmlaLink="$H$4"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Radio" checked="Checked" firstButton="1" fmlaLink="UNJC0190_H_FREEWD_KBN"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Radio" lockText="1"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Radio" checked="Checked" firstButton="1" fmlaLink="UNJC0210_H_FREEWD_KBN"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CheckBox" fmlaLink="UNJC0210_H_PRINT_VIEW"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Radio" checked="Checked" firstButton="1" fmlaLink="UNJC0220_H_FREEWD_KBN" lockText="1" noThreeD="1"/>
</file>

<file path=xl/ctrlProps/ctrlProp85.xml><?xml version="1.0" encoding="utf-8"?>
<formControlPr xmlns="http://schemas.microsoft.com/office/spreadsheetml/2009/9/main" objectType="Radio"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Radio" checked="Checked" firstButton="1" fmlaLink="UNJC0240_H_FREEWD_KBN"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CheckBox" fmlaLink="UNJC0240_H_DOKU_FLG" lockText="1" noThreeD="1"/>
</file>

<file path=xl/ctrlProps/ctrlProp92.xml><?xml version="1.0" encoding="utf-8"?>
<formControlPr xmlns="http://schemas.microsoft.com/office/spreadsheetml/2009/9/main" objectType="CheckBox" checked="Checked" fmlaLink="UNJC1020_H_ZAIKO_ARI_FLG" lockText="1" noThreeD="1"/>
</file>

<file path=xl/ctrlProps/ctrlProp93.xml><?xml version="1.0" encoding="utf-8"?>
<formControlPr xmlns="http://schemas.microsoft.com/office/spreadsheetml/2009/9/main" objectType="CheckBox" checked="Checked" fmlaLink="UNJC1020_H_ZAIKO_NASHI_FLG" lockText="1" noThreeD="1"/>
</file>

<file path=xl/ctrlProps/ctrlProp94.xml><?xml version="1.0" encoding="utf-8"?>
<formControlPr xmlns="http://schemas.microsoft.com/office/spreadsheetml/2009/9/main" objectType="CheckBox" checked="Checked" fmlaLink="UNJC1020_H_OEM_DAIRITEN_FLG" lockText="1" noThreeD="1"/>
</file>

<file path=xl/ctrlProps/ctrlProp95.xml><?xml version="1.0" encoding="utf-8"?>
<formControlPr xmlns="http://schemas.microsoft.com/office/spreadsheetml/2009/9/main" objectType="CheckBox" checked="Checked" fmlaLink="UNJC1020_H_KOJI_FLG" lockText="1" noThreeD="1"/>
</file>

<file path=xl/ctrlProps/ctrlProp96.xml><?xml version="1.0" encoding="utf-8"?>
<formControlPr xmlns="http://schemas.microsoft.com/office/spreadsheetml/2009/9/main" objectType="CheckBox" checked="Checked" fmlaLink="UNJC1020_H_KIKAI_FLG" lockText="1" noThreeD="1"/>
</file>

<file path=xl/ctrlProps/ctrlProp97.xml><?xml version="1.0" encoding="utf-8"?>
<formControlPr xmlns="http://schemas.microsoft.com/office/spreadsheetml/2009/9/main" objectType="CheckBox" checked="Checked" fmlaLink="UNJC1020_H_SHORIMI_FLG" lockText="1" noThreeD="1"/>
</file>

<file path=xl/ctrlProps/ctrlProp98.xml><?xml version="1.0" encoding="utf-8"?>
<formControlPr xmlns="http://schemas.microsoft.com/office/spreadsheetml/2009/9/main" objectType="CheckBox" checked="Checked" fmlaLink="UNJC1020_H_SHUKKA_FLG" lockText="1" noThreeD="1"/>
</file>

<file path=xl/ctrlProps/ctrlProp99.xml><?xml version="1.0" encoding="utf-8"?>
<formControlPr xmlns="http://schemas.microsoft.com/office/spreadsheetml/2009/9/main" objectType="CheckBox" checked="Checked" fmlaLink="UNJC1020_H_DOKUGEKI_FLG" lockText="1" noThreeD="1"/>
</file>

<file path=xl/ctrlProps/ctrlProp100.xml><?xml version="1.0" encoding="utf-8"?>
<formControlPr xmlns="http://schemas.microsoft.com/office/spreadsheetml/2009/9/main" objectType="CheckBox" fmlaLink="UNJC1020_H_SAKUJO_FLG" lockText="1" noThreeD="1"/>
</file>

<file path=xl/ctrlProps/ctrlProp101.xml><?xml version="1.0" encoding="utf-8"?>
<formControlPr xmlns="http://schemas.microsoft.com/office/spreadsheetml/2009/9/main" objectType="Radio" checked="Checked" firstButton="1" fmlaLink="UNJC1020_H_FREEWD_KBN"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Radio" lockText="1" noThreeD="1"/>
</file>

<file path=xl/ctrlProps/ctrlProp104.xml><?xml version="1.0" encoding="utf-8"?>
<formControlPr xmlns="http://schemas.microsoft.com/office/spreadsheetml/2009/9/main" objectType="CheckBox" fmlaLink="$D$11" lockText="1" noThreeD="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85725</xdr:colOff>
          <xdr:row>22</xdr:row>
          <xdr:rowOff>190500</xdr:rowOff>
        </xdr:from>
        <xdr:to>
          <xdr:col>26</xdr:col>
          <xdr:colOff>104775</xdr:colOff>
          <xdr:row>24</xdr:row>
          <xdr:rowOff>38100</xdr:rowOff>
        </xdr:to>
        <xdr:sp macro="" textlink="">
          <xdr:nvSpPr>
            <xdr:cNvPr id="1964033" name="Option Button 1" hidden="1">
              <a:extLst>
                <a:ext uri="{63B3BB69-23CF-44E3-9099-C40C66FF867C}">
                  <a14:compatExt spid="_x0000_s1964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85725</xdr:colOff>
          <xdr:row>23</xdr:row>
          <xdr:rowOff>0</xdr:rowOff>
        </xdr:from>
        <xdr:to>
          <xdr:col>28</xdr:col>
          <xdr:colOff>19050</xdr:colOff>
          <xdr:row>24</xdr:row>
          <xdr:rowOff>38100</xdr:rowOff>
        </xdr:to>
        <xdr:sp macro="" textlink="">
          <xdr:nvSpPr>
            <xdr:cNvPr id="1964034" name="Option Button 2" hidden="1">
              <a:extLst>
                <a:ext uri="{63B3BB69-23CF-44E3-9099-C40C66FF867C}">
                  <a14:compatExt spid="_x0000_s1964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238125</xdr:colOff>
          <xdr:row>22</xdr:row>
          <xdr:rowOff>200025</xdr:rowOff>
        </xdr:from>
        <xdr:to>
          <xdr:col>30</xdr:col>
          <xdr:colOff>104775</xdr:colOff>
          <xdr:row>24</xdr:row>
          <xdr:rowOff>38100</xdr:rowOff>
        </xdr:to>
        <xdr:sp macro="" textlink="">
          <xdr:nvSpPr>
            <xdr:cNvPr id="1964035" name="Option Button 3" hidden="1">
              <a:extLst>
                <a:ext uri="{63B3BB69-23CF-44E3-9099-C40C66FF867C}">
                  <a14:compatExt spid="_x0000_s1964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NAND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4</xdr:row>
          <xdr:rowOff>9525</xdr:rowOff>
        </xdr:from>
        <xdr:to>
          <xdr:col>12</xdr:col>
          <xdr:colOff>190500</xdr:colOff>
          <xdr:row>4</xdr:row>
          <xdr:rowOff>161925</xdr:rowOff>
        </xdr:to>
        <xdr:sp macro="" textlink="">
          <xdr:nvSpPr>
            <xdr:cNvPr id="1964036" name="Check Box 4" hidden="1">
              <a:extLst>
                <a:ext uri="{63B3BB69-23CF-44E3-9099-C40C66FF867C}">
                  <a14:compatExt spid="_x0000_s1964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4</xdr:row>
          <xdr:rowOff>9525</xdr:rowOff>
        </xdr:from>
        <xdr:to>
          <xdr:col>17</xdr:col>
          <xdr:colOff>85725</xdr:colOff>
          <xdr:row>4</xdr:row>
          <xdr:rowOff>180975</xdr:rowOff>
        </xdr:to>
        <xdr:sp macro="" textlink="">
          <xdr:nvSpPr>
            <xdr:cNvPr id="1964037" name="Check Box 5" hidden="1">
              <a:extLst>
                <a:ext uri="{63B3BB69-23CF-44E3-9099-C40C66FF867C}">
                  <a14:compatExt spid="_x0000_s1964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4</xdr:row>
          <xdr:rowOff>9525</xdr:rowOff>
        </xdr:from>
        <xdr:to>
          <xdr:col>26</xdr:col>
          <xdr:colOff>0</xdr:colOff>
          <xdr:row>4</xdr:row>
          <xdr:rowOff>152400</xdr:rowOff>
        </xdr:to>
        <xdr:sp macro="" textlink="">
          <xdr:nvSpPr>
            <xdr:cNvPr id="1964038" name="Check Box 6" hidden="1">
              <a:extLst>
                <a:ext uri="{63B3BB69-23CF-44E3-9099-C40C66FF867C}">
                  <a14:compatExt spid="_x0000_s1964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4</xdr:row>
          <xdr:rowOff>9525</xdr:rowOff>
        </xdr:from>
        <xdr:to>
          <xdr:col>21</xdr:col>
          <xdr:colOff>161925</xdr:colOff>
          <xdr:row>4</xdr:row>
          <xdr:rowOff>152400</xdr:rowOff>
        </xdr:to>
        <xdr:sp macro="" textlink="">
          <xdr:nvSpPr>
            <xdr:cNvPr id="1964039" name="Check Box 7" hidden="1">
              <a:extLst>
                <a:ext uri="{63B3BB69-23CF-44E3-9099-C40C66FF867C}">
                  <a14:compatExt spid="_x0000_s1964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4</xdr:row>
          <xdr:rowOff>9525</xdr:rowOff>
        </xdr:from>
        <xdr:to>
          <xdr:col>28</xdr:col>
          <xdr:colOff>180975</xdr:colOff>
          <xdr:row>4</xdr:row>
          <xdr:rowOff>152400</xdr:rowOff>
        </xdr:to>
        <xdr:sp macro="" textlink="">
          <xdr:nvSpPr>
            <xdr:cNvPr id="1964040" name="Check Box 8" hidden="1">
              <a:extLst>
                <a:ext uri="{63B3BB69-23CF-44E3-9099-C40C66FF867C}">
                  <a14:compatExt spid="_x0000_s1964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95250</xdr:colOff>
          <xdr:row>4</xdr:row>
          <xdr:rowOff>9525</xdr:rowOff>
        </xdr:from>
        <xdr:to>
          <xdr:col>33</xdr:col>
          <xdr:colOff>152400</xdr:colOff>
          <xdr:row>4</xdr:row>
          <xdr:rowOff>161925</xdr:rowOff>
        </xdr:to>
        <xdr:sp macro="" textlink="">
          <xdr:nvSpPr>
            <xdr:cNvPr id="1964041" name="Check Box 9" hidden="1">
              <a:extLst>
                <a:ext uri="{63B3BB69-23CF-44E3-9099-C40C66FF867C}">
                  <a14:compatExt spid="_x0000_s1964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5</xdr:row>
          <xdr:rowOff>28575</xdr:rowOff>
        </xdr:from>
        <xdr:to>
          <xdr:col>13</xdr:col>
          <xdr:colOff>171450</xdr:colOff>
          <xdr:row>5</xdr:row>
          <xdr:rowOff>171450</xdr:rowOff>
        </xdr:to>
        <xdr:sp macro="" textlink="">
          <xdr:nvSpPr>
            <xdr:cNvPr id="1964042" name="Check Box 10" hidden="1">
              <a:extLst>
                <a:ext uri="{63B3BB69-23CF-44E3-9099-C40C66FF867C}">
                  <a14:compatExt spid="_x0000_s1964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5</xdr:row>
          <xdr:rowOff>19050</xdr:rowOff>
        </xdr:from>
        <xdr:to>
          <xdr:col>17</xdr:col>
          <xdr:colOff>38100</xdr:colOff>
          <xdr:row>5</xdr:row>
          <xdr:rowOff>180975</xdr:rowOff>
        </xdr:to>
        <xdr:sp macro="" textlink="">
          <xdr:nvSpPr>
            <xdr:cNvPr id="1964043" name="Check Box 11" hidden="1">
              <a:extLst>
                <a:ext uri="{63B3BB69-23CF-44E3-9099-C40C66FF867C}">
                  <a14:compatExt spid="_x0000_s1964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5</xdr:row>
          <xdr:rowOff>28575</xdr:rowOff>
        </xdr:from>
        <xdr:to>
          <xdr:col>25</xdr:col>
          <xdr:colOff>228600</xdr:colOff>
          <xdr:row>5</xdr:row>
          <xdr:rowOff>171450</xdr:rowOff>
        </xdr:to>
        <xdr:sp macro="" textlink="">
          <xdr:nvSpPr>
            <xdr:cNvPr id="1964044" name="Check Box 12" hidden="1">
              <a:extLst>
                <a:ext uri="{63B3BB69-23CF-44E3-9099-C40C66FF867C}">
                  <a14:compatExt spid="_x0000_s1964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4</xdr:row>
          <xdr:rowOff>180975</xdr:rowOff>
        </xdr:from>
        <xdr:to>
          <xdr:col>29</xdr:col>
          <xdr:colOff>38100</xdr:colOff>
          <xdr:row>6</xdr:row>
          <xdr:rowOff>9525</xdr:rowOff>
        </xdr:to>
        <xdr:sp macro="" textlink="">
          <xdr:nvSpPr>
            <xdr:cNvPr id="1964045" name="Check Box 13" hidden="1">
              <a:extLst>
                <a:ext uri="{63B3BB69-23CF-44E3-9099-C40C66FF867C}">
                  <a14:compatExt spid="_x0000_s1964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85725</xdr:colOff>
          <xdr:row>5</xdr:row>
          <xdr:rowOff>19050</xdr:rowOff>
        </xdr:from>
        <xdr:to>
          <xdr:col>33</xdr:col>
          <xdr:colOff>9525</xdr:colOff>
          <xdr:row>5</xdr:row>
          <xdr:rowOff>180975</xdr:rowOff>
        </xdr:to>
        <xdr:sp macro="" textlink="">
          <xdr:nvSpPr>
            <xdr:cNvPr id="1964046" name="Check Box 14" hidden="1">
              <a:extLst>
                <a:ext uri="{63B3BB69-23CF-44E3-9099-C40C66FF867C}">
                  <a14:compatExt spid="_x0000_s1964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57150</xdr:colOff>
          <xdr:row>22</xdr:row>
          <xdr:rowOff>190500</xdr:rowOff>
        </xdr:from>
        <xdr:to>
          <xdr:col>36</xdr:col>
          <xdr:colOff>47625</xdr:colOff>
          <xdr:row>24</xdr:row>
          <xdr:rowOff>9525</xdr:rowOff>
        </xdr:to>
        <xdr:sp macro="" textlink="">
          <xdr:nvSpPr>
            <xdr:cNvPr id="1964047" name="Check Box 15" hidden="1">
              <a:extLst>
                <a:ext uri="{63B3BB69-23CF-44E3-9099-C40C66FF867C}">
                  <a14:compatExt spid="_x0000_s1964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4</xdr:row>
          <xdr:rowOff>190500</xdr:rowOff>
        </xdr:from>
        <xdr:to>
          <xdr:col>22</xdr:col>
          <xdr:colOff>9525</xdr:colOff>
          <xdr:row>6</xdr:row>
          <xdr:rowOff>0</xdr:rowOff>
        </xdr:to>
        <xdr:sp macro="" textlink="">
          <xdr:nvSpPr>
            <xdr:cNvPr id="1964048" name="Check Box 16" hidden="1">
              <a:extLst>
                <a:ext uri="{63B3BB69-23CF-44E3-9099-C40C66FF867C}">
                  <a14:compatExt spid="_x0000_s1964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17</xdr:col>
      <xdr:colOff>114301</xdr:colOff>
      <xdr:row>2</xdr:row>
      <xdr:rowOff>142876</xdr:rowOff>
    </xdr:from>
    <xdr:to>
      <xdr:col>18</xdr:col>
      <xdr:colOff>325457</xdr:colOff>
      <xdr:row>3</xdr:row>
      <xdr:rowOff>190499</xdr:rowOff>
    </xdr:to>
    <xdr:grpSp>
      <xdr:nvGrpSpPr>
        <xdr:cNvPr id="5" name="グループ化 4"/>
        <xdr:cNvGrpSpPr/>
      </xdr:nvGrpSpPr>
      <xdr:grpSpPr>
        <a:xfrm>
          <a:off x="15163801" y="600076"/>
          <a:ext cx="1106506" cy="257173"/>
          <a:chOff x="14792326" y="600076"/>
          <a:chExt cx="1106506" cy="257173"/>
        </a:xfrm>
      </xdr:grpSpPr>
      <xdr:sp macro="" textlink="">
        <xdr:nvSpPr>
          <xdr:cNvPr id="3" name="テキスト ボックス 2"/>
          <xdr:cNvSpPr txBox="1"/>
        </xdr:nvSpPr>
        <xdr:spPr>
          <a:xfrm>
            <a:off x="14944725" y="600076"/>
            <a:ext cx="954107" cy="2571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r>
              <a:rPr kumimoji="1" lang="ja-JP" altLang="en-US" sz="1000">
                <a:latin typeface="メイリオ" panose="020B0604030504040204" pitchFamily="50" charset="-128"/>
                <a:ea typeface="メイリオ" panose="020B0604030504040204" pitchFamily="50" charset="-128"/>
                <a:cs typeface="メイリオ" panose="020B0604030504040204" pitchFamily="50" charset="-128"/>
              </a:rPr>
              <a:t>営業確認不要</a:t>
            </a:r>
          </a:p>
        </xdr:txBody>
      </xdr:sp>
      <mc:AlternateContent xmlns:mc="http://schemas.openxmlformats.org/markup-compatibility/2006">
        <mc:Choice xmlns:a14="http://schemas.microsoft.com/office/drawing/2010/main" Requires="a14">
          <xdr:sp macro="" textlink="">
            <xdr:nvSpPr>
              <xdr:cNvPr id="1965057" name="UNJC0030_H_Shape_EIGYO_FUYO_FLG" hidden="1">
                <a:extLst>
                  <a:ext uri="{63B3BB69-23CF-44E3-9099-C40C66FF867C}">
                    <a14:compatExt spid="_x0000_s1965057"/>
                  </a:ext>
                </a:extLst>
              </xdr:cNvPr>
              <xdr:cNvSpPr/>
            </xdr:nvSpPr>
            <xdr:spPr bwMode="auto">
              <a:xfrm>
                <a:off x="14792326" y="657225"/>
                <a:ext cx="1047750"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17</xdr:col>
      <xdr:colOff>114299</xdr:colOff>
      <xdr:row>3</xdr:row>
      <xdr:rowOff>152400</xdr:rowOff>
    </xdr:from>
    <xdr:to>
      <xdr:col>17</xdr:col>
      <xdr:colOff>666750</xdr:colOff>
      <xdr:row>4</xdr:row>
      <xdr:rowOff>200023</xdr:rowOff>
    </xdr:to>
    <xdr:grpSp>
      <xdr:nvGrpSpPr>
        <xdr:cNvPr id="6" name="グループ化 5"/>
        <xdr:cNvGrpSpPr/>
      </xdr:nvGrpSpPr>
      <xdr:grpSpPr>
        <a:xfrm>
          <a:off x="15163799" y="819150"/>
          <a:ext cx="552451" cy="257173"/>
          <a:chOff x="14792324" y="819150"/>
          <a:chExt cx="552451" cy="257173"/>
        </a:xfrm>
      </xdr:grpSpPr>
      <xdr:sp macro="" textlink="">
        <xdr:nvSpPr>
          <xdr:cNvPr id="20" name="テキスト ボックス 19"/>
          <xdr:cNvSpPr txBox="1"/>
        </xdr:nvSpPr>
        <xdr:spPr>
          <a:xfrm>
            <a:off x="14944726" y="819150"/>
            <a:ext cx="400049" cy="2571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r>
              <a:rPr kumimoji="1" lang="ja-JP" altLang="en-US" sz="1000">
                <a:latin typeface="メイリオ" panose="020B0604030504040204" pitchFamily="50" charset="-128"/>
                <a:ea typeface="メイリオ" panose="020B0604030504040204" pitchFamily="50" charset="-128"/>
                <a:cs typeface="メイリオ" panose="020B0604030504040204" pitchFamily="50" charset="-128"/>
              </a:rPr>
              <a:t>新規</a:t>
            </a:r>
          </a:p>
        </xdr:txBody>
      </xdr:sp>
      <mc:AlternateContent xmlns:mc="http://schemas.openxmlformats.org/markup-compatibility/2006">
        <mc:Choice xmlns:a14="http://schemas.microsoft.com/office/drawing/2010/main" Requires="a14">
          <xdr:sp macro="" textlink="">
            <xdr:nvSpPr>
              <xdr:cNvPr id="1965058" name="UNJC0030_H_Shape_SHINKI_FLG" hidden="1">
                <a:extLst>
                  <a:ext uri="{63B3BB69-23CF-44E3-9099-C40C66FF867C}">
                    <a14:compatExt spid="_x0000_s1965058"/>
                  </a:ext>
                </a:extLst>
              </xdr:cNvPr>
              <xdr:cNvSpPr/>
            </xdr:nvSpPr>
            <xdr:spPr bwMode="auto">
              <a:xfrm>
                <a:off x="14792324" y="876300"/>
                <a:ext cx="542925"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17</xdr:col>
      <xdr:colOff>114300</xdr:colOff>
      <xdr:row>4</xdr:row>
      <xdr:rowOff>152400</xdr:rowOff>
    </xdr:from>
    <xdr:to>
      <xdr:col>18</xdr:col>
      <xdr:colOff>504825</xdr:colOff>
      <xdr:row>5</xdr:row>
      <xdr:rowOff>209549</xdr:rowOff>
    </xdr:to>
    <xdr:grpSp>
      <xdr:nvGrpSpPr>
        <xdr:cNvPr id="7" name="グループ化 6"/>
        <xdr:cNvGrpSpPr/>
      </xdr:nvGrpSpPr>
      <xdr:grpSpPr>
        <a:xfrm>
          <a:off x="15163800" y="1028700"/>
          <a:ext cx="1285875" cy="266699"/>
          <a:chOff x="14792325" y="1038225"/>
          <a:chExt cx="1285875" cy="266699"/>
        </a:xfrm>
      </xdr:grpSpPr>
      <xdr:sp macro="" textlink="">
        <xdr:nvSpPr>
          <xdr:cNvPr id="21" name="テキスト ボックス 20"/>
          <xdr:cNvSpPr txBox="1"/>
        </xdr:nvSpPr>
        <xdr:spPr>
          <a:xfrm>
            <a:off x="14935200" y="1038225"/>
            <a:ext cx="1143000" cy="2571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r>
              <a:rPr kumimoji="1" lang="ja-JP" altLang="en-US" sz="1000">
                <a:latin typeface="メイリオ" panose="020B0604030504040204" pitchFamily="50" charset="-128"/>
                <a:ea typeface="メイリオ" panose="020B0604030504040204" pitchFamily="50" charset="-128"/>
                <a:cs typeface="メイリオ" panose="020B0604030504040204" pitchFamily="50" charset="-128"/>
              </a:rPr>
              <a:t>記載内容変更予定</a:t>
            </a:r>
          </a:p>
        </xdr:txBody>
      </xdr:sp>
      <mc:AlternateContent xmlns:mc="http://schemas.openxmlformats.org/markup-compatibility/2006">
        <mc:Choice xmlns:a14="http://schemas.microsoft.com/office/drawing/2010/main" Requires="a14">
          <xdr:sp macro="" textlink="">
            <xdr:nvSpPr>
              <xdr:cNvPr id="1965059" name="UNJC0030_H_Shape_HENKOYOTEI_FLG" hidden="1">
                <a:extLst>
                  <a:ext uri="{63B3BB69-23CF-44E3-9099-C40C66FF867C}">
                    <a14:compatExt spid="_x0000_s1965059"/>
                  </a:ext>
                </a:extLst>
              </xdr:cNvPr>
              <xdr:cNvSpPr/>
            </xdr:nvSpPr>
            <xdr:spPr bwMode="auto">
              <a:xfrm>
                <a:off x="14792325" y="1104899"/>
                <a:ext cx="1257300"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31</xdr:col>
          <xdr:colOff>238125</xdr:colOff>
          <xdr:row>41</xdr:row>
          <xdr:rowOff>9525</xdr:rowOff>
        </xdr:from>
        <xdr:to>
          <xdr:col>31</xdr:col>
          <xdr:colOff>428625</xdr:colOff>
          <xdr:row>41</xdr:row>
          <xdr:rowOff>200025</xdr:rowOff>
        </xdr:to>
        <xdr:sp macro="" textlink="">
          <xdr:nvSpPr>
            <xdr:cNvPr id="1965060" name="UNJC0030_H_Shape_HOKOKU_CHUKAN_FLG_1" hidden="1">
              <a:extLst>
                <a:ext uri="{63B3BB69-23CF-44E3-9099-C40C66FF867C}">
                  <a14:compatExt spid="_x0000_s1965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238125</xdr:colOff>
          <xdr:row>42</xdr:row>
          <xdr:rowOff>9525</xdr:rowOff>
        </xdr:from>
        <xdr:to>
          <xdr:col>31</xdr:col>
          <xdr:colOff>428625</xdr:colOff>
          <xdr:row>42</xdr:row>
          <xdr:rowOff>200025</xdr:rowOff>
        </xdr:to>
        <xdr:sp macro="" textlink="">
          <xdr:nvSpPr>
            <xdr:cNvPr id="1965061" name="UNJC0030_H_Shape_HOKOKU_CHUKAN_FLG_2" hidden="1">
              <a:extLst>
                <a:ext uri="{63B3BB69-23CF-44E3-9099-C40C66FF867C}">
                  <a14:compatExt spid="_x0000_s1965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238125</xdr:colOff>
          <xdr:row>43</xdr:row>
          <xdr:rowOff>9525</xdr:rowOff>
        </xdr:from>
        <xdr:to>
          <xdr:col>31</xdr:col>
          <xdr:colOff>428625</xdr:colOff>
          <xdr:row>43</xdr:row>
          <xdr:rowOff>200025</xdr:rowOff>
        </xdr:to>
        <xdr:sp macro="" textlink="">
          <xdr:nvSpPr>
            <xdr:cNvPr id="1965062" name="UNJC0030_H_Shape_HOKOKU_CHUKAN_FLG_3" hidden="1">
              <a:extLst>
                <a:ext uri="{63B3BB69-23CF-44E3-9099-C40C66FF867C}">
                  <a14:compatExt spid="_x0000_s1965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238125</xdr:colOff>
          <xdr:row>41</xdr:row>
          <xdr:rowOff>9525</xdr:rowOff>
        </xdr:from>
        <xdr:to>
          <xdr:col>32</xdr:col>
          <xdr:colOff>428625</xdr:colOff>
          <xdr:row>41</xdr:row>
          <xdr:rowOff>200025</xdr:rowOff>
        </xdr:to>
        <xdr:sp macro="" textlink="">
          <xdr:nvSpPr>
            <xdr:cNvPr id="1965063" name="UNJC0030_H_Shape_HOKOKU_SOKUHO_FLG_1" hidden="1">
              <a:extLst>
                <a:ext uri="{63B3BB69-23CF-44E3-9099-C40C66FF867C}">
                  <a14:compatExt spid="_x0000_s1965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238125</xdr:colOff>
          <xdr:row>42</xdr:row>
          <xdr:rowOff>9525</xdr:rowOff>
        </xdr:from>
        <xdr:to>
          <xdr:col>32</xdr:col>
          <xdr:colOff>428625</xdr:colOff>
          <xdr:row>42</xdr:row>
          <xdr:rowOff>200025</xdr:rowOff>
        </xdr:to>
        <xdr:sp macro="" textlink="">
          <xdr:nvSpPr>
            <xdr:cNvPr id="1965064" name="UNJC0030_H_Shape_HOKOKU_SOKUHO_FLG_2" hidden="1">
              <a:extLst>
                <a:ext uri="{63B3BB69-23CF-44E3-9099-C40C66FF867C}">
                  <a14:compatExt spid="_x0000_s1965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238125</xdr:colOff>
          <xdr:row>43</xdr:row>
          <xdr:rowOff>9525</xdr:rowOff>
        </xdr:from>
        <xdr:to>
          <xdr:col>32</xdr:col>
          <xdr:colOff>428625</xdr:colOff>
          <xdr:row>43</xdr:row>
          <xdr:rowOff>200025</xdr:rowOff>
        </xdr:to>
        <xdr:sp macro="" textlink="">
          <xdr:nvSpPr>
            <xdr:cNvPr id="1965065" name="UNJC0030_H_Shape_HOKOKU_SOKUHO_FLG_3" hidden="1">
              <a:extLst>
                <a:ext uri="{63B3BB69-23CF-44E3-9099-C40C66FF867C}">
                  <a14:compatExt spid="_x0000_s1965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238125</xdr:colOff>
          <xdr:row>41</xdr:row>
          <xdr:rowOff>9525</xdr:rowOff>
        </xdr:from>
        <xdr:to>
          <xdr:col>33</xdr:col>
          <xdr:colOff>428625</xdr:colOff>
          <xdr:row>41</xdr:row>
          <xdr:rowOff>200025</xdr:rowOff>
        </xdr:to>
        <xdr:sp macro="" textlink="">
          <xdr:nvSpPr>
            <xdr:cNvPr id="1965066" name="UNJC0030_H_Shape_HOKOKU_HOKOKUSOFU_FLG_1" hidden="1">
              <a:extLst>
                <a:ext uri="{63B3BB69-23CF-44E3-9099-C40C66FF867C}">
                  <a14:compatExt spid="_x0000_s1965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238125</xdr:colOff>
          <xdr:row>42</xdr:row>
          <xdr:rowOff>9525</xdr:rowOff>
        </xdr:from>
        <xdr:to>
          <xdr:col>33</xdr:col>
          <xdr:colOff>428625</xdr:colOff>
          <xdr:row>42</xdr:row>
          <xdr:rowOff>200025</xdr:rowOff>
        </xdr:to>
        <xdr:sp macro="" textlink="">
          <xdr:nvSpPr>
            <xdr:cNvPr id="1965067" name="UNJC0030_H_Shape_HOKOKU_HOKOKUSOFU_FLG_2" hidden="1">
              <a:extLst>
                <a:ext uri="{63B3BB69-23CF-44E3-9099-C40C66FF867C}">
                  <a14:compatExt spid="_x0000_s1965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238125</xdr:colOff>
          <xdr:row>43</xdr:row>
          <xdr:rowOff>9525</xdr:rowOff>
        </xdr:from>
        <xdr:to>
          <xdr:col>33</xdr:col>
          <xdr:colOff>428625</xdr:colOff>
          <xdr:row>43</xdr:row>
          <xdr:rowOff>200025</xdr:rowOff>
        </xdr:to>
        <xdr:sp macro="" textlink="">
          <xdr:nvSpPr>
            <xdr:cNvPr id="1965068" name="UNJC0030_H_Shape_HOKOKU_HOKOKUSOFU_FLG_3" hidden="1">
              <a:extLst>
                <a:ext uri="{63B3BB69-23CF-44E3-9099-C40C66FF867C}">
                  <a14:compatExt spid="_x0000_s1965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26</xdr:row>
          <xdr:rowOff>9525</xdr:rowOff>
        </xdr:from>
        <xdr:to>
          <xdr:col>10</xdr:col>
          <xdr:colOff>733425</xdr:colOff>
          <xdr:row>26</xdr:row>
          <xdr:rowOff>200025</xdr:rowOff>
        </xdr:to>
        <xdr:sp macro="" textlink="">
          <xdr:nvSpPr>
            <xdr:cNvPr id="1965069" name="UNJC0030_H_Shape_HOKOKU_SHOKEN_FLG" hidden="1">
              <a:extLst>
                <a:ext uri="{63B3BB69-23CF-44E3-9099-C40C66FF867C}">
                  <a14:compatExt spid="_x0000_s1965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必要</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19</xdr:row>
          <xdr:rowOff>0</xdr:rowOff>
        </xdr:from>
        <xdr:to>
          <xdr:col>10</xdr:col>
          <xdr:colOff>866775</xdr:colOff>
          <xdr:row>19</xdr:row>
          <xdr:rowOff>190500</xdr:rowOff>
        </xdr:to>
        <xdr:sp macro="" textlink="">
          <xdr:nvSpPr>
            <xdr:cNvPr id="1965070" name="UNJC0030_H_Shape_EDA_FLG" hidden="1">
              <a:extLst>
                <a:ext uri="{63B3BB69-23CF-44E3-9099-C40C66FF867C}">
                  <a14:compatExt spid="_x0000_s1965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590552</xdr:colOff>
      <xdr:row>6</xdr:row>
      <xdr:rowOff>122234</xdr:rowOff>
    </xdr:from>
    <xdr:to>
      <xdr:col>17</xdr:col>
      <xdr:colOff>61074</xdr:colOff>
      <xdr:row>9</xdr:row>
      <xdr:rowOff>51808</xdr:rowOff>
    </xdr:to>
    <xdr:sp macro="" textlink="">
      <xdr:nvSpPr>
        <xdr:cNvPr id="3" name="正方形/長方形 2"/>
        <xdr:cNvSpPr/>
      </xdr:nvSpPr>
      <xdr:spPr>
        <a:xfrm>
          <a:off x="6972302" y="1684334"/>
          <a:ext cx="3147172" cy="558224"/>
        </a:xfrm>
        <a:prstGeom prst="rect">
          <a:avLst/>
        </a:prstGeom>
        <a:noFill/>
        <a:ln>
          <a:noFill/>
        </a:ln>
        <a:effectLst/>
      </xdr:spPr>
      <xdr:style>
        <a:lnRef idx="1">
          <a:schemeClr val="accent5"/>
        </a:lnRef>
        <a:fillRef idx="2">
          <a:schemeClr val="accent5"/>
        </a:fillRef>
        <a:effectRef idx="1">
          <a:schemeClr val="accent5"/>
        </a:effectRef>
        <a:fontRef idx="minor">
          <a:schemeClr val="dk1"/>
        </a:fontRef>
      </xdr:style>
      <xdr:txBody>
        <a:bodyPr vertOverflow="overflow" horzOverflow="overflow" rtlCol="0" anchor="ctr"/>
        <a:lstStyle/>
        <a:p>
          <a:pPr algn="l"/>
          <a:r>
            <a:rPr lang="ja-JP" altLang="en-US" sz="10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a:t>
          </a:r>
          <a:r>
            <a:rPr lang="en-US" altLang="ja-JP" sz="10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456-0034</a:t>
          </a:r>
        </a:p>
        <a:p>
          <a:pPr algn="l"/>
          <a:r>
            <a:rPr lang="ja-JP" altLang="en-US" sz="1100">
              <a:latin typeface="HGS明朝E" panose="02020900000000000000" pitchFamily="18" charset="-128"/>
              <a:ea typeface="HGS明朝E" panose="02020900000000000000" pitchFamily="18" charset="-128"/>
              <a:cs typeface="メイリオ" panose="020B0604030504040204" pitchFamily="50" charset="-128"/>
            </a:rPr>
            <a:t>名古屋市熱田区伝馬一丁目１１番１号</a:t>
          </a:r>
          <a:endParaRPr lang="en-US" altLang="ja-JP" sz="1100">
            <a:latin typeface="HGS明朝E" panose="02020900000000000000" pitchFamily="18" charset="-128"/>
            <a:ea typeface="HGS明朝E" panose="02020900000000000000" pitchFamily="18" charset="-128"/>
            <a:cs typeface="メイリオ" panose="020B0604030504040204" pitchFamily="50" charset="-128"/>
          </a:endParaRPr>
        </a:p>
        <a:p>
          <a:pPr algn="l"/>
          <a:r>
            <a:rPr lang="en-US" altLang="ja-JP" sz="900">
              <a:latin typeface="HGS明朝E" panose="02020900000000000000" pitchFamily="18" charset="-128"/>
              <a:ea typeface="HGS明朝E" panose="02020900000000000000" pitchFamily="18" charset="-128"/>
              <a:cs typeface="メイリオ" panose="020B0604030504040204" pitchFamily="50" charset="-128"/>
            </a:rPr>
            <a:t>TEL</a:t>
          </a:r>
          <a:r>
            <a:rPr lang="ja-JP" altLang="en-US" sz="900">
              <a:latin typeface="HGS明朝E" panose="02020900000000000000" pitchFamily="18" charset="-128"/>
              <a:ea typeface="HGS明朝E" panose="02020900000000000000" pitchFamily="18" charset="-128"/>
              <a:cs typeface="メイリオ" panose="020B0604030504040204" pitchFamily="50" charset="-128"/>
            </a:rPr>
            <a:t>：</a:t>
          </a:r>
          <a:r>
            <a:rPr lang="en-US" altLang="ja-JP" sz="900">
              <a:latin typeface="HGS明朝E" panose="02020900000000000000" pitchFamily="18" charset="-128"/>
              <a:ea typeface="HGS明朝E" panose="02020900000000000000" pitchFamily="18" charset="-128"/>
              <a:cs typeface="メイリオ" panose="020B0604030504040204" pitchFamily="50" charset="-128"/>
            </a:rPr>
            <a:t>052-682-5069</a:t>
          </a:r>
          <a:r>
            <a:rPr lang="ja-JP" altLang="en-US" sz="900" baseline="0">
              <a:latin typeface="HGS明朝E" panose="02020900000000000000" pitchFamily="18" charset="-128"/>
              <a:ea typeface="HGS明朝E" panose="02020900000000000000" pitchFamily="18" charset="-128"/>
              <a:cs typeface="メイリオ" panose="020B0604030504040204" pitchFamily="50" charset="-128"/>
            </a:rPr>
            <a:t>    </a:t>
          </a:r>
          <a:r>
            <a:rPr lang="en-US" altLang="ja-JP" sz="900">
              <a:latin typeface="HGS明朝E" panose="02020900000000000000" pitchFamily="18" charset="-128"/>
              <a:ea typeface="HGS明朝E" panose="02020900000000000000" pitchFamily="18" charset="-128"/>
              <a:cs typeface="メイリオ" panose="020B0604030504040204" pitchFamily="50" charset="-128"/>
            </a:rPr>
            <a:t>FAX</a:t>
          </a:r>
          <a:r>
            <a:rPr lang="ja-JP" altLang="en-US" sz="900">
              <a:latin typeface="HGS明朝E" panose="02020900000000000000" pitchFamily="18" charset="-128"/>
              <a:ea typeface="HGS明朝E" panose="02020900000000000000" pitchFamily="18" charset="-128"/>
              <a:cs typeface="メイリオ" panose="020B0604030504040204" pitchFamily="50" charset="-128"/>
            </a:rPr>
            <a:t>：</a:t>
          </a:r>
          <a:r>
            <a:rPr lang="en-US" altLang="ja-JP" sz="900">
              <a:latin typeface="HGS明朝E" panose="02020900000000000000" pitchFamily="18" charset="-128"/>
              <a:ea typeface="HGS明朝E" panose="02020900000000000000" pitchFamily="18" charset="-128"/>
              <a:cs typeface="メイリオ" panose="020B0604030504040204" pitchFamily="50" charset="-128"/>
            </a:rPr>
            <a:t>052-681-8646</a:t>
          </a:r>
          <a:endParaRPr kumimoji="1" lang="ja-JP" altLang="en-US" sz="9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endParaRPr>
        </a:p>
      </xdr:txBody>
    </xdr:sp>
    <xdr:clientData/>
  </xdr:twoCellAnchor>
  <xdr:twoCellAnchor editAs="oneCell">
    <xdr:from>
      <xdr:col>12</xdr:col>
      <xdr:colOff>251874</xdr:colOff>
      <xdr:row>4</xdr:row>
      <xdr:rowOff>208122</xdr:rowOff>
    </xdr:from>
    <xdr:to>
      <xdr:col>16</xdr:col>
      <xdr:colOff>125982</xdr:colOff>
      <xdr:row>6</xdr:row>
      <xdr:rowOff>75851</xdr:rowOff>
    </xdr:to>
    <xdr:pic>
      <xdr:nvPicPr>
        <xdr:cNvPr id="4" name="図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90849" y="1246347"/>
          <a:ext cx="2245833" cy="391604"/>
        </a:xfrm>
        <a:prstGeom prst="rect">
          <a:avLst/>
        </a:prstGeom>
      </xdr:spPr>
    </xdr:pic>
    <xdr:clientData/>
  </xdr:twoCellAnchor>
  <xdr:twoCellAnchor>
    <xdr:from>
      <xdr:col>11</xdr:col>
      <xdr:colOff>565337</xdr:colOff>
      <xdr:row>2</xdr:row>
      <xdr:rowOff>244849</xdr:rowOff>
    </xdr:from>
    <xdr:to>
      <xdr:col>16</xdr:col>
      <xdr:colOff>578354</xdr:colOff>
      <xdr:row>4</xdr:row>
      <xdr:rowOff>182135</xdr:rowOff>
    </xdr:to>
    <xdr:sp macro="" textlink="">
      <xdr:nvSpPr>
        <xdr:cNvPr id="5" name="正方形/長方形 4"/>
        <xdr:cNvSpPr/>
      </xdr:nvSpPr>
      <xdr:spPr>
        <a:xfrm>
          <a:off x="6947087" y="682999"/>
          <a:ext cx="3041967" cy="537361"/>
        </a:xfrm>
        <a:prstGeom prst="rect">
          <a:avLst/>
        </a:prstGeom>
        <a:noFill/>
        <a:ln>
          <a:noFill/>
        </a:ln>
        <a:effectLst/>
      </xdr:spPr>
      <xdr:style>
        <a:lnRef idx="1">
          <a:schemeClr val="accent5"/>
        </a:lnRef>
        <a:fillRef idx="2">
          <a:schemeClr val="accent5"/>
        </a:fillRef>
        <a:effectRef idx="1">
          <a:schemeClr val="accent5"/>
        </a:effectRef>
        <a:fontRef idx="minor">
          <a:schemeClr val="dk1"/>
        </a:fontRef>
      </xdr:style>
      <xdr:txBody>
        <a:bodyPr vertOverflow="overflow" horzOverflow="overflow" rtlCol="0" anchor="ctr"/>
        <a:lstStyle/>
        <a:p>
          <a:pPr algn="ctr"/>
          <a:r>
            <a:rPr kumimoji="1" lang="ja-JP" altLang="en-US" sz="10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理化学分析・試験・調査・受託研究</a:t>
          </a:r>
          <a:endParaRPr kumimoji="1" lang="en-US" altLang="ja-JP" sz="10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endParaRPr>
        </a:p>
        <a:p>
          <a:pPr algn="ctr"/>
          <a:r>
            <a:rPr kumimoji="1" lang="ja-JP" altLang="en-US" sz="10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環境</a:t>
          </a:r>
          <a:r>
            <a:rPr kumimoji="1" lang="ja-JP" altLang="en-US" sz="10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計量</a:t>
          </a:r>
          <a:r>
            <a:rPr kumimoji="1" lang="ja-JP" altLang="en-US" sz="10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証明事業所・作業環境測定機関</a:t>
          </a:r>
          <a:endParaRPr kumimoji="1" lang="en-US" altLang="ja-JP" sz="10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endParaRPr>
        </a:p>
        <a:p>
          <a:pPr algn="ctr"/>
          <a:r>
            <a:rPr kumimoji="1" lang="ja-JP" altLang="en-US" sz="10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厚生省指定飲料水水質検査機関</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3</xdr:row>
          <xdr:rowOff>9525</xdr:rowOff>
        </xdr:from>
        <xdr:to>
          <xdr:col>9</xdr:col>
          <xdr:colOff>200025</xdr:colOff>
          <xdr:row>3</xdr:row>
          <xdr:rowOff>180975</xdr:rowOff>
        </xdr:to>
        <xdr:sp macro="" textlink="">
          <xdr:nvSpPr>
            <xdr:cNvPr id="1972225" name="Check Box 1" hidden="1">
              <a:extLst>
                <a:ext uri="{63B3BB69-23CF-44E3-9099-C40C66FF867C}">
                  <a14:compatExt spid="_x0000_s19722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3</xdr:row>
          <xdr:rowOff>9525</xdr:rowOff>
        </xdr:from>
        <xdr:to>
          <xdr:col>14</xdr:col>
          <xdr:colOff>85725</xdr:colOff>
          <xdr:row>3</xdr:row>
          <xdr:rowOff>180975</xdr:rowOff>
        </xdr:to>
        <xdr:sp macro="" textlink="">
          <xdr:nvSpPr>
            <xdr:cNvPr id="1972226" name="Check Box 2" hidden="1">
              <a:extLst>
                <a:ext uri="{63B3BB69-23CF-44E3-9099-C40C66FF867C}">
                  <a14:compatExt spid="_x0000_s1972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57150</xdr:colOff>
          <xdr:row>3</xdr:row>
          <xdr:rowOff>19050</xdr:rowOff>
        </xdr:from>
        <xdr:to>
          <xdr:col>23</xdr:col>
          <xdr:colOff>0</xdr:colOff>
          <xdr:row>3</xdr:row>
          <xdr:rowOff>161925</xdr:rowOff>
        </xdr:to>
        <xdr:sp macro="" textlink="">
          <xdr:nvSpPr>
            <xdr:cNvPr id="1972227" name="Check Box 3" hidden="1">
              <a:extLst>
                <a:ext uri="{63B3BB69-23CF-44E3-9099-C40C66FF867C}">
                  <a14:compatExt spid="_x0000_s19722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3</xdr:row>
          <xdr:rowOff>19050</xdr:rowOff>
        </xdr:from>
        <xdr:to>
          <xdr:col>18</xdr:col>
          <xdr:colOff>161925</xdr:colOff>
          <xdr:row>3</xdr:row>
          <xdr:rowOff>161925</xdr:rowOff>
        </xdr:to>
        <xdr:sp macro="" textlink="">
          <xdr:nvSpPr>
            <xdr:cNvPr id="1972228" name="Check Box 4" hidden="1">
              <a:extLst>
                <a:ext uri="{63B3BB69-23CF-44E3-9099-C40C66FF867C}">
                  <a14:compatExt spid="_x0000_s1972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3</xdr:row>
          <xdr:rowOff>19050</xdr:rowOff>
        </xdr:from>
        <xdr:to>
          <xdr:col>25</xdr:col>
          <xdr:colOff>180975</xdr:colOff>
          <xdr:row>3</xdr:row>
          <xdr:rowOff>161925</xdr:rowOff>
        </xdr:to>
        <xdr:sp macro="" textlink="">
          <xdr:nvSpPr>
            <xdr:cNvPr id="1972229" name="Check Box 5" hidden="1">
              <a:extLst>
                <a:ext uri="{63B3BB69-23CF-44E3-9099-C40C66FF867C}">
                  <a14:compatExt spid="_x0000_s1972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2</xdr:row>
          <xdr:rowOff>209550</xdr:rowOff>
        </xdr:from>
        <xdr:to>
          <xdr:col>30</xdr:col>
          <xdr:colOff>152400</xdr:colOff>
          <xdr:row>3</xdr:row>
          <xdr:rowOff>180975</xdr:rowOff>
        </xdr:to>
        <xdr:sp macro="" textlink="">
          <xdr:nvSpPr>
            <xdr:cNvPr id="1972230" name="Check Box 6" hidden="1">
              <a:extLst>
                <a:ext uri="{63B3BB69-23CF-44E3-9099-C40C66FF867C}">
                  <a14:compatExt spid="_x0000_s1972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4</xdr:row>
          <xdr:rowOff>19050</xdr:rowOff>
        </xdr:from>
        <xdr:to>
          <xdr:col>10</xdr:col>
          <xdr:colOff>171450</xdr:colOff>
          <xdr:row>4</xdr:row>
          <xdr:rowOff>161925</xdr:rowOff>
        </xdr:to>
        <xdr:sp macro="" textlink="">
          <xdr:nvSpPr>
            <xdr:cNvPr id="1972231" name="Check Box 7" hidden="1">
              <a:extLst>
                <a:ext uri="{63B3BB69-23CF-44E3-9099-C40C66FF867C}">
                  <a14:compatExt spid="_x0000_s1972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4</xdr:row>
          <xdr:rowOff>9525</xdr:rowOff>
        </xdr:from>
        <xdr:to>
          <xdr:col>14</xdr:col>
          <xdr:colOff>38100</xdr:colOff>
          <xdr:row>4</xdr:row>
          <xdr:rowOff>171450</xdr:rowOff>
        </xdr:to>
        <xdr:sp macro="" textlink="">
          <xdr:nvSpPr>
            <xdr:cNvPr id="1972232" name="Check Box 8" hidden="1">
              <a:extLst>
                <a:ext uri="{63B3BB69-23CF-44E3-9099-C40C66FF867C}">
                  <a14:compatExt spid="_x0000_s19722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57150</xdr:colOff>
          <xdr:row>4</xdr:row>
          <xdr:rowOff>19050</xdr:rowOff>
        </xdr:from>
        <xdr:to>
          <xdr:col>22</xdr:col>
          <xdr:colOff>228600</xdr:colOff>
          <xdr:row>4</xdr:row>
          <xdr:rowOff>161925</xdr:rowOff>
        </xdr:to>
        <xdr:sp macro="" textlink="">
          <xdr:nvSpPr>
            <xdr:cNvPr id="1972233" name="Check Box 9" hidden="1">
              <a:extLst>
                <a:ext uri="{63B3BB69-23CF-44E3-9099-C40C66FF867C}">
                  <a14:compatExt spid="_x0000_s1972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4</xdr:row>
          <xdr:rowOff>19050</xdr:rowOff>
        </xdr:from>
        <xdr:to>
          <xdr:col>26</xdr:col>
          <xdr:colOff>38100</xdr:colOff>
          <xdr:row>4</xdr:row>
          <xdr:rowOff>161925</xdr:rowOff>
        </xdr:to>
        <xdr:sp macro="" textlink="">
          <xdr:nvSpPr>
            <xdr:cNvPr id="1972234" name="Check Box 10" hidden="1">
              <a:extLst>
                <a:ext uri="{63B3BB69-23CF-44E3-9099-C40C66FF867C}">
                  <a14:compatExt spid="_x0000_s1972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85725</xdr:colOff>
          <xdr:row>4</xdr:row>
          <xdr:rowOff>9525</xdr:rowOff>
        </xdr:from>
        <xdr:to>
          <xdr:col>30</xdr:col>
          <xdr:colOff>9525</xdr:colOff>
          <xdr:row>4</xdr:row>
          <xdr:rowOff>171450</xdr:rowOff>
        </xdr:to>
        <xdr:sp macro="" textlink="">
          <xdr:nvSpPr>
            <xdr:cNvPr id="1972235" name="Check Box 11" hidden="1">
              <a:extLst>
                <a:ext uri="{63B3BB69-23CF-44E3-9099-C40C66FF867C}">
                  <a14:compatExt spid="_x0000_s1972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4</xdr:row>
          <xdr:rowOff>9525</xdr:rowOff>
        </xdr:from>
        <xdr:to>
          <xdr:col>19</xdr:col>
          <xdr:colOff>9525</xdr:colOff>
          <xdr:row>4</xdr:row>
          <xdr:rowOff>171450</xdr:rowOff>
        </xdr:to>
        <xdr:sp macro="" textlink="">
          <xdr:nvSpPr>
            <xdr:cNvPr id="1972236" name="Check Box 12" hidden="1">
              <a:extLst>
                <a:ext uri="{63B3BB69-23CF-44E3-9099-C40C66FF867C}">
                  <a14:compatExt spid="_x0000_s19722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16</xdr:row>
          <xdr:rowOff>190500</xdr:rowOff>
        </xdr:from>
        <xdr:to>
          <xdr:col>23</xdr:col>
          <xdr:colOff>104775</xdr:colOff>
          <xdr:row>18</xdr:row>
          <xdr:rowOff>38100</xdr:rowOff>
        </xdr:to>
        <xdr:sp macro="" textlink="">
          <xdr:nvSpPr>
            <xdr:cNvPr id="1972237" name="Option Button 13" hidden="1">
              <a:extLst>
                <a:ext uri="{63B3BB69-23CF-44E3-9099-C40C66FF867C}">
                  <a14:compatExt spid="_x0000_s19722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17</xdr:row>
          <xdr:rowOff>0</xdr:rowOff>
        </xdr:from>
        <xdr:to>
          <xdr:col>25</xdr:col>
          <xdr:colOff>19050</xdr:colOff>
          <xdr:row>18</xdr:row>
          <xdr:rowOff>38100</xdr:rowOff>
        </xdr:to>
        <xdr:sp macro="" textlink="">
          <xdr:nvSpPr>
            <xdr:cNvPr id="1972238" name="Option Button 14" hidden="1">
              <a:extLst>
                <a:ext uri="{63B3BB69-23CF-44E3-9099-C40C66FF867C}">
                  <a14:compatExt spid="_x0000_s1972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238125</xdr:colOff>
          <xdr:row>16</xdr:row>
          <xdr:rowOff>200025</xdr:rowOff>
        </xdr:from>
        <xdr:to>
          <xdr:col>27</xdr:col>
          <xdr:colOff>104775</xdr:colOff>
          <xdr:row>18</xdr:row>
          <xdr:rowOff>38100</xdr:rowOff>
        </xdr:to>
        <xdr:sp macro="" textlink="">
          <xdr:nvSpPr>
            <xdr:cNvPr id="1972239" name="Option Button 15" hidden="1">
              <a:extLst>
                <a:ext uri="{63B3BB69-23CF-44E3-9099-C40C66FF867C}">
                  <a14:compatExt spid="_x0000_s1972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NAND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6</xdr:row>
          <xdr:rowOff>28575</xdr:rowOff>
        </xdr:from>
        <xdr:to>
          <xdr:col>3</xdr:col>
          <xdr:colOff>238125</xdr:colOff>
          <xdr:row>6</xdr:row>
          <xdr:rowOff>171450</xdr:rowOff>
        </xdr:to>
        <xdr:sp macro="" textlink="">
          <xdr:nvSpPr>
            <xdr:cNvPr id="1973249" name="Check Box 1" hidden="1">
              <a:extLst>
                <a:ext uri="{63B3BB69-23CF-44E3-9099-C40C66FF867C}">
                  <a14:compatExt spid="_x0000_s1973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57150</xdr:colOff>
          <xdr:row>3</xdr:row>
          <xdr:rowOff>9525</xdr:rowOff>
        </xdr:from>
        <xdr:to>
          <xdr:col>11</xdr:col>
          <xdr:colOff>219075</xdr:colOff>
          <xdr:row>3</xdr:row>
          <xdr:rowOff>171450</xdr:rowOff>
        </xdr:to>
        <xdr:sp macro="" textlink="">
          <xdr:nvSpPr>
            <xdr:cNvPr id="2013185" name="チェック 1" hidden="1">
              <a:extLst>
                <a:ext uri="{63B3BB69-23CF-44E3-9099-C40C66FF867C}">
                  <a14:compatExt spid="_x0000_s2013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xdr:row>
          <xdr:rowOff>171450</xdr:rowOff>
        </xdr:from>
        <xdr:to>
          <xdr:col>16</xdr:col>
          <xdr:colOff>161925</xdr:colOff>
          <xdr:row>4</xdr:row>
          <xdr:rowOff>0</xdr:rowOff>
        </xdr:to>
        <xdr:sp macro="" textlink="">
          <xdr:nvSpPr>
            <xdr:cNvPr id="2013186" name="Check Box 2" hidden="1">
              <a:extLst>
                <a:ext uri="{63B3BB69-23CF-44E3-9099-C40C66FF867C}">
                  <a14:compatExt spid="_x0000_s2013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xdr:colOff>
          <xdr:row>2</xdr:row>
          <xdr:rowOff>200025</xdr:rowOff>
        </xdr:from>
        <xdr:to>
          <xdr:col>20</xdr:col>
          <xdr:colOff>200025</xdr:colOff>
          <xdr:row>3</xdr:row>
          <xdr:rowOff>190500</xdr:rowOff>
        </xdr:to>
        <xdr:sp macro="" textlink="">
          <xdr:nvSpPr>
            <xdr:cNvPr id="2013187" name="Check Box 3" hidden="1">
              <a:extLst>
                <a:ext uri="{63B3BB69-23CF-44E3-9099-C40C66FF867C}">
                  <a14:compatExt spid="_x0000_s2013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47625</xdr:colOff>
          <xdr:row>2</xdr:row>
          <xdr:rowOff>200025</xdr:rowOff>
        </xdr:from>
        <xdr:to>
          <xdr:col>24</xdr:col>
          <xdr:colOff>238125</xdr:colOff>
          <xdr:row>3</xdr:row>
          <xdr:rowOff>180975</xdr:rowOff>
        </xdr:to>
        <xdr:sp macro="" textlink="">
          <xdr:nvSpPr>
            <xdr:cNvPr id="2013188" name="Check Box 4" hidden="1">
              <a:extLst>
                <a:ext uri="{63B3BB69-23CF-44E3-9099-C40C66FF867C}">
                  <a14:compatExt spid="_x0000_s2013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57150</xdr:colOff>
          <xdr:row>3</xdr:row>
          <xdr:rowOff>9525</xdr:rowOff>
        </xdr:from>
        <xdr:to>
          <xdr:col>27</xdr:col>
          <xdr:colOff>123825</xdr:colOff>
          <xdr:row>3</xdr:row>
          <xdr:rowOff>171450</xdr:rowOff>
        </xdr:to>
        <xdr:sp macro="" textlink="">
          <xdr:nvSpPr>
            <xdr:cNvPr id="2013189" name="Check Box 5" hidden="1">
              <a:extLst>
                <a:ext uri="{63B3BB69-23CF-44E3-9099-C40C66FF867C}">
                  <a14:compatExt spid="_x0000_s2013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3</xdr:row>
          <xdr:rowOff>0</xdr:rowOff>
        </xdr:from>
        <xdr:to>
          <xdr:col>32</xdr:col>
          <xdr:colOff>171450</xdr:colOff>
          <xdr:row>3</xdr:row>
          <xdr:rowOff>161925</xdr:rowOff>
        </xdr:to>
        <xdr:sp macro="" textlink="">
          <xdr:nvSpPr>
            <xdr:cNvPr id="2013190" name="Check Box 6" hidden="1">
              <a:extLst>
                <a:ext uri="{63B3BB69-23CF-44E3-9099-C40C66FF867C}">
                  <a14:compatExt spid="_x0000_s2013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4</xdr:row>
          <xdr:rowOff>9525</xdr:rowOff>
        </xdr:from>
        <xdr:to>
          <xdr:col>12</xdr:col>
          <xdr:colOff>219075</xdr:colOff>
          <xdr:row>4</xdr:row>
          <xdr:rowOff>171450</xdr:rowOff>
        </xdr:to>
        <xdr:sp macro="" textlink="">
          <xdr:nvSpPr>
            <xdr:cNvPr id="2013191" name="Check Box 7" hidden="1">
              <a:extLst>
                <a:ext uri="{63B3BB69-23CF-44E3-9099-C40C66FF867C}">
                  <a14:compatExt spid="_x0000_s2013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4</xdr:row>
          <xdr:rowOff>9525</xdr:rowOff>
        </xdr:from>
        <xdr:to>
          <xdr:col>15</xdr:col>
          <xdr:colOff>209550</xdr:colOff>
          <xdr:row>4</xdr:row>
          <xdr:rowOff>171450</xdr:rowOff>
        </xdr:to>
        <xdr:sp macro="" textlink="">
          <xdr:nvSpPr>
            <xdr:cNvPr id="2013192" name="Check Box 8" hidden="1">
              <a:extLst>
                <a:ext uri="{63B3BB69-23CF-44E3-9099-C40C66FF867C}">
                  <a14:compatExt spid="_x0000_s2013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xdr:colOff>
          <xdr:row>4</xdr:row>
          <xdr:rowOff>19050</xdr:rowOff>
        </xdr:from>
        <xdr:to>
          <xdr:col>20</xdr:col>
          <xdr:colOff>209550</xdr:colOff>
          <xdr:row>4</xdr:row>
          <xdr:rowOff>171450</xdr:rowOff>
        </xdr:to>
        <xdr:sp macro="" textlink="">
          <xdr:nvSpPr>
            <xdr:cNvPr id="2013193" name="Check Box 9" hidden="1">
              <a:extLst>
                <a:ext uri="{63B3BB69-23CF-44E3-9099-C40C66FF867C}">
                  <a14:compatExt spid="_x0000_s2013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47625</xdr:colOff>
          <xdr:row>3</xdr:row>
          <xdr:rowOff>200025</xdr:rowOff>
        </xdr:from>
        <xdr:to>
          <xdr:col>23</xdr:col>
          <xdr:colOff>19050</xdr:colOff>
          <xdr:row>4</xdr:row>
          <xdr:rowOff>171450</xdr:rowOff>
        </xdr:to>
        <xdr:sp macro="" textlink="">
          <xdr:nvSpPr>
            <xdr:cNvPr id="2013194" name="Check Box 10" hidden="1">
              <a:extLst>
                <a:ext uri="{63B3BB69-23CF-44E3-9099-C40C66FF867C}">
                  <a14:compatExt spid="_x0000_s2013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57150</xdr:colOff>
          <xdr:row>4</xdr:row>
          <xdr:rowOff>9525</xdr:rowOff>
        </xdr:from>
        <xdr:to>
          <xdr:col>27</xdr:col>
          <xdr:colOff>38100</xdr:colOff>
          <xdr:row>4</xdr:row>
          <xdr:rowOff>161925</xdr:rowOff>
        </xdr:to>
        <xdr:sp macro="" textlink="">
          <xdr:nvSpPr>
            <xdr:cNvPr id="2013195" name="Check Box 11" hidden="1">
              <a:extLst>
                <a:ext uri="{63B3BB69-23CF-44E3-9099-C40C66FF867C}">
                  <a14:compatExt spid="_x0000_s2013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17</xdr:row>
          <xdr:rowOff>190500</xdr:rowOff>
        </xdr:from>
        <xdr:to>
          <xdr:col>25</xdr:col>
          <xdr:colOff>76200</xdr:colOff>
          <xdr:row>19</xdr:row>
          <xdr:rowOff>9525</xdr:rowOff>
        </xdr:to>
        <xdr:sp macro="" textlink="">
          <xdr:nvSpPr>
            <xdr:cNvPr id="2013196" name="Option Button 12" hidden="1">
              <a:extLst>
                <a:ext uri="{63B3BB69-23CF-44E3-9099-C40C66FF867C}">
                  <a14:compatExt spid="_x0000_s2013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104775</xdr:colOff>
          <xdr:row>17</xdr:row>
          <xdr:rowOff>180975</xdr:rowOff>
        </xdr:from>
        <xdr:to>
          <xdr:col>27</xdr:col>
          <xdr:colOff>28575</xdr:colOff>
          <xdr:row>19</xdr:row>
          <xdr:rowOff>19050</xdr:rowOff>
        </xdr:to>
        <xdr:sp macro="" textlink="">
          <xdr:nvSpPr>
            <xdr:cNvPr id="2013197" name="Option Button 13" hidden="1">
              <a:extLst>
                <a:ext uri="{63B3BB69-23CF-44E3-9099-C40C66FF867C}">
                  <a14:compatExt spid="_x0000_s2013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17</xdr:row>
          <xdr:rowOff>180975</xdr:rowOff>
        </xdr:from>
        <xdr:to>
          <xdr:col>29</xdr:col>
          <xdr:colOff>85725</xdr:colOff>
          <xdr:row>19</xdr:row>
          <xdr:rowOff>19050</xdr:rowOff>
        </xdr:to>
        <xdr:sp macro="" textlink="">
          <xdr:nvSpPr>
            <xdr:cNvPr id="2013198" name="Option Button 14" hidden="1">
              <a:extLst>
                <a:ext uri="{63B3BB69-23CF-44E3-9099-C40C66FF867C}">
                  <a14:compatExt spid="_x0000_s2013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NAND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6</xdr:row>
          <xdr:rowOff>9525</xdr:rowOff>
        </xdr:from>
        <xdr:to>
          <xdr:col>3</xdr:col>
          <xdr:colOff>276225</xdr:colOff>
          <xdr:row>6</xdr:row>
          <xdr:rowOff>200025</xdr:rowOff>
        </xdr:to>
        <xdr:sp macro="" textlink="">
          <xdr:nvSpPr>
            <xdr:cNvPr id="2014209" name="Check Box 1" hidden="1">
              <a:extLst>
                <a:ext uri="{63B3BB69-23CF-44E3-9099-C40C66FF867C}">
                  <a14:compatExt spid="_x0000_s2014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66675</xdr:colOff>
          <xdr:row>12</xdr:row>
          <xdr:rowOff>219075</xdr:rowOff>
        </xdr:from>
        <xdr:to>
          <xdr:col>30</xdr:col>
          <xdr:colOff>9525</xdr:colOff>
          <xdr:row>13</xdr:row>
          <xdr:rowOff>228600</xdr:rowOff>
        </xdr:to>
        <xdr:sp macro="" textlink="">
          <xdr:nvSpPr>
            <xdr:cNvPr id="2050049" name="UNJC0180_H_FREEWD_AND" hidden="1">
              <a:extLst>
                <a:ext uri="{63B3BB69-23CF-44E3-9099-C40C66FF867C}">
                  <a14:compatExt spid="_x0000_s2050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276225</xdr:colOff>
          <xdr:row>12</xdr:row>
          <xdr:rowOff>219075</xdr:rowOff>
        </xdr:from>
        <xdr:to>
          <xdr:col>31</xdr:col>
          <xdr:colOff>152400</xdr:colOff>
          <xdr:row>13</xdr:row>
          <xdr:rowOff>228600</xdr:rowOff>
        </xdr:to>
        <xdr:sp macro="" textlink="">
          <xdr:nvSpPr>
            <xdr:cNvPr id="2050050" name="UNJC0180_H_FREEWD_OR" hidden="1">
              <a:extLst>
                <a:ext uri="{63B3BB69-23CF-44E3-9099-C40C66FF867C}">
                  <a14:compatExt spid="_x0000_s2050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133350</xdr:colOff>
          <xdr:row>12</xdr:row>
          <xdr:rowOff>219075</xdr:rowOff>
        </xdr:from>
        <xdr:to>
          <xdr:col>33</xdr:col>
          <xdr:colOff>123825</xdr:colOff>
          <xdr:row>13</xdr:row>
          <xdr:rowOff>228600</xdr:rowOff>
        </xdr:to>
        <xdr:sp macro="" textlink="">
          <xdr:nvSpPr>
            <xdr:cNvPr id="2050051" name="UNJC0180_H_FREEWD_NAND" hidden="1">
              <a:extLst>
                <a:ext uri="{63B3BB69-23CF-44E3-9099-C40C66FF867C}">
                  <a14:compatExt spid="_x0000_s2050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NAND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xdr:colOff>
          <xdr:row>0</xdr:row>
          <xdr:rowOff>57150</xdr:rowOff>
        </xdr:from>
        <xdr:to>
          <xdr:col>2</xdr:col>
          <xdr:colOff>1028700</xdr:colOff>
          <xdr:row>1</xdr:row>
          <xdr:rowOff>57150</xdr:rowOff>
        </xdr:to>
        <xdr:sp macro="" textlink="">
          <xdr:nvSpPr>
            <xdr:cNvPr id="2050052" name="Button 4" hidden="1">
              <a:extLst>
                <a:ext uri="{63B3BB69-23CF-44E3-9099-C40C66FF867C}">
                  <a14:compatExt spid="_x0000_s20500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検索テスト</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152400</xdr:colOff>
          <xdr:row>7</xdr:row>
          <xdr:rowOff>47625</xdr:rowOff>
        </xdr:from>
        <xdr:to>
          <xdr:col>35</xdr:col>
          <xdr:colOff>1047750</xdr:colOff>
          <xdr:row>8</xdr:row>
          <xdr:rowOff>114300</xdr:rowOff>
        </xdr:to>
        <xdr:sp macro="" textlink="">
          <xdr:nvSpPr>
            <xdr:cNvPr id="2051073" name="Button 1" hidden="1">
              <a:extLst>
                <a:ext uri="{63B3BB69-23CF-44E3-9099-C40C66FF867C}">
                  <a14:compatExt spid="_x0000_s20510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クリアテスト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152400</xdr:colOff>
          <xdr:row>5</xdr:row>
          <xdr:rowOff>123825</xdr:rowOff>
        </xdr:from>
        <xdr:to>
          <xdr:col>35</xdr:col>
          <xdr:colOff>1047750</xdr:colOff>
          <xdr:row>6</xdr:row>
          <xdr:rowOff>190500</xdr:rowOff>
        </xdr:to>
        <xdr:sp macro="" textlink="">
          <xdr:nvSpPr>
            <xdr:cNvPr id="2051075" name="Button 3" hidden="1">
              <a:extLst>
                <a:ext uri="{63B3BB69-23CF-44E3-9099-C40C66FF867C}">
                  <a14:compatExt spid="_x0000_s20510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複製テスト</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104775</xdr:colOff>
          <xdr:row>14</xdr:row>
          <xdr:rowOff>190500</xdr:rowOff>
        </xdr:from>
        <xdr:to>
          <xdr:col>26</xdr:col>
          <xdr:colOff>47625</xdr:colOff>
          <xdr:row>16</xdr:row>
          <xdr:rowOff>19050</xdr:rowOff>
        </xdr:to>
        <xdr:sp macro="" textlink="">
          <xdr:nvSpPr>
            <xdr:cNvPr id="2057217" name="UNJC0190_H_FREEWD_AND" hidden="1">
              <a:extLst>
                <a:ext uri="{63B3BB69-23CF-44E3-9099-C40C66FF867C}">
                  <a14:compatExt spid="_x0000_s2057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14</xdr:row>
          <xdr:rowOff>190500</xdr:rowOff>
        </xdr:from>
        <xdr:to>
          <xdr:col>27</xdr:col>
          <xdr:colOff>190500</xdr:colOff>
          <xdr:row>16</xdr:row>
          <xdr:rowOff>19050</xdr:rowOff>
        </xdr:to>
        <xdr:sp macro="" textlink="">
          <xdr:nvSpPr>
            <xdr:cNvPr id="2057218" name="UNJC0190_H_FREEWD_OR" hidden="1">
              <a:extLst>
                <a:ext uri="{63B3BB69-23CF-44E3-9099-C40C66FF867C}">
                  <a14:compatExt spid="_x0000_s2057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171450</xdr:colOff>
          <xdr:row>14</xdr:row>
          <xdr:rowOff>190500</xdr:rowOff>
        </xdr:from>
        <xdr:to>
          <xdr:col>29</xdr:col>
          <xdr:colOff>161925</xdr:colOff>
          <xdr:row>16</xdr:row>
          <xdr:rowOff>19050</xdr:rowOff>
        </xdr:to>
        <xdr:sp macro="" textlink="">
          <xdr:nvSpPr>
            <xdr:cNvPr id="2057219" name="UNJC0190_H_FREEWD_NAND" hidden="1">
              <a:extLst>
                <a:ext uri="{63B3BB69-23CF-44E3-9099-C40C66FF867C}">
                  <a14:compatExt spid="_x0000_s2057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NAND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38100</xdr:rowOff>
        </xdr:from>
        <xdr:to>
          <xdr:col>1</xdr:col>
          <xdr:colOff>1038225</xdr:colOff>
          <xdr:row>1</xdr:row>
          <xdr:rowOff>9525</xdr:rowOff>
        </xdr:to>
        <xdr:sp macro="" textlink="">
          <xdr:nvSpPr>
            <xdr:cNvPr id="2057220" name="Button 4" hidden="1">
              <a:extLst>
                <a:ext uri="{63B3BB69-23CF-44E3-9099-C40C66FF867C}">
                  <a14:compatExt spid="_x0000_s20572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検索（仮）</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342900</xdr:colOff>
          <xdr:row>2</xdr:row>
          <xdr:rowOff>95250</xdr:rowOff>
        </xdr:from>
        <xdr:to>
          <xdr:col>34</xdr:col>
          <xdr:colOff>180975</xdr:colOff>
          <xdr:row>2</xdr:row>
          <xdr:rowOff>390525</xdr:rowOff>
        </xdr:to>
        <xdr:sp macro="" textlink="">
          <xdr:nvSpPr>
            <xdr:cNvPr id="2058241" name="Button 1" hidden="1">
              <a:extLst>
                <a:ext uri="{63B3BB69-23CF-44E3-9099-C40C66FF867C}">
                  <a14:compatExt spid="_x0000_s20582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レイアウト生成テスト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2</xdr:row>
          <xdr:rowOff>161925</xdr:rowOff>
        </xdr:from>
        <xdr:to>
          <xdr:col>37</xdr:col>
          <xdr:colOff>361950</xdr:colOff>
          <xdr:row>2</xdr:row>
          <xdr:rowOff>409575</xdr:rowOff>
        </xdr:to>
        <xdr:sp macro="" textlink="">
          <xdr:nvSpPr>
            <xdr:cNvPr id="2058242" name="Button 2" hidden="1">
              <a:extLst>
                <a:ext uri="{63B3BB69-23CF-44E3-9099-C40C66FF867C}">
                  <a14:compatExt spid="_x0000_s2058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ボディデータクリアテスト</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152400</xdr:colOff>
          <xdr:row>0</xdr:row>
          <xdr:rowOff>57150</xdr:rowOff>
        </xdr:from>
        <xdr:to>
          <xdr:col>7</xdr:col>
          <xdr:colOff>638175</xdr:colOff>
          <xdr:row>1</xdr:row>
          <xdr:rowOff>114300</xdr:rowOff>
        </xdr:to>
        <xdr:sp macro="" textlink="">
          <xdr:nvSpPr>
            <xdr:cNvPr id="2059265" name="Button 1" hidden="1">
              <a:extLst>
                <a:ext uri="{63B3BB69-23CF-44E3-9099-C40C66FF867C}">
                  <a14:compatExt spid="_x0000_s20592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1</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29</xdr:col>
          <xdr:colOff>66675</xdr:colOff>
          <xdr:row>17</xdr:row>
          <xdr:rowOff>190500</xdr:rowOff>
        </xdr:from>
        <xdr:to>
          <xdr:col>31</xdr:col>
          <xdr:colOff>9525</xdr:colOff>
          <xdr:row>18</xdr:row>
          <xdr:rowOff>200025</xdr:rowOff>
        </xdr:to>
        <xdr:sp macro="" textlink="">
          <xdr:nvSpPr>
            <xdr:cNvPr id="2103297" name="UNJC0190_H_FREEWD_AND" hidden="1">
              <a:extLst>
                <a:ext uri="{63B3BB69-23CF-44E3-9099-C40C66FF867C}">
                  <a14:compatExt spid="_x0000_s2103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276225</xdr:colOff>
          <xdr:row>17</xdr:row>
          <xdr:rowOff>190500</xdr:rowOff>
        </xdr:from>
        <xdr:to>
          <xdr:col>32</xdr:col>
          <xdr:colOff>152400</xdr:colOff>
          <xdr:row>18</xdr:row>
          <xdr:rowOff>200025</xdr:rowOff>
        </xdr:to>
        <xdr:sp macro="" textlink="">
          <xdr:nvSpPr>
            <xdr:cNvPr id="2103298" name="UNJC0190_H_FREEWD_OR" hidden="1">
              <a:extLst>
                <a:ext uri="{63B3BB69-23CF-44E3-9099-C40C66FF867C}">
                  <a14:compatExt spid="_x0000_s2103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133350</xdr:colOff>
          <xdr:row>17</xdr:row>
          <xdr:rowOff>190500</xdr:rowOff>
        </xdr:from>
        <xdr:to>
          <xdr:col>34</xdr:col>
          <xdr:colOff>123825</xdr:colOff>
          <xdr:row>18</xdr:row>
          <xdr:rowOff>200025</xdr:rowOff>
        </xdr:to>
        <xdr:sp macro="" textlink="">
          <xdr:nvSpPr>
            <xdr:cNvPr id="2103299" name="UNJC0190_H_FREEWD_NAND" hidden="1">
              <a:extLst>
                <a:ext uri="{63B3BB69-23CF-44E3-9099-C40C66FF867C}">
                  <a14:compatExt spid="_x0000_s2103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NAND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190500</xdr:colOff>
          <xdr:row>1</xdr:row>
          <xdr:rowOff>190500</xdr:rowOff>
        </xdr:from>
        <xdr:to>
          <xdr:col>30</xdr:col>
          <xdr:colOff>266700</xdr:colOff>
          <xdr:row>3</xdr:row>
          <xdr:rowOff>0</xdr:rowOff>
        </xdr:to>
        <xdr:sp macro="" textlink="">
          <xdr:nvSpPr>
            <xdr:cNvPr id="2103300" name="Check Box 4" hidden="1">
              <a:extLst>
                <a:ext uri="{63B3BB69-23CF-44E3-9099-C40C66FF867C}">
                  <a14:compatExt spid="_x0000_s2103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印刷済も表示</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28575</xdr:colOff>
          <xdr:row>5</xdr:row>
          <xdr:rowOff>38100</xdr:rowOff>
        </xdr:from>
        <xdr:to>
          <xdr:col>37</xdr:col>
          <xdr:colOff>228600</xdr:colOff>
          <xdr:row>5</xdr:row>
          <xdr:rowOff>190500</xdr:rowOff>
        </xdr:to>
        <xdr:sp macro="" textlink="">
          <xdr:nvSpPr>
            <xdr:cNvPr id="2104321" name="Check Box 1" hidden="1">
              <a:extLst>
                <a:ext uri="{63B3BB69-23CF-44E3-9099-C40C66FF867C}">
                  <a14:compatExt spid="_x0000_s2104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257175</xdr:colOff>
          <xdr:row>0</xdr:row>
          <xdr:rowOff>95250</xdr:rowOff>
        </xdr:from>
        <xdr:to>
          <xdr:col>42</xdr:col>
          <xdr:colOff>390525</xdr:colOff>
          <xdr:row>1</xdr:row>
          <xdr:rowOff>142875</xdr:rowOff>
        </xdr:to>
        <xdr:sp macro="" textlink="">
          <xdr:nvSpPr>
            <xdr:cNvPr id="2105345" name="Button 1" hidden="1">
              <a:extLst>
                <a:ext uri="{63B3BB69-23CF-44E3-9099-C40C66FF867C}">
                  <a14:compatExt spid="_x0000_s21053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ループ部作成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295275</xdr:colOff>
          <xdr:row>0</xdr:row>
          <xdr:rowOff>123825</xdr:rowOff>
        </xdr:from>
        <xdr:to>
          <xdr:col>53</xdr:col>
          <xdr:colOff>114300</xdr:colOff>
          <xdr:row>1</xdr:row>
          <xdr:rowOff>171450</xdr:rowOff>
        </xdr:to>
        <xdr:sp macro="" textlink="">
          <xdr:nvSpPr>
            <xdr:cNvPr id="2105346" name="Button 2" hidden="1">
              <a:extLst>
                <a:ext uri="{63B3BB69-23CF-44E3-9099-C40C66FF867C}">
                  <a14:compatExt spid="_x0000_s21053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レイアウト作成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152400</xdr:colOff>
          <xdr:row>12</xdr:row>
          <xdr:rowOff>142875</xdr:rowOff>
        </xdr:from>
        <xdr:to>
          <xdr:col>40</xdr:col>
          <xdr:colOff>323850</xdr:colOff>
          <xdr:row>13</xdr:row>
          <xdr:rowOff>190500</xdr:rowOff>
        </xdr:to>
        <xdr:sp macro="" textlink="">
          <xdr:nvSpPr>
            <xdr:cNvPr id="2105348" name="Button 4" hidden="1">
              <a:extLst>
                <a:ext uri="{63B3BB69-23CF-44E3-9099-C40C66FF867C}">
                  <a14:compatExt spid="_x0000_s21053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クリア</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676275</xdr:colOff>
          <xdr:row>13</xdr:row>
          <xdr:rowOff>47625</xdr:rowOff>
        </xdr:from>
        <xdr:to>
          <xdr:col>2</xdr:col>
          <xdr:colOff>1619250</xdr:colOff>
          <xdr:row>14</xdr:row>
          <xdr:rowOff>142875</xdr:rowOff>
        </xdr:to>
        <xdr:sp macro="" textlink="">
          <xdr:nvSpPr>
            <xdr:cNvPr id="2111489" name="Button 1" hidden="1">
              <a:extLst>
                <a:ext uri="{63B3BB69-23CF-44E3-9099-C40C66FF867C}">
                  <a14:compatExt spid="_x0000_s21114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検索テスト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228600</xdr:colOff>
          <xdr:row>12</xdr:row>
          <xdr:rowOff>228600</xdr:rowOff>
        </xdr:from>
        <xdr:to>
          <xdr:col>12</xdr:col>
          <xdr:colOff>742950</xdr:colOff>
          <xdr:row>14</xdr:row>
          <xdr:rowOff>57150</xdr:rowOff>
        </xdr:to>
        <xdr:sp macro="" textlink="">
          <xdr:nvSpPr>
            <xdr:cNvPr id="2111490" name="Option Button 2" hidden="1">
              <a:extLst>
                <a:ext uri="{63B3BB69-23CF-44E3-9099-C40C66FF867C}">
                  <a14:compatExt spid="_x0000_s21114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771525</xdr:colOff>
          <xdr:row>13</xdr:row>
          <xdr:rowOff>0</xdr:rowOff>
        </xdr:from>
        <xdr:to>
          <xdr:col>12</xdr:col>
          <xdr:colOff>1190625</xdr:colOff>
          <xdr:row>14</xdr:row>
          <xdr:rowOff>38100</xdr:rowOff>
        </xdr:to>
        <xdr:sp macro="" textlink="">
          <xdr:nvSpPr>
            <xdr:cNvPr id="2111491" name="Option Button 3" hidden="1">
              <a:extLst>
                <a:ext uri="{63B3BB69-23CF-44E3-9099-C40C66FF867C}">
                  <a14:compatExt spid="_x0000_s21114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1228725</xdr:colOff>
          <xdr:row>12</xdr:row>
          <xdr:rowOff>200025</xdr:rowOff>
        </xdr:from>
        <xdr:to>
          <xdr:col>13</xdr:col>
          <xdr:colOff>76200</xdr:colOff>
          <xdr:row>14</xdr:row>
          <xdr:rowOff>38100</xdr:rowOff>
        </xdr:to>
        <xdr:sp macro="" textlink="">
          <xdr:nvSpPr>
            <xdr:cNvPr id="2111492" name="Option Button 4" hidden="1">
              <a:extLst>
                <a:ext uri="{63B3BB69-23CF-44E3-9099-C40C66FF867C}">
                  <a14:compatExt spid="_x0000_s21114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NAND</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676275</xdr:colOff>
          <xdr:row>13</xdr:row>
          <xdr:rowOff>47625</xdr:rowOff>
        </xdr:from>
        <xdr:to>
          <xdr:col>2</xdr:col>
          <xdr:colOff>1619250</xdr:colOff>
          <xdr:row>14</xdr:row>
          <xdr:rowOff>142875</xdr:rowOff>
        </xdr:to>
        <xdr:sp macro="" textlink="">
          <xdr:nvSpPr>
            <xdr:cNvPr id="2112513" name="Button 1" hidden="1">
              <a:extLst>
                <a:ext uri="{63B3BB69-23CF-44E3-9099-C40C66FF867C}">
                  <a14:compatExt spid="_x0000_s21125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検索テスト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228600</xdr:colOff>
          <xdr:row>9</xdr:row>
          <xdr:rowOff>228600</xdr:rowOff>
        </xdr:from>
        <xdr:to>
          <xdr:col>14</xdr:col>
          <xdr:colOff>228600</xdr:colOff>
          <xdr:row>11</xdr:row>
          <xdr:rowOff>57150</xdr:rowOff>
        </xdr:to>
        <xdr:sp macro="" textlink="">
          <xdr:nvSpPr>
            <xdr:cNvPr id="2112514" name="Option Button 2" hidden="1">
              <a:extLst>
                <a:ext uri="{63B3BB69-23CF-44E3-9099-C40C66FF867C}">
                  <a14:compatExt spid="_x0000_s2112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10</xdr:row>
          <xdr:rowOff>0</xdr:rowOff>
        </xdr:from>
        <xdr:to>
          <xdr:col>16</xdr:col>
          <xdr:colOff>190500</xdr:colOff>
          <xdr:row>11</xdr:row>
          <xdr:rowOff>38100</xdr:rowOff>
        </xdr:to>
        <xdr:sp macro="" textlink="">
          <xdr:nvSpPr>
            <xdr:cNvPr id="2112515" name="Option Button 3" hidden="1">
              <a:extLst>
                <a:ext uri="{63B3BB69-23CF-44E3-9099-C40C66FF867C}">
                  <a14:compatExt spid="_x0000_s21125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10</xdr:row>
          <xdr:rowOff>0</xdr:rowOff>
        </xdr:from>
        <xdr:to>
          <xdr:col>19</xdr:col>
          <xdr:colOff>85725</xdr:colOff>
          <xdr:row>11</xdr:row>
          <xdr:rowOff>47625</xdr:rowOff>
        </xdr:to>
        <xdr:sp macro="" textlink="">
          <xdr:nvSpPr>
            <xdr:cNvPr id="2112516" name="Option Button 4" hidden="1">
              <a:extLst>
                <a:ext uri="{63B3BB69-23CF-44E3-9099-C40C66FF867C}">
                  <a14:compatExt spid="_x0000_s21125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NAND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238125</xdr:colOff>
          <xdr:row>8</xdr:row>
          <xdr:rowOff>76200</xdr:rowOff>
        </xdr:from>
        <xdr:to>
          <xdr:col>16</xdr:col>
          <xdr:colOff>19050</xdr:colOff>
          <xdr:row>9</xdr:row>
          <xdr:rowOff>38100</xdr:rowOff>
        </xdr:to>
        <xdr:sp macro="" textlink="">
          <xdr:nvSpPr>
            <xdr:cNvPr id="2112517" name="Check Box 5" hidden="1">
              <a:extLst>
                <a:ext uri="{63B3BB69-23CF-44E3-9099-C40C66FF867C}">
                  <a14:compatExt spid="_x0000_s21125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毒劇物のみ</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xdr:colOff>
          <xdr:row>2</xdr:row>
          <xdr:rowOff>19050</xdr:rowOff>
        </xdr:from>
        <xdr:to>
          <xdr:col>11</xdr:col>
          <xdr:colOff>838200</xdr:colOff>
          <xdr:row>2</xdr:row>
          <xdr:rowOff>190500</xdr:rowOff>
        </xdr:to>
        <xdr:sp macro="" textlink="">
          <xdr:nvSpPr>
            <xdr:cNvPr id="1810433" name="Check Box 1" hidden="1">
              <a:extLst>
                <a:ext uri="{63B3BB69-23CF-44E3-9099-C40C66FF867C}">
                  <a14:compatExt spid="_x0000_s18104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製造(在庫有)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xdr:row>
          <xdr:rowOff>19050</xdr:rowOff>
        </xdr:from>
        <xdr:to>
          <xdr:col>13</xdr:col>
          <xdr:colOff>657225</xdr:colOff>
          <xdr:row>2</xdr:row>
          <xdr:rowOff>180975</xdr:rowOff>
        </xdr:to>
        <xdr:sp macro="" textlink="">
          <xdr:nvSpPr>
            <xdr:cNvPr id="1810434" name="Check Box 2" hidden="1">
              <a:extLst>
                <a:ext uri="{63B3BB69-23CF-44E3-9099-C40C66FF867C}">
                  <a14:compatExt spid="_x0000_s18104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製造(在庫無)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xdr:row>
          <xdr:rowOff>19050</xdr:rowOff>
        </xdr:from>
        <xdr:to>
          <xdr:col>15</xdr:col>
          <xdr:colOff>619125</xdr:colOff>
          <xdr:row>2</xdr:row>
          <xdr:rowOff>180975</xdr:rowOff>
        </xdr:to>
        <xdr:sp macro="" textlink="">
          <xdr:nvSpPr>
            <xdr:cNvPr id="1810435" name="Check Box 3" hidden="1">
              <a:extLst>
                <a:ext uri="{63B3BB69-23CF-44E3-9099-C40C66FF867C}">
                  <a14:compatExt spid="_x0000_s18104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OEM・代理店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2</xdr:row>
          <xdr:rowOff>19050</xdr:rowOff>
        </xdr:from>
        <xdr:to>
          <xdr:col>17</xdr:col>
          <xdr:colOff>257175</xdr:colOff>
          <xdr:row>2</xdr:row>
          <xdr:rowOff>180975</xdr:rowOff>
        </xdr:to>
        <xdr:sp macro="" textlink="">
          <xdr:nvSpPr>
            <xdr:cNvPr id="1810436" name="Check Box 4" hidden="1">
              <a:extLst>
                <a:ext uri="{63B3BB69-23CF-44E3-9099-C40C66FF867C}">
                  <a14:compatExt spid="_x0000_s18104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工事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800100</xdr:colOff>
          <xdr:row>2</xdr:row>
          <xdr:rowOff>19050</xdr:rowOff>
        </xdr:from>
        <xdr:to>
          <xdr:col>19</xdr:col>
          <xdr:colOff>66675</xdr:colOff>
          <xdr:row>2</xdr:row>
          <xdr:rowOff>180975</xdr:rowOff>
        </xdr:to>
        <xdr:sp macro="" textlink="">
          <xdr:nvSpPr>
            <xdr:cNvPr id="1810437" name="Check Box 5" hidden="1">
              <a:extLst>
                <a:ext uri="{63B3BB69-23CF-44E3-9099-C40C66FF867C}">
                  <a14:compatExt spid="_x0000_s18104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機械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3</xdr:row>
          <xdr:rowOff>19050</xdr:rowOff>
        </xdr:from>
        <xdr:to>
          <xdr:col>11</xdr:col>
          <xdr:colOff>857250</xdr:colOff>
          <xdr:row>3</xdr:row>
          <xdr:rowOff>190500</xdr:rowOff>
        </xdr:to>
        <xdr:sp macro="" textlink="">
          <xdr:nvSpPr>
            <xdr:cNvPr id="1810438" name="Check Box 6" hidden="1">
              <a:extLst>
                <a:ext uri="{63B3BB69-23CF-44E3-9099-C40C66FF867C}">
                  <a14:compatExt spid="_x0000_s18104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処理未</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xdr:row>
          <xdr:rowOff>19050</xdr:rowOff>
        </xdr:from>
        <xdr:to>
          <xdr:col>13</xdr:col>
          <xdr:colOff>723900</xdr:colOff>
          <xdr:row>3</xdr:row>
          <xdr:rowOff>180975</xdr:rowOff>
        </xdr:to>
        <xdr:sp macro="" textlink="">
          <xdr:nvSpPr>
            <xdr:cNvPr id="1810439" name="Check Box 7" hidden="1">
              <a:extLst>
                <a:ext uri="{63B3BB69-23CF-44E3-9099-C40C66FF867C}">
                  <a14:compatExt spid="_x0000_s18104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出荷準備完了</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238125</xdr:colOff>
          <xdr:row>5</xdr:row>
          <xdr:rowOff>19050</xdr:rowOff>
        </xdr:from>
        <xdr:to>
          <xdr:col>22</xdr:col>
          <xdr:colOff>723900</xdr:colOff>
          <xdr:row>5</xdr:row>
          <xdr:rowOff>190500</xdr:rowOff>
        </xdr:to>
        <xdr:sp macro="" textlink="">
          <xdr:nvSpPr>
            <xdr:cNvPr id="1810440" name="Check Box 8" hidden="1">
              <a:extLst>
                <a:ext uri="{63B3BB69-23CF-44E3-9099-C40C66FF867C}">
                  <a14:compatExt spid="_x0000_s18104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161925</xdr:colOff>
          <xdr:row>14</xdr:row>
          <xdr:rowOff>171450</xdr:rowOff>
        </xdr:from>
        <xdr:to>
          <xdr:col>22</xdr:col>
          <xdr:colOff>609600</xdr:colOff>
          <xdr:row>16</xdr:row>
          <xdr:rowOff>0</xdr:rowOff>
        </xdr:to>
        <xdr:sp macro="" textlink="">
          <xdr:nvSpPr>
            <xdr:cNvPr id="1810441" name="Check Box 9" hidden="1">
              <a:extLst>
                <a:ext uri="{63B3BB69-23CF-44E3-9099-C40C66FF867C}">
                  <a14:compatExt spid="_x0000_s18104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削除済みも表示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14</xdr:row>
          <xdr:rowOff>180975</xdr:rowOff>
        </xdr:from>
        <xdr:to>
          <xdr:col>17</xdr:col>
          <xdr:colOff>361950</xdr:colOff>
          <xdr:row>16</xdr:row>
          <xdr:rowOff>9525</xdr:rowOff>
        </xdr:to>
        <xdr:sp macro="" textlink="">
          <xdr:nvSpPr>
            <xdr:cNvPr id="1810442" name="Option Button 10" hidden="1">
              <a:extLst>
                <a:ext uri="{63B3BB69-23CF-44E3-9099-C40C66FF867C}">
                  <a14:compatExt spid="_x0000_s18104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285750</xdr:colOff>
          <xdr:row>14</xdr:row>
          <xdr:rowOff>180975</xdr:rowOff>
        </xdr:from>
        <xdr:to>
          <xdr:col>17</xdr:col>
          <xdr:colOff>857250</xdr:colOff>
          <xdr:row>16</xdr:row>
          <xdr:rowOff>9525</xdr:rowOff>
        </xdr:to>
        <xdr:sp macro="" textlink="">
          <xdr:nvSpPr>
            <xdr:cNvPr id="1810443" name="Option Button 11" hidden="1">
              <a:extLst>
                <a:ext uri="{63B3BB69-23CF-44E3-9099-C40C66FF867C}">
                  <a14:compatExt spid="_x0000_s18104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695325</xdr:colOff>
          <xdr:row>14</xdr:row>
          <xdr:rowOff>180975</xdr:rowOff>
        </xdr:from>
        <xdr:to>
          <xdr:col>19</xdr:col>
          <xdr:colOff>19050</xdr:colOff>
          <xdr:row>16</xdr:row>
          <xdr:rowOff>9525</xdr:rowOff>
        </xdr:to>
        <xdr:sp macro="" textlink="">
          <xdr:nvSpPr>
            <xdr:cNvPr id="1810444" name="Option Button 12" hidden="1">
              <a:extLst>
                <a:ext uri="{63B3BB69-23CF-44E3-9099-C40C66FF867C}">
                  <a14:compatExt spid="_x0000_s18104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cs typeface="Meiryo UI"/>
                </a:rPr>
                <a:t>NAND</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847725</xdr:colOff>
          <xdr:row>12</xdr:row>
          <xdr:rowOff>190500</xdr:rowOff>
        </xdr:from>
        <xdr:to>
          <xdr:col>17</xdr:col>
          <xdr:colOff>238125</xdr:colOff>
          <xdr:row>14</xdr:row>
          <xdr:rowOff>9525</xdr:rowOff>
        </xdr:to>
        <xdr:sp macro="" textlink="">
          <xdr:nvSpPr>
            <xdr:cNvPr id="1880065" name="Check Box 1" hidden="1">
              <a:extLst>
                <a:ext uri="{63B3BB69-23CF-44E3-9099-C40C66FF867C}">
                  <a14:compatExt spid="_x0000_s1880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2</xdr:col>
      <xdr:colOff>2552700</xdr:colOff>
      <xdr:row>1</xdr:row>
      <xdr:rowOff>85725</xdr:rowOff>
    </xdr:from>
    <xdr:to>
      <xdr:col>3</xdr:col>
      <xdr:colOff>461399</xdr:colOff>
      <xdr:row>6</xdr:row>
      <xdr:rowOff>101414</xdr:rowOff>
    </xdr:to>
    <xdr:grpSp>
      <xdr:nvGrpSpPr>
        <xdr:cNvPr id="12" name="グループ化 11"/>
        <xdr:cNvGrpSpPr/>
      </xdr:nvGrpSpPr>
      <xdr:grpSpPr>
        <a:xfrm>
          <a:off x="4484914" y="507546"/>
          <a:ext cx="2684806" cy="1294761"/>
          <a:chOff x="4495800" y="2257425"/>
          <a:chExt cx="2680724" cy="1311089"/>
        </a:xfrm>
      </xdr:grpSpPr>
      <xdr:sp macro="" textlink="">
        <xdr:nvSpPr>
          <xdr:cNvPr id="13" name="正方形/長方形 12"/>
          <xdr:cNvSpPr/>
        </xdr:nvSpPr>
        <xdr:spPr>
          <a:xfrm>
            <a:off x="4495800" y="3068969"/>
            <a:ext cx="2680724" cy="499545"/>
          </a:xfrm>
          <a:prstGeom prst="rect">
            <a:avLst/>
          </a:prstGeom>
          <a:noFill/>
          <a:ln>
            <a:noFill/>
          </a:ln>
          <a:effectLst/>
        </xdr:spPr>
        <xdr:style>
          <a:lnRef idx="1">
            <a:schemeClr val="accent5"/>
          </a:lnRef>
          <a:fillRef idx="2">
            <a:schemeClr val="accent5"/>
          </a:fillRef>
          <a:effectRef idx="1">
            <a:schemeClr val="accent5"/>
          </a:effectRef>
          <a:fontRef idx="minor">
            <a:schemeClr val="dk1"/>
          </a:fontRef>
        </xdr:style>
        <xdr:txBody>
          <a:bodyPr vertOverflow="overflow" horzOverflow="overflow" rtlCol="0" anchor="ctr"/>
          <a:lstStyle/>
          <a:p>
            <a:pPr algn="l"/>
            <a:r>
              <a:rPr lang="ja-JP" altLang="en-US" sz="8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a:t>
            </a:r>
            <a:r>
              <a:rPr lang="en-US" altLang="ja-JP" sz="8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456-0034</a:t>
            </a:r>
          </a:p>
          <a:p>
            <a:pPr algn="l"/>
            <a:r>
              <a:rPr lang="ja-JP" altLang="en-US" sz="1000">
                <a:latin typeface="HGS明朝E" panose="02020900000000000000" pitchFamily="18" charset="-128"/>
                <a:ea typeface="HGS明朝E" panose="02020900000000000000" pitchFamily="18" charset="-128"/>
                <a:cs typeface="メイリオ" panose="020B0604030504040204" pitchFamily="50" charset="-128"/>
              </a:rPr>
              <a:t>名古屋市熱田区伝馬一丁目１１番１号</a:t>
            </a:r>
            <a:endParaRPr lang="en-US" altLang="ja-JP" sz="1000">
              <a:latin typeface="HGS明朝E" panose="02020900000000000000" pitchFamily="18" charset="-128"/>
              <a:ea typeface="HGS明朝E" panose="02020900000000000000" pitchFamily="18" charset="-128"/>
              <a:cs typeface="メイリオ" panose="020B0604030504040204" pitchFamily="50" charset="-128"/>
            </a:endParaRPr>
          </a:p>
          <a:p>
            <a:pPr algn="l"/>
            <a:r>
              <a:rPr lang="en-US" altLang="ja-JP" sz="700">
                <a:latin typeface="HGS明朝E" panose="02020900000000000000" pitchFamily="18" charset="-128"/>
                <a:ea typeface="HGS明朝E" panose="02020900000000000000" pitchFamily="18" charset="-128"/>
                <a:cs typeface="メイリオ" panose="020B0604030504040204" pitchFamily="50" charset="-128"/>
              </a:rPr>
              <a:t>TEL</a:t>
            </a:r>
            <a:r>
              <a:rPr lang="ja-JP" altLang="en-US" sz="700">
                <a:latin typeface="HGS明朝E" panose="02020900000000000000" pitchFamily="18" charset="-128"/>
                <a:ea typeface="HGS明朝E" panose="02020900000000000000" pitchFamily="18" charset="-128"/>
                <a:cs typeface="メイリオ" panose="020B0604030504040204" pitchFamily="50" charset="-128"/>
              </a:rPr>
              <a:t>：</a:t>
            </a:r>
            <a:r>
              <a:rPr lang="en-US" altLang="ja-JP" sz="700">
                <a:latin typeface="HGS明朝E" panose="02020900000000000000" pitchFamily="18" charset="-128"/>
                <a:ea typeface="HGS明朝E" panose="02020900000000000000" pitchFamily="18" charset="-128"/>
                <a:cs typeface="メイリオ" panose="020B0604030504040204" pitchFamily="50" charset="-128"/>
              </a:rPr>
              <a:t>052-682-5069</a:t>
            </a:r>
            <a:r>
              <a:rPr lang="ja-JP" altLang="en-US" sz="700" baseline="0">
                <a:latin typeface="HGS明朝E" panose="02020900000000000000" pitchFamily="18" charset="-128"/>
                <a:ea typeface="HGS明朝E" panose="02020900000000000000" pitchFamily="18" charset="-128"/>
                <a:cs typeface="メイリオ" panose="020B0604030504040204" pitchFamily="50" charset="-128"/>
              </a:rPr>
              <a:t>    </a:t>
            </a:r>
            <a:r>
              <a:rPr lang="en-US" altLang="ja-JP" sz="700">
                <a:latin typeface="HGS明朝E" panose="02020900000000000000" pitchFamily="18" charset="-128"/>
                <a:ea typeface="HGS明朝E" panose="02020900000000000000" pitchFamily="18" charset="-128"/>
                <a:cs typeface="メイリオ" panose="020B0604030504040204" pitchFamily="50" charset="-128"/>
              </a:rPr>
              <a:t>FAX</a:t>
            </a:r>
            <a:r>
              <a:rPr lang="ja-JP" altLang="en-US" sz="700">
                <a:latin typeface="HGS明朝E" panose="02020900000000000000" pitchFamily="18" charset="-128"/>
                <a:ea typeface="HGS明朝E" panose="02020900000000000000" pitchFamily="18" charset="-128"/>
                <a:cs typeface="メイリオ" panose="020B0604030504040204" pitchFamily="50" charset="-128"/>
              </a:rPr>
              <a:t>：</a:t>
            </a:r>
            <a:r>
              <a:rPr lang="en-US" altLang="ja-JP" sz="700">
                <a:latin typeface="HGS明朝E" panose="02020900000000000000" pitchFamily="18" charset="-128"/>
                <a:ea typeface="HGS明朝E" panose="02020900000000000000" pitchFamily="18" charset="-128"/>
                <a:cs typeface="メイリオ" panose="020B0604030504040204" pitchFamily="50" charset="-128"/>
              </a:rPr>
              <a:t>052-681-8646</a:t>
            </a:r>
            <a:endParaRPr kumimoji="1" lang="ja-JP" altLang="en-US" sz="7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endParaRPr>
          </a:p>
        </xdr:txBody>
      </xdr:sp>
      <xdr:pic>
        <xdr:nvPicPr>
          <xdr:cNvPr id="14" name="図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44277" y="2737282"/>
            <a:ext cx="2079300" cy="352476"/>
          </a:xfrm>
          <a:prstGeom prst="rect">
            <a:avLst/>
          </a:prstGeom>
        </xdr:spPr>
      </xdr:pic>
      <xdr:sp macro="" textlink="">
        <xdr:nvSpPr>
          <xdr:cNvPr id="15" name="正方形/長方形 14"/>
          <xdr:cNvSpPr/>
        </xdr:nvSpPr>
        <xdr:spPr>
          <a:xfrm>
            <a:off x="4527705" y="2257425"/>
            <a:ext cx="2626427" cy="507914"/>
          </a:xfrm>
          <a:prstGeom prst="rect">
            <a:avLst/>
          </a:prstGeom>
          <a:noFill/>
          <a:ln>
            <a:noFill/>
          </a:ln>
          <a:effectLst/>
        </xdr:spPr>
        <xdr:style>
          <a:lnRef idx="1">
            <a:schemeClr val="accent5"/>
          </a:lnRef>
          <a:fillRef idx="2">
            <a:schemeClr val="accent5"/>
          </a:fillRef>
          <a:effectRef idx="1">
            <a:schemeClr val="accent5"/>
          </a:effectRef>
          <a:fontRef idx="minor">
            <a:schemeClr val="dk1"/>
          </a:fontRef>
        </xdr:style>
        <xdr:txBody>
          <a:bodyPr vertOverflow="overflow" horzOverflow="overflow" rtlCol="0" anchor="ctr"/>
          <a:lstStyle/>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理化学分析・試験・調査・受託研究</a:t>
            </a:r>
            <a:endParaRPr kumimoji="1" lang="en-US" altLang="ja-JP"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endParaRPr>
          </a:p>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環境</a:t>
            </a:r>
            <a:r>
              <a:rPr kumimoji="1" lang="ja-JP" altLang="en-US" sz="9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計量</a:t>
            </a: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証明事業所・作業環境測定機関</a:t>
            </a:r>
            <a:endParaRPr kumimoji="1" lang="en-US" altLang="ja-JP"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endParaRPr>
          </a:p>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厚生省指定飲料水水質検査機関</a:t>
            </a:r>
          </a:p>
        </xdr:txBody>
      </xdr:sp>
    </xdr:grpSp>
    <xdr:clientData/>
  </xdr:twoCellAnchor>
  <xdr:twoCellAnchor>
    <xdr:from>
      <xdr:col>2</xdr:col>
      <xdr:colOff>2562225</xdr:colOff>
      <xdr:row>18</xdr:row>
      <xdr:rowOff>104775</xdr:rowOff>
    </xdr:from>
    <xdr:to>
      <xdr:col>3</xdr:col>
      <xdr:colOff>470924</xdr:colOff>
      <xdr:row>23</xdr:row>
      <xdr:rowOff>139514</xdr:rowOff>
    </xdr:to>
    <xdr:grpSp>
      <xdr:nvGrpSpPr>
        <xdr:cNvPr id="16" name="グループ化 15"/>
        <xdr:cNvGrpSpPr/>
      </xdr:nvGrpSpPr>
      <xdr:grpSpPr>
        <a:xfrm>
          <a:off x="4494439" y="6296025"/>
          <a:ext cx="2684806" cy="1300203"/>
          <a:chOff x="4549719" y="6258485"/>
          <a:chExt cx="2683126" cy="1299082"/>
        </a:xfrm>
      </xdr:grpSpPr>
      <xdr:sp macro="" textlink="">
        <xdr:nvSpPr>
          <xdr:cNvPr id="17" name="正方形/長方形 16"/>
          <xdr:cNvSpPr/>
        </xdr:nvSpPr>
        <xdr:spPr>
          <a:xfrm>
            <a:off x="4549719" y="7062597"/>
            <a:ext cx="2683126" cy="494970"/>
          </a:xfrm>
          <a:prstGeom prst="rect">
            <a:avLst/>
          </a:prstGeom>
          <a:noFill/>
          <a:ln>
            <a:noFill/>
          </a:ln>
          <a:effectLst/>
        </xdr:spPr>
        <xdr:style>
          <a:lnRef idx="1">
            <a:schemeClr val="accent5"/>
          </a:lnRef>
          <a:fillRef idx="2">
            <a:schemeClr val="accent5"/>
          </a:fillRef>
          <a:effectRef idx="1">
            <a:schemeClr val="accent5"/>
          </a:effectRef>
          <a:fontRef idx="minor">
            <a:schemeClr val="dk1"/>
          </a:fontRef>
        </xdr:style>
        <xdr:txBody>
          <a:bodyPr vertOverflow="overflow" horzOverflow="overflow" rtlCol="0" anchor="ctr"/>
          <a:lstStyle/>
          <a:p>
            <a:pPr algn="l"/>
            <a:r>
              <a:rPr lang="ja-JP" altLang="en-US" sz="8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a:t>
            </a:r>
            <a:r>
              <a:rPr lang="en-US" altLang="ja-JP" sz="8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456-0034</a:t>
            </a:r>
          </a:p>
          <a:p>
            <a:pPr algn="l"/>
            <a:r>
              <a:rPr lang="ja-JP" altLang="en-US" sz="1000">
                <a:latin typeface="HGS明朝E" panose="02020900000000000000" pitchFamily="18" charset="-128"/>
                <a:ea typeface="HGS明朝E" panose="02020900000000000000" pitchFamily="18" charset="-128"/>
                <a:cs typeface="メイリオ" panose="020B0604030504040204" pitchFamily="50" charset="-128"/>
              </a:rPr>
              <a:t>名古屋市熱田区伝馬一丁目１１番１号</a:t>
            </a:r>
            <a:endParaRPr lang="en-US" altLang="ja-JP" sz="1000">
              <a:latin typeface="HGS明朝E" panose="02020900000000000000" pitchFamily="18" charset="-128"/>
              <a:ea typeface="HGS明朝E" panose="02020900000000000000" pitchFamily="18" charset="-128"/>
              <a:cs typeface="メイリオ" panose="020B0604030504040204" pitchFamily="50" charset="-128"/>
            </a:endParaRPr>
          </a:p>
          <a:p>
            <a:pPr algn="l"/>
            <a:r>
              <a:rPr lang="en-US" altLang="ja-JP" sz="700">
                <a:latin typeface="HGS明朝E" panose="02020900000000000000" pitchFamily="18" charset="-128"/>
                <a:ea typeface="HGS明朝E" panose="02020900000000000000" pitchFamily="18" charset="-128"/>
                <a:cs typeface="メイリオ" panose="020B0604030504040204" pitchFamily="50" charset="-128"/>
              </a:rPr>
              <a:t>TEL</a:t>
            </a:r>
            <a:r>
              <a:rPr lang="ja-JP" altLang="en-US" sz="700">
                <a:latin typeface="HGS明朝E" panose="02020900000000000000" pitchFamily="18" charset="-128"/>
                <a:ea typeface="HGS明朝E" panose="02020900000000000000" pitchFamily="18" charset="-128"/>
                <a:cs typeface="メイリオ" panose="020B0604030504040204" pitchFamily="50" charset="-128"/>
              </a:rPr>
              <a:t>：</a:t>
            </a:r>
            <a:r>
              <a:rPr lang="en-US" altLang="ja-JP" sz="700">
                <a:latin typeface="HGS明朝E" panose="02020900000000000000" pitchFamily="18" charset="-128"/>
                <a:ea typeface="HGS明朝E" panose="02020900000000000000" pitchFamily="18" charset="-128"/>
                <a:cs typeface="メイリオ" panose="020B0604030504040204" pitchFamily="50" charset="-128"/>
              </a:rPr>
              <a:t>052-682-5069</a:t>
            </a:r>
            <a:r>
              <a:rPr lang="ja-JP" altLang="en-US" sz="700" baseline="0">
                <a:latin typeface="HGS明朝E" panose="02020900000000000000" pitchFamily="18" charset="-128"/>
                <a:ea typeface="HGS明朝E" panose="02020900000000000000" pitchFamily="18" charset="-128"/>
                <a:cs typeface="メイリオ" panose="020B0604030504040204" pitchFamily="50" charset="-128"/>
              </a:rPr>
              <a:t>    </a:t>
            </a:r>
            <a:r>
              <a:rPr lang="en-US" altLang="ja-JP" sz="700">
                <a:latin typeface="HGS明朝E" panose="02020900000000000000" pitchFamily="18" charset="-128"/>
                <a:ea typeface="HGS明朝E" panose="02020900000000000000" pitchFamily="18" charset="-128"/>
                <a:cs typeface="メイリオ" panose="020B0604030504040204" pitchFamily="50" charset="-128"/>
              </a:rPr>
              <a:t>FAX</a:t>
            </a:r>
            <a:r>
              <a:rPr lang="ja-JP" altLang="en-US" sz="700">
                <a:latin typeface="HGS明朝E" panose="02020900000000000000" pitchFamily="18" charset="-128"/>
                <a:ea typeface="HGS明朝E" panose="02020900000000000000" pitchFamily="18" charset="-128"/>
                <a:cs typeface="メイリオ" panose="020B0604030504040204" pitchFamily="50" charset="-128"/>
              </a:rPr>
              <a:t>：</a:t>
            </a:r>
            <a:r>
              <a:rPr lang="en-US" altLang="ja-JP" sz="700">
                <a:latin typeface="HGS明朝E" panose="02020900000000000000" pitchFamily="18" charset="-128"/>
                <a:ea typeface="HGS明朝E" panose="02020900000000000000" pitchFamily="18" charset="-128"/>
                <a:cs typeface="メイリオ" panose="020B0604030504040204" pitchFamily="50" charset="-128"/>
              </a:rPr>
              <a:t>052-681-8646</a:t>
            </a:r>
            <a:endParaRPr kumimoji="1" lang="ja-JP" altLang="en-US" sz="7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endParaRPr>
          </a:p>
        </xdr:txBody>
      </xdr:sp>
      <xdr:pic>
        <xdr:nvPicPr>
          <xdr:cNvPr id="18" name="図 1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8419" y="6733947"/>
            <a:ext cx="2081163" cy="349248"/>
          </a:xfrm>
          <a:prstGeom prst="rect">
            <a:avLst/>
          </a:prstGeom>
        </xdr:spPr>
      </xdr:pic>
      <xdr:sp macro="" textlink="">
        <xdr:nvSpPr>
          <xdr:cNvPr id="19" name="正方形/長方形 18"/>
          <xdr:cNvSpPr/>
        </xdr:nvSpPr>
        <xdr:spPr>
          <a:xfrm>
            <a:off x="4581653" y="6258485"/>
            <a:ext cx="2628780" cy="503263"/>
          </a:xfrm>
          <a:prstGeom prst="rect">
            <a:avLst/>
          </a:prstGeom>
          <a:noFill/>
          <a:ln>
            <a:noFill/>
          </a:ln>
          <a:effectLst/>
        </xdr:spPr>
        <xdr:style>
          <a:lnRef idx="1">
            <a:schemeClr val="accent5"/>
          </a:lnRef>
          <a:fillRef idx="2">
            <a:schemeClr val="accent5"/>
          </a:fillRef>
          <a:effectRef idx="1">
            <a:schemeClr val="accent5"/>
          </a:effectRef>
          <a:fontRef idx="minor">
            <a:schemeClr val="dk1"/>
          </a:fontRef>
        </xdr:style>
        <xdr:txBody>
          <a:bodyPr vertOverflow="overflow" horzOverflow="overflow" rtlCol="0" anchor="ctr"/>
          <a:lstStyle/>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理化学分析・試験・調査・受託研究</a:t>
            </a:r>
            <a:endParaRPr kumimoji="1" lang="en-US" altLang="ja-JP"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endParaRPr>
          </a:p>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環境</a:t>
            </a:r>
            <a:r>
              <a:rPr kumimoji="1" lang="ja-JP" altLang="en-US" sz="9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計量</a:t>
            </a: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証明事業所・作業環境測定機関</a:t>
            </a:r>
            <a:endParaRPr kumimoji="1" lang="en-US" altLang="ja-JP"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endParaRPr>
          </a:p>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厚生省指定飲料水水質検査機関</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2</xdr:col>
      <xdr:colOff>2552700</xdr:colOff>
      <xdr:row>11</xdr:row>
      <xdr:rowOff>85725</xdr:rowOff>
    </xdr:from>
    <xdr:to>
      <xdr:col>3</xdr:col>
      <xdr:colOff>461399</xdr:colOff>
      <xdr:row>16</xdr:row>
      <xdr:rowOff>101414</xdr:rowOff>
    </xdr:to>
    <xdr:grpSp>
      <xdr:nvGrpSpPr>
        <xdr:cNvPr id="2" name="グループ化 1"/>
        <xdr:cNvGrpSpPr/>
      </xdr:nvGrpSpPr>
      <xdr:grpSpPr>
        <a:xfrm>
          <a:off x="4495800" y="2257425"/>
          <a:ext cx="2680724" cy="1311089"/>
          <a:chOff x="4495800" y="2257425"/>
          <a:chExt cx="2680724" cy="1311089"/>
        </a:xfrm>
      </xdr:grpSpPr>
      <xdr:sp macro="" textlink="">
        <xdr:nvSpPr>
          <xdr:cNvPr id="14" name="正方形/長方形 13"/>
          <xdr:cNvSpPr/>
        </xdr:nvSpPr>
        <xdr:spPr>
          <a:xfrm>
            <a:off x="4495800" y="3068969"/>
            <a:ext cx="2680724" cy="499545"/>
          </a:xfrm>
          <a:prstGeom prst="rect">
            <a:avLst/>
          </a:prstGeom>
          <a:noFill/>
          <a:ln>
            <a:noFill/>
          </a:ln>
          <a:effectLst/>
        </xdr:spPr>
        <xdr:style>
          <a:lnRef idx="1">
            <a:schemeClr val="accent5"/>
          </a:lnRef>
          <a:fillRef idx="2">
            <a:schemeClr val="accent5"/>
          </a:fillRef>
          <a:effectRef idx="1">
            <a:schemeClr val="accent5"/>
          </a:effectRef>
          <a:fontRef idx="minor">
            <a:schemeClr val="dk1"/>
          </a:fontRef>
        </xdr:style>
        <xdr:txBody>
          <a:bodyPr vertOverflow="overflow" horzOverflow="overflow" rtlCol="0" anchor="ctr"/>
          <a:lstStyle/>
          <a:p>
            <a:pPr algn="l"/>
            <a:r>
              <a:rPr lang="ja-JP" altLang="en-US" sz="8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a:t>
            </a:r>
            <a:r>
              <a:rPr lang="en-US" altLang="ja-JP" sz="8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456-0034</a:t>
            </a:r>
          </a:p>
          <a:p>
            <a:pPr algn="l"/>
            <a:r>
              <a:rPr lang="ja-JP" altLang="en-US" sz="1000">
                <a:latin typeface="HGS明朝E" panose="02020900000000000000" pitchFamily="18" charset="-128"/>
                <a:ea typeface="HGS明朝E" panose="02020900000000000000" pitchFamily="18" charset="-128"/>
                <a:cs typeface="メイリオ" panose="020B0604030504040204" pitchFamily="50" charset="-128"/>
              </a:rPr>
              <a:t>名古屋市熱田区伝馬一丁目１１番１号</a:t>
            </a:r>
            <a:endParaRPr lang="en-US" altLang="ja-JP" sz="1000">
              <a:latin typeface="HGS明朝E" panose="02020900000000000000" pitchFamily="18" charset="-128"/>
              <a:ea typeface="HGS明朝E" panose="02020900000000000000" pitchFamily="18" charset="-128"/>
              <a:cs typeface="メイリオ" panose="020B0604030504040204" pitchFamily="50" charset="-128"/>
            </a:endParaRPr>
          </a:p>
          <a:p>
            <a:pPr algn="l"/>
            <a:r>
              <a:rPr lang="en-US" altLang="ja-JP" sz="700">
                <a:latin typeface="HGS明朝E" panose="02020900000000000000" pitchFamily="18" charset="-128"/>
                <a:ea typeface="HGS明朝E" panose="02020900000000000000" pitchFamily="18" charset="-128"/>
                <a:cs typeface="メイリオ" panose="020B0604030504040204" pitchFamily="50" charset="-128"/>
              </a:rPr>
              <a:t>TEL</a:t>
            </a:r>
            <a:r>
              <a:rPr lang="ja-JP" altLang="en-US" sz="700">
                <a:latin typeface="HGS明朝E" panose="02020900000000000000" pitchFamily="18" charset="-128"/>
                <a:ea typeface="HGS明朝E" panose="02020900000000000000" pitchFamily="18" charset="-128"/>
                <a:cs typeface="メイリオ" panose="020B0604030504040204" pitchFamily="50" charset="-128"/>
              </a:rPr>
              <a:t>：</a:t>
            </a:r>
            <a:r>
              <a:rPr lang="en-US" altLang="ja-JP" sz="700">
                <a:latin typeface="HGS明朝E" panose="02020900000000000000" pitchFamily="18" charset="-128"/>
                <a:ea typeface="HGS明朝E" panose="02020900000000000000" pitchFamily="18" charset="-128"/>
                <a:cs typeface="メイリオ" panose="020B0604030504040204" pitchFamily="50" charset="-128"/>
              </a:rPr>
              <a:t>052-682-5069</a:t>
            </a:r>
            <a:r>
              <a:rPr lang="ja-JP" altLang="en-US" sz="700" baseline="0">
                <a:latin typeface="HGS明朝E" panose="02020900000000000000" pitchFamily="18" charset="-128"/>
                <a:ea typeface="HGS明朝E" panose="02020900000000000000" pitchFamily="18" charset="-128"/>
                <a:cs typeface="メイリオ" panose="020B0604030504040204" pitchFamily="50" charset="-128"/>
              </a:rPr>
              <a:t>    </a:t>
            </a:r>
            <a:r>
              <a:rPr lang="en-US" altLang="ja-JP" sz="700">
                <a:latin typeface="HGS明朝E" panose="02020900000000000000" pitchFamily="18" charset="-128"/>
                <a:ea typeface="HGS明朝E" panose="02020900000000000000" pitchFamily="18" charset="-128"/>
                <a:cs typeface="メイリオ" panose="020B0604030504040204" pitchFamily="50" charset="-128"/>
              </a:rPr>
              <a:t>FAX</a:t>
            </a:r>
            <a:r>
              <a:rPr lang="ja-JP" altLang="en-US" sz="700">
                <a:latin typeface="HGS明朝E" panose="02020900000000000000" pitchFamily="18" charset="-128"/>
                <a:ea typeface="HGS明朝E" panose="02020900000000000000" pitchFamily="18" charset="-128"/>
                <a:cs typeface="メイリオ" panose="020B0604030504040204" pitchFamily="50" charset="-128"/>
              </a:rPr>
              <a:t>：</a:t>
            </a:r>
            <a:r>
              <a:rPr lang="en-US" altLang="ja-JP" sz="700">
                <a:latin typeface="HGS明朝E" panose="02020900000000000000" pitchFamily="18" charset="-128"/>
                <a:ea typeface="HGS明朝E" panose="02020900000000000000" pitchFamily="18" charset="-128"/>
                <a:cs typeface="メイリオ" panose="020B0604030504040204" pitchFamily="50" charset="-128"/>
              </a:rPr>
              <a:t>052-681-8646</a:t>
            </a:r>
            <a:endParaRPr kumimoji="1" lang="ja-JP" altLang="en-US" sz="7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endParaRPr>
          </a:p>
        </xdr:txBody>
      </xdr:sp>
      <xdr:pic>
        <xdr:nvPicPr>
          <xdr:cNvPr id="15" name="図 1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44277" y="2737282"/>
            <a:ext cx="2079300" cy="352476"/>
          </a:xfrm>
          <a:prstGeom prst="rect">
            <a:avLst/>
          </a:prstGeom>
        </xdr:spPr>
      </xdr:pic>
      <xdr:sp macro="" textlink="">
        <xdr:nvSpPr>
          <xdr:cNvPr id="16" name="正方形/長方形 15"/>
          <xdr:cNvSpPr/>
        </xdr:nvSpPr>
        <xdr:spPr>
          <a:xfrm>
            <a:off x="4527705" y="2257425"/>
            <a:ext cx="2626427" cy="507914"/>
          </a:xfrm>
          <a:prstGeom prst="rect">
            <a:avLst/>
          </a:prstGeom>
          <a:noFill/>
          <a:ln>
            <a:noFill/>
          </a:ln>
          <a:effectLst/>
        </xdr:spPr>
        <xdr:style>
          <a:lnRef idx="1">
            <a:schemeClr val="accent5"/>
          </a:lnRef>
          <a:fillRef idx="2">
            <a:schemeClr val="accent5"/>
          </a:fillRef>
          <a:effectRef idx="1">
            <a:schemeClr val="accent5"/>
          </a:effectRef>
          <a:fontRef idx="minor">
            <a:schemeClr val="dk1"/>
          </a:fontRef>
        </xdr:style>
        <xdr:txBody>
          <a:bodyPr vertOverflow="overflow" horzOverflow="overflow" rtlCol="0" anchor="ctr"/>
          <a:lstStyle/>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理化学分析・試験・調査・受託研究</a:t>
            </a:r>
            <a:endParaRPr kumimoji="1" lang="en-US" altLang="ja-JP"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endParaRPr>
          </a:p>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環境</a:t>
            </a:r>
            <a:r>
              <a:rPr kumimoji="1" lang="ja-JP" altLang="en-US" sz="9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計量</a:t>
            </a: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証明事業所・作業環境測定機関</a:t>
            </a:r>
            <a:endParaRPr kumimoji="1" lang="en-US" altLang="ja-JP"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endParaRPr>
          </a:p>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厚生省指定飲料水水質検査機関</a:t>
            </a:r>
          </a:p>
        </xdr:txBody>
      </xdr:sp>
    </xdr:grpSp>
    <xdr:clientData/>
  </xdr:twoCellAnchor>
  <xdr:twoCellAnchor>
    <xdr:from>
      <xdr:col>2</xdr:col>
      <xdr:colOff>2562225</xdr:colOff>
      <xdr:row>28</xdr:row>
      <xdr:rowOff>104775</xdr:rowOff>
    </xdr:from>
    <xdr:to>
      <xdr:col>3</xdr:col>
      <xdr:colOff>470924</xdr:colOff>
      <xdr:row>33</xdr:row>
      <xdr:rowOff>139514</xdr:rowOff>
    </xdr:to>
    <xdr:grpSp>
      <xdr:nvGrpSpPr>
        <xdr:cNvPr id="17" name="グループ化 16"/>
        <xdr:cNvGrpSpPr/>
      </xdr:nvGrpSpPr>
      <xdr:grpSpPr>
        <a:xfrm>
          <a:off x="4505325" y="8105775"/>
          <a:ext cx="2680724" cy="1311089"/>
          <a:chOff x="4549719" y="6258485"/>
          <a:chExt cx="2683126" cy="1299082"/>
        </a:xfrm>
      </xdr:grpSpPr>
      <xdr:sp macro="" textlink="">
        <xdr:nvSpPr>
          <xdr:cNvPr id="29" name="正方形/長方形 28"/>
          <xdr:cNvSpPr/>
        </xdr:nvSpPr>
        <xdr:spPr>
          <a:xfrm>
            <a:off x="4549719" y="7062597"/>
            <a:ext cx="2683126" cy="494970"/>
          </a:xfrm>
          <a:prstGeom prst="rect">
            <a:avLst/>
          </a:prstGeom>
          <a:noFill/>
          <a:ln>
            <a:noFill/>
          </a:ln>
          <a:effectLst/>
        </xdr:spPr>
        <xdr:style>
          <a:lnRef idx="1">
            <a:schemeClr val="accent5"/>
          </a:lnRef>
          <a:fillRef idx="2">
            <a:schemeClr val="accent5"/>
          </a:fillRef>
          <a:effectRef idx="1">
            <a:schemeClr val="accent5"/>
          </a:effectRef>
          <a:fontRef idx="minor">
            <a:schemeClr val="dk1"/>
          </a:fontRef>
        </xdr:style>
        <xdr:txBody>
          <a:bodyPr vertOverflow="overflow" horzOverflow="overflow" rtlCol="0" anchor="ctr"/>
          <a:lstStyle/>
          <a:p>
            <a:pPr algn="l"/>
            <a:r>
              <a:rPr lang="ja-JP" altLang="en-US" sz="8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a:t>
            </a:r>
            <a:r>
              <a:rPr lang="en-US" altLang="ja-JP" sz="8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456-0034</a:t>
            </a:r>
          </a:p>
          <a:p>
            <a:pPr algn="l"/>
            <a:r>
              <a:rPr lang="ja-JP" altLang="en-US" sz="1000">
                <a:latin typeface="HGS明朝E" panose="02020900000000000000" pitchFamily="18" charset="-128"/>
                <a:ea typeface="HGS明朝E" panose="02020900000000000000" pitchFamily="18" charset="-128"/>
                <a:cs typeface="メイリオ" panose="020B0604030504040204" pitchFamily="50" charset="-128"/>
              </a:rPr>
              <a:t>名古屋市熱田区伝馬一丁目１１番１号</a:t>
            </a:r>
            <a:endParaRPr lang="en-US" altLang="ja-JP" sz="1000">
              <a:latin typeface="HGS明朝E" panose="02020900000000000000" pitchFamily="18" charset="-128"/>
              <a:ea typeface="HGS明朝E" panose="02020900000000000000" pitchFamily="18" charset="-128"/>
              <a:cs typeface="メイリオ" panose="020B0604030504040204" pitchFamily="50" charset="-128"/>
            </a:endParaRPr>
          </a:p>
          <a:p>
            <a:pPr algn="l"/>
            <a:r>
              <a:rPr lang="en-US" altLang="ja-JP" sz="700">
                <a:latin typeface="HGS明朝E" panose="02020900000000000000" pitchFamily="18" charset="-128"/>
                <a:ea typeface="HGS明朝E" panose="02020900000000000000" pitchFamily="18" charset="-128"/>
                <a:cs typeface="メイリオ" panose="020B0604030504040204" pitchFamily="50" charset="-128"/>
              </a:rPr>
              <a:t>TEL</a:t>
            </a:r>
            <a:r>
              <a:rPr lang="ja-JP" altLang="en-US" sz="700">
                <a:latin typeface="HGS明朝E" panose="02020900000000000000" pitchFamily="18" charset="-128"/>
                <a:ea typeface="HGS明朝E" panose="02020900000000000000" pitchFamily="18" charset="-128"/>
                <a:cs typeface="メイリオ" panose="020B0604030504040204" pitchFamily="50" charset="-128"/>
              </a:rPr>
              <a:t>：</a:t>
            </a:r>
            <a:r>
              <a:rPr lang="en-US" altLang="ja-JP" sz="700">
                <a:latin typeface="HGS明朝E" panose="02020900000000000000" pitchFamily="18" charset="-128"/>
                <a:ea typeface="HGS明朝E" panose="02020900000000000000" pitchFamily="18" charset="-128"/>
                <a:cs typeface="メイリオ" panose="020B0604030504040204" pitchFamily="50" charset="-128"/>
              </a:rPr>
              <a:t>052-682-5069</a:t>
            </a:r>
            <a:r>
              <a:rPr lang="ja-JP" altLang="en-US" sz="700" baseline="0">
                <a:latin typeface="HGS明朝E" panose="02020900000000000000" pitchFamily="18" charset="-128"/>
                <a:ea typeface="HGS明朝E" panose="02020900000000000000" pitchFamily="18" charset="-128"/>
                <a:cs typeface="メイリオ" panose="020B0604030504040204" pitchFamily="50" charset="-128"/>
              </a:rPr>
              <a:t>    </a:t>
            </a:r>
            <a:r>
              <a:rPr lang="en-US" altLang="ja-JP" sz="700">
                <a:latin typeface="HGS明朝E" panose="02020900000000000000" pitchFamily="18" charset="-128"/>
                <a:ea typeface="HGS明朝E" panose="02020900000000000000" pitchFamily="18" charset="-128"/>
                <a:cs typeface="メイリオ" panose="020B0604030504040204" pitchFamily="50" charset="-128"/>
              </a:rPr>
              <a:t>FAX</a:t>
            </a:r>
            <a:r>
              <a:rPr lang="ja-JP" altLang="en-US" sz="700">
                <a:latin typeface="HGS明朝E" panose="02020900000000000000" pitchFamily="18" charset="-128"/>
                <a:ea typeface="HGS明朝E" panose="02020900000000000000" pitchFamily="18" charset="-128"/>
                <a:cs typeface="メイリオ" panose="020B0604030504040204" pitchFamily="50" charset="-128"/>
              </a:rPr>
              <a:t>：</a:t>
            </a:r>
            <a:r>
              <a:rPr lang="en-US" altLang="ja-JP" sz="700">
                <a:latin typeface="HGS明朝E" panose="02020900000000000000" pitchFamily="18" charset="-128"/>
                <a:ea typeface="HGS明朝E" panose="02020900000000000000" pitchFamily="18" charset="-128"/>
                <a:cs typeface="メイリオ" panose="020B0604030504040204" pitchFamily="50" charset="-128"/>
              </a:rPr>
              <a:t>052-681-8646</a:t>
            </a:r>
            <a:endParaRPr kumimoji="1" lang="ja-JP" altLang="en-US" sz="7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endParaRPr>
          </a:p>
        </xdr:txBody>
      </xdr:sp>
      <xdr:pic>
        <xdr:nvPicPr>
          <xdr:cNvPr id="30" name="図 29"/>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8419" y="6733947"/>
            <a:ext cx="2081163" cy="349248"/>
          </a:xfrm>
          <a:prstGeom prst="rect">
            <a:avLst/>
          </a:prstGeom>
        </xdr:spPr>
      </xdr:pic>
      <xdr:sp macro="" textlink="">
        <xdr:nvSpPr>
          <xdr:cNvPr id="31" name="正方形/長方形 30"/>
          <xdr:cNvSpPr/>
        </xdr:nvSpPr>
        <xdr:spPr>
          <a:xfrm>
            <a:off x="4581653" y="6258485"/>
            <a:ext cx="2628780" cy="503263"/>
          </a:xfrm>
          <a:prstGeom prst="rect">
            <a:avLst/>
          </a:prstGeom>
          <a:noFill/>
          <a:ln>
            <a:noFill/>
          </a:ln>
          <a:effectLst/>
        </xdr:spPr>
        <xdr:style>
          <a:lnRef idx="1">
            <a:schemeClr val="accent5"/>
          </a:lnRef>
          <a:fillRef idx="2">
            <a:schemeClr val="accent5"/>
          </a:fillRef>
          <a:effectRef idx="1">
            <a:schemeClr val="accent5"/>
          </a:effectRef>
          <a:fontRef idx="minor">
            <a:schemeClr val="dk1"/>
          </a:fontRef>
        </xdr:style>
        <xdr:txBody>
          <a:bodyPr vertOverflow="overflow" horzOverflow="overflow" rtlCol="0" anchor="ctr"/>
          <a:lstStyle/>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理化学分析・試験・調査・受託研究</a:t>
            </a:r>
            <a:endParaRPr kumimoji="1" lang="en-US" altLang="ja-JP"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endParaRPr>
          </a:p>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環境</a:t>
            </a:r>
            <a:r>
              <a:rPr kumimoji="1" lang="ja-JP" altLang="en-US" sz="900">
                <a:solidFill>
                  <a:schemeClr val="dk1"/>
                </a:solidFill>
                <a:effectLst/>
                <a:latin typeface="HGS明朝E" panose="02020900000000000000" pitchFamily="18" charset="-128"/>
                <a:ea typeface="HGS明朝E" panose="02020900000000000000" pitchFamily="18" charset="-128"/>
                <a:cs typeface="メイリオ" panose="020B0604030504040204" pitchFamily="50" charset="-128"/>
              </a:rPr>
              <a:t>計量</a:t>
            </a: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証明事業所・作業環境測定機関</a:t>
            </a:r>
            <a:endParaRPr kumimoji="1" lang="en-US" altLang="ja-JP"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endParaRPr>
          </a:p>
          <a:p>
            <a:pPr algn="ctr"/>
            <a:r>
              <a:rPr kumimoji="1" lang="ja-JP" altLang="en-US" sz="900">
                <a:solidFill>
                  <a:schemeClr val="dk1"/>
                </a:solidFill>
                <a:effectLst/>
                <a:latin typeface="HG明朝E" panose="02020909000000000000" pitchFamily="17" charset="-128"/>
                <a:ea typeface="HG明朝E" panose="02020909000000000000" pitchFamily="17" charset="-128"/>
                <a:cs typeface="メイリオ" panose="020B0604030504040204" pitchFamily="50" charset="-128"/>
              </a:rPr>
              <a:t>厚生省指定飲料水水質検査機関</a:t>
            </a:r>
          </a:p>
        </xdr:txBody>
      </xdr:sp>
    </xdr:grpSp>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180975</xdr:colOff>
          <xdr:row>7</xdr:row>
          <xdr:rowOff>171450</xdr:rowOff>
        </xdr:from>
        <xdr:to>
          <xdr:col>7</xdr:col>
          <xdr:colOff>533400</xdr:colOff>
          <xdr:row>10</xdr:row>
          <xdr:rowOff>152400</xdr:rowOff>
        </xdr:to>
        <xdr:sp macro="" textlink="">
          <xdr:nvSpPr>
            <xdr:cNvPr id="1963009" name="Button 1" hidden="1">
              <a:extLst>
                <a:ext uri="{63B3BB69-23CF-44E3-9099-C40C66FF867C}">
                  <a14:compatExt spid="_x0000_s19630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保護設定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7</xdr:row>
          <xdr:rowOff>171450</xdr:rowOff>
        </xdr:from>
        <xdr:to>
          <xdr:col>9</xdr:col>
          <xdr:colOff>400050</xdr:colOff>
          <xdr:row>10</xdr:row>
          <xdr:rowOff>152400</xdr:rowOff>
        </xdr:to>
        <xdr:sp macro="" textlink="">
          <xdr:nvSpPr>
            <xdr:cNvPr id="1963010" name="Button 2" hidden="1">
              <a:extLst>
                <a:ext uri="{63B3BB69-23CF-44E3-9099-C40C66FF867C}">
                  <a14:compatExt spid="_x0000_s19630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保護解除</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3" Type="http://schemas.openxmlformats.org/officeDocument/2006/relationships/vmlDrawing" Target="../drawings/vmlDrawing2.v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29.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5" Type="http://schemas.openxmlformats.org/officeDocument/2006/relationships/ctrlProp" Target="../ctrlProps/ctrlProp2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5.xml"/><Relationship Id="rId13" Type="http://schemas.openxmlformats.org/officeDocument/2006/relationships/ctrlProp" Target="../ctrlProps/ctrlProp40.xml"/><Relationship Id="rId18" Type="http://schemas.openxmlformats.org/officeDocument/2006/relationships/ctrlProp" Target="../ctrlProps/ctrlProp45.xml"/><Relationship Id="rId3" Type="http://schemas.openxmlformats.org/officeDocument/2006/relationships/vmlDrawing" Target="../drawings/vmlDrawing3.vml"/><Relationship Id="rId7" Type="http://schemas.openxmlformats.org/officeDocument/2006/relationships/ctrlProp" Target="../ctrlProps/ctrlProp34.xml"/><Relationship Id="rId12" Type="http://schemas.openxmlformats.org/officeDocument/2006/relationships/ctrlProp" Target="../ctrlProps/ctrlProp39.xml"/><Relationship Id="rId17" Type="http://schemas.openxmlformats.org/officeDocument/2006/relationships/ctrlProp" Target="../ctrlProps/ctrlProp44.xml"/><Relationship Id="rId2" Type="http://schemas.openxmlformats.org/officeDocument/2006/relationships/drawing" Target="../drawings/drawing4.xml"/><Relationship Id="rId16" Type="http://schemas.openxmlformats.org/officeDocument/2006/relationships/ctrlProp" Target="../ctrlProps/ctrlProp43.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11" Type="http://schemas.openxmlformats.org/officeDocument/2006/relationships/ctrlProp" Target="../ctrlProps/ctrlProp38.xml"/><Relationship Id="rId5" Type="http://schemas.openxmlformats.org/officeDocument/2006/relationships/ctrlProp" Target="../ctrlProps/ctrlProp32.xml"/><Relationship Id="rId15" Type="http://schemas.openxmlformats.org/officeDocument/2006/relationships/ctrlProp" Target="../ctrlProps/ctrlProp42.xml"/><Relationship Id="rId10" Type="http://schemas.openxmlformats.org/officeDocument/2006/relationships/ctrlProp" Target="../ctrlProps/ctrlProp37.xml"/><Relationship Id="rId4" Type="http://schemas.openxmlformats.org/officeDocument/2006/relationships/ctrlProp" Target="../ctrlProps/ctrlProp31.xml"/><Relationship Id="rId9" Type="http://schemas.openxmlformats.org/officeDocument/2006/relationships/ctrlProp" Target="../ctrlProps/ctrlProp36.xml"/><Relationship Id="rId14" Type="http://schemas.openxmlformats.org/officeDocument/2006/relationships/ctrlProp" Target="../ctrlProps/ctrlProp4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2.bin"/><Relationship Id="rId4" Type="http://schemas.openxmlformats.org/officeDocument/2006/relationships/ctrlProp" Target="../ctrlProps/ctrlProp46.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52.xml"/><Relationship Id="rId13" Type="http://schemas.openxmlformats.org/officeDocument/2006/relationships/ctrlProp" Target="../ctrlProps/ctrlProp57.xml"/><Relationship Id="rId3" Type="http://schemas.openxmlformats.org/officeDocument/2006/relationships/ctrlProp" Target="../ctrlProps/ctrlProp47.xml"/><Relationship Id="rId7" Type="http://schemas.openxmlformats.org/officeDocument/2006/relationships/ctrlProp" Target="../ctrlProps/ctrlProp51.xml"/><Relationship Id="rId12" Type="http://schemas.openxmlformats.org/officeDocument/2006/relationships/ctrlProp" Target="../ctrlProps/ctrlProp56.xml"/><Relationship Id="rId2" Type="http://schemas.openxmlformats.org/officeDocument/2006/relationships/vmlDrawing" Target="../drawings/vmlDrawing5.vml"/><Relationship Id="rId16" Type="http://schemas.openxmlformats.org/officeDocument/2006/relationships/ctrlProp" Target="../ctrlProps/ctrlProp60.xml"/><Relationship Id="rId1" Type="http://schemas.openxmlformats.org/officeDocument/2006/relationships/drawing" Target="../drawings/drawing6.xml"/><Relationship Id="rId6" Type="http://schemas.openxmlformats.org/officeDocument/2006/relationships/ctrlProp" Target="../ctrlProps/ctrlProp50.xml"/><Relationship Id="rId11" Type="http://schemas.openxmlformats.org/officeDocument/2006/relationships/ctrlProp" Target="../ctrlProps/ctrlProp55.xml"/><Relationship Id="rId5" Type="http://schemas.openxmlformats.org/officeDocument/2006/relationships/ctrlProp" Target="../ctrlProps/ctrlProp49.xml"/><Relationship Id="rId15" Type="http://schemas.openxmlformats.org/officeDocument/2006/relationships/ctrlProp" Target="../ctrlProps/ctrlProp59.xml"/><Relationship Id="rId10" Type="http://schemas.openxmlformats.org/officeDocument/2006/relationships/ctrlProp" Target="../ctrlProps/ctrlProp54.xml"/><Relationship Id="rId4" Type="http://schemas.openxmlformats.org/officeDocument/2006/relationships/ctrlProp" Target="../ctrlProps/ctrlProp48.xml"/><Relationship Id="rId9" Type="http://schemas.openxmlformats.org/officeDocument/2006/relationships/ctrlProp" Target="../ctrlProps/ctrlProp53.xml"/><Relationship Id="rId14" Type="http://schemas.openxmlformats.org/officeDocument/2006/relationships/ctrlProp" Target="../ctrlProps/ctrlProp5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6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65.xml"/><Relationship Id="rId2" Type="http://schemas.openxmlformats.org/officeDocument/2006/relationships/drawing" Target="../drawings/drawing8.xml"/><Relationship Id="rId1" Type="http://schemas.openxmlformats.org/officeDocument/2006/relationships/printerSettings" Target="../printerSettings/printerSettings14.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71.xml"/><Relationship Id="rId2" Type="http://schemas.openxmlformats.org/officeDocument/2006/relationships/drawing" Target="../drawings/drawing10.xml"/><Relationship Id="rId1" Type="http://schemas.openxmlformats.org/officeDocument/2006/relationships/printerSettings" Target="../printerSettings/printerSettings18.bin"/><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20.bin"/><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24.bin"/><Relationship Id="rId4" Type="http://schemas.openxmlformats.org/officeDocument/2006/relationships/ctrlProp" Target="../ctrlProps/ctrlProp7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78.xml"/><Relationship Id="rId2" Type="http://schemas.openxmlformats.org/officeDocument/2006/relationships/drawing" Target="../drawings/drawing13.xml"/><Relationship Id="rId1" Type="http://schemas.openxmlformats.org/officeDocument/2006/relationships/printerSettings" Target="../printerSettings/printerSettings25.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26.bin"/><Relationship Id="rId4" Type="http://schemas.openxmlformats.org/officeDocument/2006/relationships/ctrlProp" Target="../ctrlProps/ctrlProp7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omments" Target="../comments1.xml"/><Relationship Id="rId2" Type="http://schemas.openxmlformats.org/officeDocument/2006/relationships/drawing" Target="../drawings/drawing15.xml"/><Relationship Id="rId1" Type="http://schemas.openxmlformats.org/officeDocument/2006/relationships/printerSettings" Target="../printerSettings/printerSettings28.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86.xml"/><Relationship Id="rId2" Type="http://schemas.openxmlformats.org/officeDocument/2006/relationships/drawing" Target="../drawings/drawing16.xml"/><Relationship Id="rId1" Type="http://schemas.openxmlformats.org/officeDocument/2006/relationships/printerSettings" Target="../printerSettings/printerSettings30.bin"/><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55.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vmlDrawing" Target="../drawings/vmlDrawing16.vml"/><Relationship Id="rId7" Type="http://schemas.openxmlformats.org/officeDocument/2006/relationships/ctrlProp" Target="../ctrlProps/ctrlProp90.xml"/><Relationship Id="rId2" Type="http://schemas.openxmlformats.org/officeDocument/2006/relationships/drawing" Target="../drawings/drawing17.xml"/><Relationship Id="rId1" Type="http://schemas.openxmlformats.org/officeDocument/2006/relationships/printerSettings" Target="../printerSettings/printerSettings34.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63.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17.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18.xml"/><Relationship Id="rId1" Type="http://schemas.openxmlformats.org/officeDocument/2006/relationships/printerSettings" Target="../printerSettings/printerSettings38.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41.bin"/><Relationship Id="rId4" Type="http://schemas.openxmlformats.org/officeDocument/2006/relationships/ctrlProp" Target="../ctrlProps/ctrlProp10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6.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7.bin"/></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2.xml"/><Relationship Id="rId1" Type="http://schemas.openxmlformats.org/officeDocument/2006/relationships/printerSettings" Target="../printerSettings/printerSettings48.bin"/><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C000"/>
  </sheetPr>
  <dimension ref="A1:AI35"/>
  <sheetViews>
    <sheetView showGridLines="0" showRowColHeaders="0" topLeftCell="G1" zoomScaleNormal="100" workbookViewId="0">
      <selection activeCell="K3" sqref="K3:N3"/>
    </sheetView>
  </sheetViews>
  <sheetFormatPr defaultRowHeight="16.5"/>
  <cols>
    <col min="1" max="1" width="2.375" style="82" hidden="1" customWidth="1"/>
    <col min="2" max="2" width="20.75" style="82" hidden="1" customWidth="1"/>
    <col min="3" max="3" width="21.875" style="85" hidden="1" customWidth="1"/>
    <col min="4" max="4" width="14.25" style="82" hidden="1" customWidth="1"/>
    <col min="5" max="6" width="9" style="82" hidden="1" customWidth="1"/>
    <col min="7" max="29" width="3.25" style="298" customWidth="1"/>
    <col min="30" max="53" width="3.375" style="298" customWidth="1"/>
    <col min="54" max="16384" width="9" style="298"/>
  </cols>
  <sheetData>
    <row r="1" spans="1:35" s="295" customFormat="1" ht="19.5">
      <c r="A1" s="293"/>
      <c r="B1" s="293"/>
      <c r="C1" s="294"/>
      <c r="D1" s="293"/>
      <c r="E1" s="293"/>
      <c r="F1" s="293"/>
      <c r="G1" s="295" t="s">
        <v>745</v>
      </c>
    </row>
    <row r="2" spans="1:35">
      <c r="A2" s="296" t="s">
        <v>746</v>
      </c>
      <c r="B2" s="231"/>
      <c r="C2" s="21"/>
      <c r="D2" s="297" t="s">
        <v>747</v>
      </c>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row>
    <row r="3" spans="1:35">
      <c r="A3" s="231"/>
      <c r="B3" s="299" t="s">
        <v>748</v>
      </c>
      <c r="C3" s="300" t="s">
        <v>749</v>
      </c>
      <c r="D3" s="301" t="b">
        <v>1</v>
      </c>
      <c r="G3" s="215"/>
      <c r="H3" s="215"/>
      <c r="I3" s="215"/>
      <c r="J3" s="216" t="s">
        <v>3781</v>
      </c>
      <c r="K3" s="1248"/>
      <c r="L3" s="1249"/>
      <c r="M3" s="1249"/>
      <c r="N3" s="1250"/>
      <c r="O3" s="215"/>
      <c r="P3" s="215"/>
      <c r="Q3" s="215"/>
      <c r="R3" s="216"/>
      <c r="S3" s="215"/>
      <c r="T3" s="215"/>
      <c r="U3" s="215"/>
      <c r="V3" s="215"/>
      <c r="W3" s="215"/>
      <c r="X3" s="215"/>
      <c r="Y3" s="215"/>
      <c r="Z3" s="215"/>
      <c r="AA3" s="215"/>
      <c r="AB3" s="215"/>
      <c r="AC3" s="215"/>
      <c r="AD3" s="215"/>
      <c r="AE3" s="215"/>
      <c r="AF3" s="215"/>
      <c r="AG3" s="215"/>
      <c r="AH3" s="215"/>
      <c r="AI3" s="215"/>
    </row>
    <row r="4" spans="1:35">
      <c r="A4" s="231"/>
      <c r="B4" s="299" t="s">
        <v>751</v>
      </c>
      <c r="C4" s="300" t="s">
        <v>752</v>
      </c>
      <c r="D4" s="301" t="b">
        <v>1</v>
      </c>
      <c r="G4" s="215"/>
      <c r="H4" s="215"/>
      <c r="I4" s="215"/>
      <c r="J4" s="216" t="s">
        <v>750</v>
      </c>
      <c r="K4" s="1248"/>
      <c r="L4" s="1249"/>
      <c r="M4" s="1249"/>
      <c r="N4" s="1250"/>
      <c r="O4" s="215"/>
      <c r="P4" s="215"/>
      <c r="Q4" s="215"/>
      <c r="R4" s="215"/>
      <c r="S4" s="215"/>
      <c r="T4" s="215"/>
      <c r="U4" s="215"/>
      <c r="V4" s="215"/>
      <c r="W4" s="215"/>
      <c r="X4" s="215"/>
      <c r="Y4" s="215"/>
      <c r="Z4" s="215"/>
      <c r="AA4" s="215"/>
      <c r="AB4" s="215"/>
      <c r="AC4" s="215"/>
      <c r="AD4" s="215"/>
      <c r="AE4" s="215"/>
      <c r="AF4" s="215"/>
      <c r="AG4" s="215"/>
      <c r="AH4" s="215"/>
      <c r="AI4" s="215"/>
    </row>
    <row r="5" spans="1:35">
      <c r="A5" s="231"/>
      <c r="B5" s="299" t="s">
        <v>758</v>
      </c>
      <c r="C5" s="300" t="s">
        <v>759</v>
      </c>
      <c r="D5" s="301" t="b">
        <v>1</v>
      </c>
      <c r="G5" s="215"/>
      <c r="H5" s="215"/>
      <c r="I5" s="215"/>
      <c r="J5" s="216" t="s">
        <v>753</v>
      </c>
      <c r="K5" s="302"/>
      <c r="L5" s="1251" t="s">
        <v>2772</v>
      </c>
      <c r="M5" s="1251"/>
      <c r="N5" s="1251"/>
      <c r="O5" s="303"/>
      <c r="P5" s="1251" t="s">
        <v>754</v>
      </c>
      <c r="Q5" s="1251"/>
      <c r="R5" s="1251"/>
      <c r="S5" s="303"/>
      <c r="T5" s="1251" t="s">
        <v>755</v>
      </c>
      <c r="U5" s="1251"/>
      <c r="V5" s="1251"/>
      <c r="W5" s="303"/>
      <c r="X5" s="1251" t="s">
        <v>2771</v>
      </c>
      <c r="Y5" s="1251"/>
      <c r="Z5" s="1251"/>
      <c r="AA5" s="303"/>
      <c r="AB5" s="1251" t="s">
        <v>756</v>
      </c>
      <c r="AC5" s="1251"/>
      <c r="AD5" s="1251"/>
      <c r="AE5" s="303"/>
      <c r="AF5" s="1251" t="s">
        <v>757</v>
      </c>
      <c r="AG5" s="1251"/>
      <c r="AH5" s="1252"/>
      <c r="AI5" s="215"/>
    </row>
    <row r="6" spans="1:35">
      <c r="A6" s="231"/>
      <c r="B6" s="299" t="s">
        <v>766</v>
      </c>
      <c r="C6" s="300" t="s">
        <v>767</v>
      </c>
      <c r="D6" s="301" t="b">
        <v>1</v>
      </c>
      <c r="G6" s="215"/>
      <c r="H6" s="215"/>
      <c r="I6" s="215"/>
      <c r="J6" s="215"/>
      <c r="K6" s="304"/>
      <c r="L6" s="1253" t="s">
        <v>760</v>
      </c>
      <c r="M6" s="1253"/>
      <c r="N6" s="1253"/>
      <c r="O6" s="305"/>
      <c r="P6" s="1253" t="s">
        <v>761</v>
      </c>
      <c r="Q6" s="1253"/>
      <c r="R6" s="1253"/>
      <c r="S6" s="305"/>
      <c r="T6" s="1253" t="s">
        <v>762</v>
      </c>
      <c r="U6" s="1253"/>
      <c r="V6" s="1253"/>
      <c r="W6" s="305"/>
      <c r="X6" s="1253" t="s">
        <v>763</v>
      </c>
      <c r="Y6" s="1253"/>
      <c r="Z6" s="1253"/>
      <c r="AA6" s="305"/>
      <c r="AB6" s="1253" t="s">
        <v>764</v>
      </c>
      <c r="AC6" s="1253"/>
      <c r="AD6" s="1253"/>
      <c r="AE6" s="306"/>
      <c r="AF6" s="1253" t="s">
        <v>765</v>
      </c>
      <c r="AG6" s="1253"/>
      <c r="AH6" s="1254"/>
      <c r="AI6" s="215"/>
    </row>
    <row r="7" spans="1:35">
      <c r="A7" s="231"/>
      <c r="B7" s="299" t="s">
        <v>768</v>
      </c>
      <c r="C7" s="300" t="s">
        <v>769</v>
      </c>
      <c r="D7" s="301" t="b">
        <v>1</v>
      </c>
      <c r="G7" s="215"/>
      <c r="H7" s="215"/>
      <c r="I7" s="215"/>
      <c r="J7" s="215"/>
      <c r="K7" s="215"/>
      <c r="L7" s="215"/>
      <c r="M7" s="215"/>
      <c r="N7" s="215"/>
      <c r="O7" s="215"/>
      <c r="P7" s="215"/>
      <c r="Q7" s="215"/>
      <c r="R7" s="215"/>
      <c r="S7" s="215"/>
      <c r="T7" s="215"/>
      <c r="U7" s="215"/>
      <c r="V7" s="215"/>
      <c r="W7" s="215"/>
      <c r="X7" s="215"/>
      <c r="Y7" s="215"/>
      <c r="Z7" s="215"/>
      <c r="AA7" s="215"/>
      <c r="AB7" s="215"/>
      <c r="AC7" s="215"/>
      <c r="AD7" s="215"/>
      <c r="AE7" s="215"/>
      <c r="AF7" s="215"/>
      <c r="AG7" s="215"/>
      <c r="AH7" s="215"/>
      <c r="AI7" s="215"/>
    </row>
    <row r="8" spans="1:35">
      <c r="A8" s="231"/>
      <c r="B8" s="299" t="s">
        <v>770</v>
      </c>
      <c r="C8" s="300" t="s">
        <v>771</v>
      </c>
      <c r="D8" s="301" t="b">
        <v>1</v>
      </c>
      <c r="G8" s="215"/>
      <c r="H8" s="215"/>
      <c r="I8" s="215"/>
      <c r="J8" s="216" t="s">
        <v>82</v>
      </c>
      <c r="K8" s="1258"/>
      <c r="L8" s="1259"/>
      <c r="M8" s="1259"/>
      <c r="N8" s="1260"/>
      <c r="O8" s="215"/>
      <c r="P8" s="215"/>
      <c r="Q8" s="215"/>
      <c r="R8" s="215"/>
      <c r="S8" s="215"/>
      <c r="T8" s="215"/>
      <c r="U8" s="216" t="s">
        <v>4436</v>
      </c>
      <c r="V8" s="1261"/>
      <c r="W8" s="1262"/>
      <c r="X8" s="1262"/>
      <c r="Y8" s="1263"/>
      <c r="Z8" s="205" t="s">
        <v>26</v>
      </c>
      <c r="AA8" s="1261"/>
      <c r="AB8" s="1262"/>
      <c r="AC8" s="1262"/>
      <c r="AD8" s="1263"/>
      <c r="AE8" s="215"/>
      <c r="AF8" s="215"/>
      <c r="AG8" s="215"/>
      <c r="AH8" s="215"/>
      <c r="AI8" s="215"/>
    </row>
    <row r="9" spans="1:35">
      <c r="A9" s="231"/>
      <c r="B9" s="299" t="s">
        <v>772</v>
      </c>
      <c r="C9" s="300" t="s">
        <v>773</v>
      </c>
      <c r="D9" s="301" t="b">
        <v>1</v>
      </c>
      <c r="G9" s="215"/>
      <c r="H9" s="215"/>
      <c r="I9" s="215"/>
      <c r="J9" s="216" t="s">
        <v>85</v>
      </c>
      <c r="K9" s="1264"/>
      <c r="L9" s="1265"/>
      <c r="M9" s="1265"/>
      <c r="N9" s="1266"/>
      <c r="O9" s="215"/>
      <c r="P9" s="215"/>
      <c r="Q9" s="215"/>
      <c r="R9" s="215"/>
      <c r="S9" s="215"/>
      <c r="T9" s="215"/>
      <c r="U9" s="216" t="s">
        <v>4437</v>
      </c>
      <c r="V9" s="1261"/>
      <c r="W9" s="1262"/>
      <c r="X9" s="1262"/>
      <c r="Y9" s="1263"/>
      <c r="Z9" s="205" t="s">
        <v>26</v>
      </c>
      <c r="AA9" s="1261"/>
      <c r="AB9" s="1262"/>
      <c r="AC9" s="1262"/>
      <c r="AD9" s="1263"/>
      <c r="AE9" s="215"/>
      <c r="AF9" s="215"/>
      <c r="AG9" s="215"/>
      <c r="AH9" s="215"/>
      <c r="AI9" s="215"/>
    </row>
    <row r="10" spans="1:35">
      <c r="A10" s="231"/>
      <c r="B10" s="299" t="s">
        <v>776</v>
      </c>
      <c r="C10" s="300" t="s">
        <v>777</v>
      </c>
      <c r="D10" s="301" t="b">
        <v>1</v>
      </c>
      <c r="G10" s="215"/>
      <c r="H10" s="215"/>
      <c r="I10" s="215"/>
      <c r="J10" s="216" t="s">
        <v>774</v>
      </c>
      <c r="K10" s="1264"/>
      <c r="L10" s="1265"/>
      <c r="M10" s="1265"/>
      <c r="N10" s="1266"/>
      <c r="O10" s="215"/>
      <c r="P10" s="215"/>
      <c r="Q10" s="215"/>
      <c r="R10" s="215"/>
      <c r="S10" s="215"/>
      <c r="T10" s="215"/>
      <c r="U10" s="216" t="s">
        <v>4438</v>
      </c>
      <c r="V10" s="1261"/>
      <c r="W10" s="1262"/>
      <c r="X10" s="1262"/>
      <c r="Y10" s="1263"/>
      <c r="Z10" s="205" t="s">
        <v>775</v>
      </c>
      <c r="AA10" s="1261"/>
      <c r="AB10" s="1262"/>
      <c r="AC10" s="1262"/>
      <c r="AD10" s="1263"/>
      <c r="AE10" s="215"/>
      <c r="AF10" s="215"/>
      <c r="AG10" s="215"/>
      <c r="AH10" s="215"/>
      <c r="AI10" s="215"/>
    </row>
    <row r="11" spans="1:35">
      <c r="A11" s="231"/>
      <c r="B11" s="299" t="s">
        <v>778</v>
      </c>
      <c r="C11" s="300" t="s">
        <v>779</v>
      </c>
      <c r="D11" s="301" t="b">
        <v>1</v>
      </c>
      <c r="G11" s="215"/>
      <c r="H11" s="215"/>
      <c r="I11" s="215"/>
      <c r="J11" s="216" t="s">
        <v>4513</v>
      </c>
      <c r="K11" s="1264"/>
      <c r="L11" s="1269"/>
      <c r="M11" s="1269"/>
      <c r="N11" s="1270"/>
      <c r="O11" s="215"/>
      <c r="P11" s="215"/>
      <c r="Q11" s="215"/>
      <c r="R11" s="215"/>
      <c r="S11" s="215"/>
      <c r="T11" s="215"/>
      <c r="U11" s="216" t="s">
        <v>4439</v>
      </c>
      <c r="V11" s="1261"/>
      <c r="W11" s="1262"/>
      <c r="X11" s="1262"/>
      <c r="Y11" s="1263"/>
      <c r="Z11" s="205" t="s">
        <v>26</v>
      </c>
      <c r="AA11" s="1261"/>
      <c r="AB11" s="1262"/>
      <c r="AC11" s="1262"/>
      <c r="AD11" s="1263"/>
      <c r="AE11" s="215"/>
      <c r="AF11" s="215"/>
      <c r="AG11" s="215"/>
      <c r="AH11" s="215"/>
      <c r="AI11" s="215"/>
    </row>
    <row r="12" spans="1:35">
      <c r="A12" s="231"/>
      <c r="B12" s="299" t="s">
        <v>781</v>
      </c>
      <c r="C12" s="300" t="s">
        <v>782</v>
      </c>
      <c r="D12" s="301" t="b">
        <v>1</v>
      </c>
      <c r="G12" s="215"/>
      <c r="H12" s="215"/>
      <c r="I12" s="215"/>
      <c r="J12" s="307" t="s">
        <v>83</v>
      </c>
      <c r="K12" s="1258"/>
      <c r="L12" s="1267"/>
      <c r="M12" s="1267"/>
      <c r="N12" s="1268"/>
      <c r="O12" s="215"/>
      <c r="P12" s="215"/>
      <c r="Q12" s="215"/>
      <c r="T12" s="215"/>
      <c r="U12" s="216" t="s">
        <v>4440</v>
      </c>
      <c r="V12" s="1261"/>
      <c r="W12" s="1262"/>
      <c r="X12" s="1262"/>
      <c r="Y12" s="1263"/>
      <c r="Z12" s="205" t="s">
        <v>26</v>
      </c>
      <c r="AA12" s="1261"/>
      <c r="AB12" s="1262"/>
      <c r="AC12" s="1262"/>
      <c r="AD12" s="1263"/>
      <c r="AE12" s="215"/>
      <c r="AF12" s="215"/>
      <c r="AG12" s="215"/>
      <c r="AH12" s="215"/>
      <c r="AI12" s="215"/>
    </row>
    <row r="13" spans="1:35">
      <c r="A13" s="231"/>
      <c r="B13" s="299" t="s">
        <v>783</v>
      </c>
      <c r="C13" s="300" t="s">
        <v>784</v>
      </c>
      <c r="D13" s="301" t="b">
        <v>0</v>
      </c>
      <c r="G13" s="215"/>
      <c r="H13" s="215"/>
      <c r="I13" s="215"/>
      <c r="J13" s="307" t="s">
        <v>780</v>
      </c>
      <c r="K13" s="1278"/>
      <c r="L13" s="1279"/>
      <c r="M13" s="1279"/>
      <c r="N13" s="1280"/>
      <c r="O13" s="215"/>
      <c r="P13" s="215"/>
      <c r="Q13" s="215"/>
      <c r="R13" s="215"/>
      <c r="S13" s="215"/>
      <c r="AE13" s="215"/>
      <c r="AF13" s="215"/>
      <c r="AG13" s="215"/>
      <c r="AH13" s="215"/>
      <c r="AI13" s="215"/>
    </row>
    <row r="14" spans="1:35">
      <c r="A14" s="231"/>
      <c r="B14" s="299" t="s">
        <v>785</v>
      </c>
      <c r="C14" s="300" t="s">
        <v>786</v>
      </c>
      <c r="D14" s="301" t="b">
        <v>0</v>
      </c>
      <c r="G14" s="215"/>
      <c r="H14" s="215"/>
      <c r="I14" s="215"/>
      <c r="J14" s="307" t="s">
        <v>94</v>
      </c>
      <c r="K14" s="1296"/>
      <c r="L14" s="1297"/>
      <c r="M14" s="1297"/>
      <c r="N14" s="1298"/>
      <c r="O14" s="215"/>
      <c r="P14" s="215"/>
      <c r="Q14" s="215"/>
      <c r="R14" s="215"/>
      <c r="S14" s="215"/>
      <c r="T14" s="215"/>
      <c r="U14" s="215"/>
      <c r="V14" s="215"/>
      <c r="W14" s="215"/>
      <c r="X14" s="215"/>
      <c r="Y14" s="215"/>
      <c r="Z14" s="215"/>
      <c r="AA14" s="215"/>
      <c r="AB14" s="215"/>
      <c r="AC14" s="215"/>
      <c r="AD14" s="215"/>
      <c r="AE14" s="215"/>
      <c r="AF14" s="215"/>
      <c r="AG14" s="215"/>
      <c r="AH14" s="215"/>
      <c r="AI14" s="215"/>
    </row>
    <row r="15" spans="1:35">
      <c r="A15" s="278"/>
      <c r="B15" s="85" t="s">
        <v>788</v>
      </c>
      <c r="C15" s="85" t="s">
        <v>789</v>
      </c>
      <c r="D15" s="301">
        <v>1</v>
      </c>
      <c r="G15" s="215"/>
      <c r="H15" s="215"/>
      <c r="I15" s="215"/>
      <c r="J15" s="216" t="s">
        <v>4451</v>
      </c>
      <c r="K15" s="1271"/>
      <c r="L15" s="1272"/>
      <c r="M15" s="1272"/>
      <c r="N15" s="1272"/>
      <c r="O15" s="1273" t="str">
        <f>IFERROR(IF(UNJC0020_H_BUNSEKI_HOHO="","",INDEX(UNJC_BUNSEKI_HOHO_IF_LIST,MATCH(UNJC0020_H_BUNSEKI_HOHO,UNJC_BUNSEKI_HOHO_IF_LIST2,0),2)),"")</f>
        <v/>
      </c>
      <c r="P15" s="1274"/>
      <c r="Q15" s="1274"/>
      <c r="R15" s="1274"/>
      <c r="S15" s="1274"/>
      <c r="T15" s="1274"/>
      <c r="U15" s="1274"/>
      <c r="V15" s="1274"/>
      <c r="W15" s="215"/>
      <c r="X15" s="215"/>
      <c r="Y15" s="215"/>
      <c r="Z15" s="215"/>
      <c r="AA15" s="215"/>
      <c r="AB15" s="215"/>
      <c r="AC15" s="215"/>
      <c r="AD15" s="215"/>
      <c r="AE15" s="215"/>
      <c r="AF15" s="215"/>
      <c r="AG15" s="215"/>
      <c r="AH15" s="215"/>
      <c r="AI15" s="215"/>
    </row>
    <row r="16" spans="1:35">
      <c r="A16" s="231"/>
      <c r="B16" s="82" t="s">
        <v>790</v>
      </c>
      <c r="C16" s="85" t="s">
        <v>791</v>
      </c>
      <c r="D16" s="189" t="b">
        <v>0</v>
      </c>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row>
    <row r="17" spans="1:35">
      <c r="A17" s="231"/>
      <c r="G17" s="215"/>
      <c r="H17" s="215"/>
      <c r="I17" s="215"/>
      <c r="J17" s="216" t="s">
        <v>787</v>
      </c>
      <c r="K17" s="1281"/>
      <c r="L17" s="1282"/>
      <c r="M17" s="1282"/>
      <c r="N17" s="1283"/>
      <c r="O17" s="1255"/>
      <c r="P17" s="1256"/>
      <c r="Q17" s="1256"/>
      <c r="R17" s="1256"/>
      <c r="S17" s="1256"/>
      <c r="T17" s="1256"/>
      <c r="U17" s="1256"/>
      <c r="V17" s="1256"/>
      <c r="W17" s="1256"/>
      <c r="X17" s="1256"/>
      <c r="Y17" s="1256"/>
      <c r="Z17" s="1256"/>
      <c r="AA17" s="1256"/>
      <c r="AB17" s="1256"/>
      <c r="AC17" s="1256"/>
      <c r="AD17" s="1257"/>
      <c r="AE17" s="215"/>
      <c r="AF17" s="215"/>
      <c r="AG17" s="215"/>
      <c r="AH17" s="215"/>
      <c r="AI17" s="215"/>
    </row>
    <row r="18" spans="1:35">
      <c r="A18" s="231"/>
      <c r="B18" s="231" t="s">
        <v>794</v>
      </c>
      <c r="C18" s="21" t="s">
        <v>795</v>
      </c>
      <c r="D18" s="301"/>
      <c r="G18" s="215"/>
      <c r="H18" s="215"/>
      <c r="I18" s="215"/>
      <c r="J18" s="216" t="s">
        <v>68</v>
      </c>
      <c r="K18" s="1281"/>
      <c r="L18" s="1282"/>
      <c r="M18" s="1282"/>
      <c r="N18" s="1283"/>
      <c r="O18" s="1284" t="str">
        <f>IF(OR(UNJC0020_H_SEIKYUSAKI_CD="",UNJC0020_H_SEIKYUSAKI_MEI=""),"",UNJC0020_H_SEIKYUSAKI_MEI)</f>
        <v/>
      </c>
      <c r="P18" s="1285"/>
      <c r="Q18" s="1285"/>
      <c r="R18" s="1285"/>
      <c r="S18" s="1285"/>
      <c r="T18" s="1285"/>
      <c r="U18" s="1285"/>
      <c r="V18" s="1285"/>
      <c r="W18" s="1285"/>
      <c r="X18" s="1285"/>
      <c r="Y18" s="1285"/>
      <c r="Z18" s="1285"/>
      <c r="AA18" s="1285"/>
      <c r="AB18" s="1285"/>
      <c r="AC18" s="1285"/>
      <c r="AD18" s="1286"/>
      <c r="AE18" s="215"/>
      <c r="AF18" s="215"/>
      <c r="AG18" s="215"/>
      <c r="AH18" s="215"/>
      <c r="AI18" s="215"/>
    </row>
    <row r="19" spans="1:35">
      <c r="A19" s="231"/>
      <c r="B19" s="231" t="s">
        <v>3782</v>
      </c>
      <c r="C19" s="21" t="s">
        <v>3785</v>
      </c>
      <c r="D19" s="301"/>
      <c r="G19" s="215"/>
      <c r="H19" s="215"/>
      <c r="I19" s="215"/>
      <c r="J19" s="216" t="s">
        <v>3728</v>
      </c>
      <c r="K19" s="1281"/>
      <c r="L19" s="1282"/>
      <c r="M19" s="1282"/>
      <c r="N19" s="1283"/>
      <c r="O19" s="1255"/>
      <c r="P19" s="1256"/>
      <c r="Q19" s="1256"/>
      <c r="R19" s="1256"/>
      <c r="S19" s="1256"/>
      <c r="T19" s="1256"/>
      <c r="U19" s="1256"/>
      <c r="V19" s="1256"/>
      <c r="W19" s="1256"/>
      <c r="X19" s="1256"/>
      <c r="Y19" s="1256"/>
      <c r="Z19" s="1256"/>
      <c r="AA19" s="1256"/>
      <c r="AB19" s="1256"/>
      <c r="AC19" s="1256"/>
      <c r="AD19" s="1257"/>
      <c r="AE19" s="215"/>
      <c r="AF19" s="215"/>
      <c r="AG19" s="215"/>
      <c r="AH19" s="215"/>
      <c r="AI19" s="215"/>
    </row>
    <row r="20" spans="1:35">
      <c r="A20" s="282"/>
      <c r="B20" s="308" t="s">
        <v>4</v>
      </c>
      <c r="C20" s="309" t="s">
        <v>797</v>
      </c>
      <c r="D20" s="310"/>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row>
    <row r="21" spans="1:35">
      <c r="B21" s="311" t="s">
        <v>98</v>
      </c>
      <c r="C21" s="312" t="s">
        <v>798</v>
      </c>
      <c r="D21" s="313"/>
      <c r="G21" s="215"/>
      <c r="H21" s="215"/>
      <c r="I21" s="215"/>
      <c r="J21" s="216" t="s">
        <v>792</v>
      </c>
      <c r="K21" s="1287"/>
      <c r="L21" s="1288"/>
      <c r="M21" s="1288"/>
      <c r="N21" s="1288"/>
      <c r="O21" s="1288"/>
      <c r="P21" s="1288"/>
      <c r="Q21" s="1288"/>
      <c r="R21" s="1289"/>
      <c r="S21" s="215"/>
      <c r="T21" s="215"/>
      <c r="U21" s="215"/>
      <c r="V21" s="216" t="s">
        <v>793</v>
      </c>
      <c r="W21" s="1290"/>
      <c r="X21" s="1291"/>
      <c r="Y21" s="1291"/>
      <c r="Z21" s="1291"/>
      <c r="AA21" s="1291"/>
      <c r="AB21" s="1291"/>
      <c r="AC21" s="1291"/>
      <c r="AD21" s="1292"/>
      <c r="AE21" s="215"/>
      <c r="AF21" s="215"/>
      <c r="AG21" s="215"/>
      <c r="AH21" s="215"/>
      <c r="AI21" s="215"/>
    </row>
    <row r="22" spans="1:35">
      <c r="B22" s="315" t="s">
        <v>97</v>
      </c>
      <c r="C22" s="312" t="s">
        <v>800</v>
      </c>
      <c r="D22" s="313"/>
      <c r="G22" s="215"/>
      <c r="H22" s="215"/>
      <c r="I22" s="215"/>
      <c r="J22" s="216" t="s">
        <v>796</v>
      </c>
      <c r="K22" s="1293"/>
      <c r="L22" s="1294"/>
      <c r="M22" s="1294"/>
      <c r="N22" s="1294"/>
      <c r="O22" s="1294"/>
      <c r="P22" s="1294"/>
      <c r="Q22" s="1294"/>
      <c r="R22" s="1295"/>
      <c r="S22" s="215"/>
      <c r="T22" s="215"/>
      <c r="U22" s="215"/>
      <c r="V22" s="215"/>
      <c r="W22" s="215"/>
      <c r="X22" s="215"/>
      <c r="Y22" s="215"/>
      <c r="Z22" s="215"/>
      <c r="AA22" s="215"/>
      <c r="AB22" s="215"/>
      <c r="AC22" s="215"/>
      <c r="AD22" s="215"/>
      <c r="AE22" s="215"/>
      <c r="AF22" s="215"/>
      <c r="AG22" s="215"/>
      <c r="AH22" s="215"/>
      <c r="AI22" s="215"/>
    </row>
    <row r="23" spans="1:35">
      <c r="B23" s="231" t="s">
        <v>801</v>
      </c>
      <c r="C23" s="309" t="s">
        <v>802</v>
      </c>
      <c r="D23" s="313" t="str">
        <f ca="1">IF(UNJC0020_H_BUNSEKIKUBUN="","",VLOOKUP(UNJC0020_H_BUNSEKIKUBUN,OFFSET(LIST_BUNSEKI_KBN_TENKAIICHI,,,IF(LIST_BUNSEKI_KBN_HOHO_KENSU=0,1,LIST_BUNSEKI_KBN_HOHO_KENSU),2),2,0))</f>
        <v/>
      </c>
      <c r="G23" s="215"/>
      <c r="H23" s="215"/>
      <c r="I23" s="215"/>
      <c r="J23" s="215"/>
      <c r="K23" s="215"/>
      <c r="L23" s="215"/>
      <c r="M23" s="215"/>
      <c r="N23" s="215"/>
      <c r="O23" s="215"/>
      <c r="P23" s="215"/>
      <c r="Q23" s="215"/>
      <c r="R23" s="215"/>
      <c r="S23" s="215"/>
      <c r="T23" s="215"/>
      <c r="U23" s="215"/>
      <c r="V23" s="215"/>
      <c r="W23" s="215"/>
      <c r="X23" s="215"/>
      <c r="Y23" s="215"/>
      <c r="Z23" s="215"/>
      <c r="AA23" s="215"/>
      <c r="AB23" s="215"/>
      <c r="AC23" s="215"/>
      <c r="AD23" s="215"/>
      <c r="AE23" s="215"/>
      <c r="AF23" s="215"/>
      <c r="AG23" s="215"/>
      <c r="AH23" s="215"/>
      <c r="AI23" s="215"/>
    </row>
    <row r="24" spans="1:35">
      <c r="B24" s="231" t="s">
        <v>803</v>
      </c>
      <c r="C24" s="309" t="s">
        <v>804</v>
      </c>
      <c r="D24" s="313" t="str">
        <f ca="1">IF(UNJC0020_H_DEMPYO_HAKKO_JOTAI="","",VLOOKUP(UNJC0020_H_DEMPYO_HAKKO_JOTAI,OFFSET(LIST_DEMPYO_STS_TENKAIICHI,,,IF(LIST_DEMPYO_STS_HOHO_KENSU=0,1,LIST_DEMPYO_STS_HOHO_KENSU),2),2,0))</f>
        <v/>
      </c>
      <c r="G24" s="215"/>
      <c r="H24" s="215"/>
      <c r="I24" s="215"/>
      <c r="J24" s="216" t="s">
        <v>799</v>
      </c>
      <c r="K24" s="1275"/>
      <c r="L24" s="1276"/>
      <c r="M24" s="1276"/>
      <c r="N24" s="1277"/>
      <c r="O24" s="314" t="str">
        <f>IF(UNJC0020_H_FREEWD_KBN=1,"AND",IF(UNJC0020_H_FREEWD_KBN=2,"OR","NAND"))</f>
        <v>AND</v>
      </c>
      <c r="P24" s="1275"/>
      <c r="Q24" s="1276"/>
      <c r="R24" s="1276"/>
      <c r="S24" s="1277"/>
      <c r="T24" s="314" t="str">
        <f>IF(UNJC0020_H_FREEWD_KBN=1,"AND",IF(UNJC0020_H_FREEWD_KBN=2,"OR","NAND"))</f>
        <v>AND</v>
      </c>
      <c r="U24" s="1275"/>
      <c r="V24" s="1276"/>
      <c r="W24" s="1276"/>
      <c r="X24" s="1277"/>
      <c r="Y24" s="215"/>
      <c r="Z24" s="215"/>
      <c r="AA24" s="215"/>
      <c r="AB24" s="215"/>
      <c r="AC24" s="215"/>
      <c r="AD24" s="215"/>
      <c r="AE24" s="215"/>
      <c r="AF24" s="215"/>
      <c r="AG24" s="216"/>
      <c r="AH24" s="215" t="s">
        <v>89</v>
      </c>
      <c r="AI24" s="215"/>
    </row>
    <row r="25" spans="1:35">
      <c r="A25" s="282"/>
      <c r="B25" s="82" t="s">
        <v>805</v>
      </c>
      <c r="C25" s="85" t="s">
        <v>806</v>
      </c>
      <c r="D25" s="81"/>
      <c r="G25" s="215"/>
      <c r="H25" s="215"/>
      <c r="I25" s="215"/>
      <c r="J25" s="215"/>
      <c r="K25" s="215"/>
      <c r="L25" s="215"/>
      <c r="M25" s="215"/>
      <c r="N25" s="215"/>
      <c r="O25" s="215"/>
      <c r="P25" s="215"/>
      <c r="Q25" s="215"/>
      <c r="R25" s="215"/>
      <c r="S25" s="215"/>
      <c r="T25" s="215"/>
      <c r="U25" s="215"/>
      <c r="V25" s="215"/>
      <c r="W25" s="215"/>
      <c r="X25" s="215"/>
      <c r="Y25" s="215"/>
      <c r="Z25" s="215"/>
      <c r="AA25" s="215"/>
      <c r="AB25" s="215"/>
      <c r="AC25" s="215"/>
      <c r="AD25" s="215"/>
      <c r="AE25" s="215"/>
      <c r="AF25" s="215"/>
      <c r="AG25" s="215"/>
      <c r="AH25" s="215"/>
      <c r="AI25" s="215"/>
    </row>
    <row r="26" spans="1:35">
      <c r="A26" s="282"/>
      <c r="B26" s="82" t="s">
        <v>4443</v>
      </c>
      <c r="C26" s="312" t="s">
        <v>4444</v>
      </c>
      <c r="D26" s="81"/>
      <c r="G26" s="215"/>
      <c r="H26" s="215"/>
      <c r="I26" s="215"/>
      <c r="J26" s="215"/>
      <c r="K26" s="215"/>
      <c r="L26" s="215"/>
      <c r="M26" s="215"/>
      <c r="N26" s="215"/>
      <c r="O26" s="215"/>
      <c r="P26" s="215"/>
      <c r="Q26" s="215"/>
      <c r="R26" s="215"/>
      <c r="S26" s="215"/>
      <c r="T26" s="215"/>
      <c r="U26" s="215"/>
      <c r="V26" s="215"/>
      <c r="W26" s="215"/>
      <c r="X26" s="215"/>
      <c r="Y26" s="215"/>
      <c r="Z26" s="215"/>
      <c r="AA26" s="215"/>
      <c r="AB26" s="215"/>
      <c r="AC26" s="215"/>
      <c r="AD26" s="215"/>
      <c r="AE26" s="215"/>
      <c r="AF26" s="215"/>
      <c r="AG26" s="215"/>
      <c r="AH26" s="215"/>
      <c r="AI26" s="215"/>
    </row>
    <row r="27" spans="1:35">
      <c r="A27" s="282"/>
      <c r="B27" s="316"/>
      <c r="C27" s="309"/>
      <c r="D27" s="317" t="s">
        <v>807</v>
      </c>
    </row>
    <row r="28" spans="1:35">
      <c r="A28" s="278"/>
      <c r="B28" s="187" t="s">
        <v>276</v>
      </c>
      <c r="C28" s="252" t="s">
        <v>3791</v>
      </c>
      <c r="D28" s="318"/>
    </row>
    <row r="29" spans="1:35">
      <c r="A29" s="278"/>
      <c r="B29" s="187" t="s">
        <v>277</v>
      </c>
      <c r="C29" s="252" t="s">
        <v>808</v>
      </c>
      <c r="D29" s="318" t="str">
        <f>ADDRESS(ROW(A1),COLUMN(A1))&amp;":"&amp;ADDRESS(ROW(UNJC0020_H_FORM_UPPER_LEFT),COLUMN(UNJC0020_H_FORM_UPPER_LEFT)-1)</f>
        <v>$A$1:$F$1</v>
      </c>
    </row>
    <row r="30" spans="1:35">
      <c r="A30" s="296" t="s">
        <v>809</v>
      </c>
      <c r="B30" s="278"/>
      <c r="C30" s="280"/>
      <c r="D30" s="319"/>
    </row>
    <row r="31" spans="1:35">
      <c r="A31" s="231"/>
      <c r="B31" s="278"/>
      <c r="C31" s="280"/>
      <c r="D31" s="278"/>
    </row>
    <row r="32" spans="1:35">
      <c r="A32" s="278"/>
      <c r="B32" s="320" t="s">
        <v>810</v>
      </c>
      <c r="C32" s="321" t="s">
        <v>811</v>
      </c>
      <c r="D32" s="322" t="s">
        <v>807</v>
      </c>
    </row>
    <row r="33" spans="1:4">
      <c r="A33" s="296" t="s">
        <v>812</v>
      </c>
      <c r="B33" s="320" t="s">
        <v>813</v>
      </c>
      <c r="C33" s="321" t="s">
        <v>814</v>
      </c>
      <c r="D33" s="323" t="s">
        <v>807</v>
      </c>
    </row>
    <row r="34" spans="1:4">
      <c r="B34" s="320" t="s">
        <v>815</v>
      </c>
      <c r="C34" s="321" t="s">
        <v>816</v>
      </c>
      <c r="D34" s="324">
        <v>0</v>
      </c>
    </row>
    <row r="35" spans="1:4">
      <c r="B35" s="320" t="s">
        <v>817</v>
      </c>
      <c r="C35" s="321" t="s">
        <v>818</v>
      </c>
      <c r="D35" s="324">
        <v>0</v>
      </c>
    </row>
  </sheetData>
  <sheetProtection sheet="1" objects="1" scenarios="1" selectLockedCells="1"/>
  <mergeCells count="45">
    <mergeCell ref="K3:N3"/>
    <mergeCell ref="K24:N24"/>
    <mergeCell ref="P24:S24"/>
    <mergeCell ref="U24:X24"/>
    <mergeCell ref="K13:N13"/>
    <mergeCell ref="V12:Y12"/>
    <mergeCell ref="K18:N18"/>
    <mergeCell ref="O18:AD18"/>
    <mergeCell ref="K21:R21"/>
    <mergeCell ref="W21:AD21"/>
    <mergeCell ref="K22:R22"/>
    <mergeCell ref="AA12:AD12"/>
    <mergeCell ref="K14:N14"/>
    <mergeCell ref="K17:N17"/>
    <mergeCell ref="O17:AD17"/>
    <mergeCell ref="K19:N19"/>
    <mergeCell ref="O19:AD19"/>
    <mergeCell ref="K8:N8"/>
    <mergeCell ref="V8:Y8"/>
    <mergeCell ref="AA8:AD8"/>
    <mergeCell ref="K9:N9"/>
    <mergeCell ref="V9:Y9"/>
    <mergeCell ref="AA9:AD9"/>
    <mergeCell ref="K10:N10"/>
    <mergeCell ref="V10:Y10"/>
    <mergeCell ref="AA10:AD10"/>
    <mergeCell ref="K12:N12"/>
    <mergeCell ref="V11:Y11"/>
    <mergeCell ref="AA11:AD11"/>
    <mergeCell ref="K11:N11"/>
    <mergeCell ref="K15:N15"/>
    <mergeCell ref="O15:V15"/>
    <mergeCell ref="AF5:AH5"/>
    <mergeCell ref="L6:N6"/>
    <mergeCell ref="P6:R6"/>
    <mergeCell ref="T6:V6"/>
    <mergeCell ref="X6:Z6"/>
    <mergeCell ref="AB6:AD6"/>
    <mergeCell ref="AF6:AH6"/>
    <mergeCell ref="AB5:AD5"/>
    <mergeCell ref="K4:N4"/>
    <mergeCell ref="L5:N5"/>
    <mergeCell ref="P5:R5"/>
    <mergeCell ref="T5:V5"/>
    <mergeCell ref="X5:Z5"/>
  </mergeCells>
  <phoneticPr fontId="2"/>
  <dataValidations count="10">
    <dataValidation type="list" allowBlank="1" showInputMessage="1" showErrorMessage="1" sqref="K13:N13">
      <formula1>LIST_BUNSEKI_KBN_HOHO</formula1>
    </dataValidation>
    <dataValidation type="list" allowBlank="1" showInputMessage="1" showErrorMessage="1" sqref="K14:N14">
      <formula1>LIST_DEMPYO_STS_HOHO</formula1>
    </dataValidation>
    <dataValidation type="custom" allowBlank="1" showInputMessage="1" showErrorMessage="1" sqref="K8:N8">
      <formula1>AND(LEN(UNJC0020_H_JURI_NO)=LENB(UNJC0020_H_JURI_NO),LEN(UNJC0020_H_JURI_NO)=10)</formula1>
    </dataValidation>
    <dataValidation type="custom" allowBlank="1" showInputMessage="1" showErrorMessage="1" sqref="K12:N12">
      <formula1>AND(LEN(UNJC0020_H_MITSUMORI_NO)=LENB(UNJC0020_H_MITSUMORI_NO),LEN(UNJC0020_H_MITSUMORI_NO)=10)</formula1>
    </dataValidation>
    <dataValidation type="custom" allowBlank="1" showInputMessage="1" showErrorMessage="1" sqref="O17:AD17 O19:AD19">
      <formula1>LEN(O17)&lt;=25</formula1>
    </dataValidation>
    <dataValidation type="custom" allowBlank="1" showInputMessage="1" showErrorMessage="1" sqref="W21:AD21 L9:N10 K3:N4 K9:K11">
      <formula1>LEN(K3)&lt;=20</formula1>
    </dataValidation>
    <dataValidation type="custom" allowBlank="1" showInputMessage="1" showErrorMessage="1" sqref="K17:N19">
      <formula1>AND(LEN(K17)=LENB(K17),LEN(K17)&lt;=10)</formula1>
    </dataValidation>
    <dataValidation type="textLength" operator="lessThanOrEqual" allowBlank="1" showInputMessage="1" showErrorMessage="1" sqref="K21:R21">
      <formula1>20</formula1>
    </dataValidation>
    <dataValidation type="date" allowBlank="1" showInputMessage="1" showErrorMessage="1" sqref="V8:Y12 AA8:AD12">
      <formula1>36526</formula1>
      <formula2>73415</formula2>
    </dataValidation>
    <dataValidation type="custom" allowBlank="1" showInputMessage="1" showErrorMessage="1" sqref="K15:N15">
      <formula1>AND(LEN(K15)=LENB(K15),LEN(K15)&lt;=9)</formula1>
    </dataValidation>
  </dataValidations>
  <pageMargins left="0.7" right="0.7" top="0.75" bottom="0.75" header="0.3" footer="0.3"/>
  <pageSetup paperSize="9" scale="87"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64033" r:id="rId4" name="Option Button 1">
              <controlPr defaultSize="0" autoFill="0" autoLine="0" autoPict="0">
                <anchor moveWithCells="1">
                  <from>
                    <xdr:col>24</xdr:col>
                    <xdr:colOff>85725</xdr:colOff>
                    <xdr:row>22</xdr:row>
                    <xdr:rowOff>190500</xdr:rowOff>
                  </from>
                  <to>
                    <xdr:col>26</xdr:col>
                    <xdr:colOff>104775</xdr:colOff>
                    <xdr:row>24</xdr:row>
                    <xdr:rowOff>38100</xdr:rowOff>
                  </to>
                </anchor>
              </controlPr>
            </control>
          </mc:Choice>
        </mc:AlternateContent>
        <mc:AlternateContent xmlns:mc="http://schemas.openxmlformats.org/markup-compatibility/2006">
          <mc:Choice Requires="x14">
            <control shapeId="1964034" r:id="rId5" name="Option Button 2">
              <controlPr defaultSize="0" autoFill="0" autoLine="0" autoPict="0">
                <anchor moveWithCells="1">
                  <from>
                    <xdr:col>26</xdr:col>
                    <xdr:colOff>85725</xdr:colOff>
                    <xdr:row>23</xdr:row>
                    <xdr:rowOff>0</xdr:rowOff>
                  </from>
                  <to>
                    <xdr:col>28</xdr:col>
                    <xdr:colOff>19050</xdr:colOff>
                    <xdr:row>24</xdr:row>
                    <xdr:rowOff>38100</xdr:rowOff>
                  </to>
                </anchor>
              </controlPr>
            </control>
          </mc:Choice>
        </mc:AlternateContent>
        <mc:AlternateContent xmlns:mc="http://schemas.openxmlformats.org/markup-compatibility/2006">
          <mc:Choice Requires="x14">
            <control shapeId="1964035" r:id="rId6" name="Option Button 3">
              <controlPr defaultSize="0" autoFill="0" autoLine="0" autoPict="0">
                <anchor moveWithCells="1">
                  <from>
                    <xdr:col>27</xdr:col>
                    <xdr:colOff>238125</xdr:colOff>
                    <xdr:row>22</xdr:row>
                    <xdr:rowOff>200025</xdr:rowOff>
                  </from>
                  <to>
                    <xdr:col>30</xdr:col>
                    <xdr:colOff>104775</xdr:colOff>
                    <xdr:row>24</xdr:row>
                    <xdr:rowOff>38100</xdr:rowOff>
                  </to>
                </anchor>
              </controlPr>
            </control>
          </mc:Choice>
        </mc:AlternateContent>
        <mc:AlternateContent xmlns:mc="http://schemas.openxmlformats.org/markup-compatibility/2006">
          <mc:Choice Requires="x14">
            <control shapeId="1964036" r:id="rId7" name="Check Box 4">
              <controlPr defaultSize="0" autoFill="0" autoLine="0" autoPict="0">
                <anchor moveWithCells="1">
                  <from>
                    <xdr:col>10</xdr:col>
                    <xdr:colOff>47625</xdr:colOff>
                    <xdr:row>4</xdr:row>
                    <xdr:rowOff>9525</xdr:rowOff>
                  </from>
                  <to>
                    <xdr:col>12</xdr:col>
                    <xdr:colOff>190500</xdr:colOff>
                    <xdr:row>4</xdr:row>
                    <xdr:rowOff>161925</xdr:rowOff>
                  </to>
                </anchor>
              </controlPr>
            </control>
          </mc:Choice>
        </mc:AlternateContent>
        <mc:AlternateContent xmlns:mc="http://schemas.openxmlformats.org/markup-compatibility/2006">
          <mc:Choice Requires="x14">
            <control shapeId="1964037" r:id="rId8" name="Check Box 5">
              <controlPr defaultSize="0" autoFill="0" autoLine="0" autoPict="0">
                <anchor moveWithCells="1">
                  <from>
                    <xdr:col>14</xdr:col>
                    <xdr:colOff>57150</xdr:colOff>
                    <xdr:row>4</xdr:row>
                    <xdr:rowOff>9525</xdr:rowOff>
                  </from>
                  <to>
                    <xdr:col>17</xdr:col>
                    <xdr:colOff>85725</xdr:colOff>
                    <xdr:row>4</xdr:row>
                    <xdr:rowOff>180975</xdr:rowOff>
                  </to>
                </anchor>
              </controlPr>
            </control>
          </mc:Choice>
        </mc:AlternateContent>
        <mc:AlternateContent xmlns:mc="http://schemas.openxmlformats.org/markup-compatibility/2006">
          <mc:Choice Requires="x14">
            <control shapeId="1964038" r:id="rId9" name="Check Box 6">
              <controlPr defaultSize="0" autoFill="0" autoLine="0" autoPict="0">
                <anchor moveWithCells="1">
                  <from>
                    <xdr:col>22</xdr:col>
                    <xdr:colOff>57150</xdr:colOff>
                    <xdr:row>4</xdr:row>
                    <xdr:rowOff>9525</xdr:rowOff>
                  </from>
                  <to>
                    <xdr:col>26</xdr:col>
                    <xdr:colOff>0</xdr:colOff>
                    <xdr:row>4</xdr:row>
                    <xdr:rowOff>152400</xdr:rowOff>
                  </to>
                </anchor>
              </controlPr>
            </control>
          </mc:Choice>
        </mc:AlternateContent>
        <mc:AlternateContent xmlns:mc="http://schemas.openxmlformats.org/markup-compatibility/2006">
          <mc:Choice Requires="x14">
            <control shapeId="1964039" r:id="rId10" name="Check Box 7">
              <controlPr defaultSize="0" autoFill="0" autoLine="0" autoPict="0">
                <anchor moveWithCells="1">
                  <from>
                    <xdr:col>18</xdr:col>
                    <xdr:colOff>47625</xdr:colOff>
                    <xdr:row>4</xdr:row>
                    <xdr:rowOff>9525</xdr:rowOff>
                  </from>
                  <to>
                    <xdr:col>21</xdr:col>
                    <xdr:colOff>161925</xdr:colOff>
                    <xdr:row>4</xdr:row>
                    <xdr:rowOff>152400</xdr:rowOff>
                  </to>
                </anchor>
              </controlPr>
            </control>
          </mc:Choice>
        </mc:AlternateContent>
        <mc:AlternateContent xmlns:mc="http://schemas.openxmlformats.org/markup-compatibility/2006">
          <mc:Choice Requires="x14">
            <control shapeId="1964040" r:id="rId11" name="Check Box 8">
              <controlPr defaultSize="0" autoFill="0" autoLine="0" autoPict="0">
                <anchor moveWithCells="1">
                  <from>
                    <xdr:col>26</xdr:col>
                    <xdr:colOff>76200</xdr:colOff>
                    <xdr:row>4</xdr:row>
                    <xdr:rowOff>9525</xdr:rowOff>
                  </from>
                  <to>
                    <xdr:col>28</xdr:col>
                    <xdr:colOff>180975</xdr:colOff>
                    <xdr:row>4</xdr:row>
                    <xdr:rowOff>152400</xdr:rowOff>
                  </to>
                </anchor>
              </controlPr>
            </control>
          </mc:Choice>
        </mc:AlternateContent>
        <mc:AlternateContent xmlns:mc="http://schemas.openxmlformats.org/markup-compatibility/2006">
          <mc:Choice Requires="x14">
            <control shapeId="1964041" r:id="rId12" name="Check Box 9">
              <controlPr defaultSize="0" autoFill="0" autoLine="0" autoPict="0">
                <anchor moveWithCells="1">
                  <from>
                    <xdr:col>30</xdr:col>
                    <xdr:colOff>95250</xdr:colOff>
                    <xdr:row>4</xdr:row>
                    <xdr:rowOff>9525</xdr:rowOff>
                  </from>
                  <to>
                    <xdr:col>33</xdr:col>
                    <xdr:colOff>152400</xdr:colOff>
                    <xdr:row>4</xdr:row>
                    <xdr:rowOff>161925</xdr:rowOff>
                  </to>
                </anchor>
              </controlPr>
            </control>
          </mc:Choice>
        </mc:AlternateContent>
        <mc:AlternateContent xmlns:mc="http://schemas.openxmlformats.org/markup-compatibility/2006">
          <mc:Choice Requires="x14">
            <control shapeId="1964042" r:id="rId13" name="Check Box 10">
              <controlPr defaultSize="0" autoFill="0" autoLine="0" autoPict="0">
                <anchor moveWithCells="1">
                  <from>
                    <xdr:col>10</xdr:col>
                    <xdr:colOff>57150</xdr:colOff>
                    <xdr:row>5</xdr:row>
                    <xdr:rowOff>28575</xdr:rowOff>
                  </from>
                  <to>
                    <xdr:col>13</xdr:col>
                    <xdr:colOff>171450</xdr:colOff>
                    <xdr:row>5</xdr:row>
                    <xdr:rowOff>171450</xdr:rowOff>
                  </to>
                </anchor>
              </controlPr>
            </control>
          </mc:Choice>
        </mc:AlternateContent>
        <mc:AlternateContent xmlns:mc="http://schemas.openxmlformats.org/markup-compatibility/2006">
          <mc:Choice Requires="x14">
            <control shapeId="1964043" r:id="rId14" name="Check Box 11">
              <controlPr defaultSize="0" autoFill="0" autoLine="0" autoPict="0">
                <anchor moveWithCells="1">
                  <from>
                    <xdr:col>14</xdr:col>
                    <xdr:colOff>57150</xdr:colOff>
                    <xdr:row>5</xdr:row>
                    <xdr:rowOff>19050</xdr:rowOff>
                  </from>
                  <to>
                    <xdr:col>17</xdr:col>
                    <xdr:colOff>38100</xdr:colOff>
                    <xdr:row>5</xdr:row>
                    <xdr:rowOff>180975</xdr:rowOff>
                  </to>
                </anchor>
              </controlPr>
            </control>
          </mc:Choice>
        </mc:AlternateContent>
        <mc:AlternateContent xmlns:mc="http://schemas.openxmlformats.org/markup-compatibility/2006">
          <mc:Choice Requires="x14">
            <control shapeId="1964044" r:id="rId15" name="Check Box 12">
              <controlPr defaultSize="0" autoFill="0" autoLine="0" autoPict="0">
                <anchor moveWithCells="1">
                  <from>
                    <xdr:col>22</xdr:col>
                    <xdr:colOff>57150</xdr:colOff>
                    <xdr:row>5</xdr:row>
                    <xdr:rowOff>28575</xdr:rowOff>
                  </from>
                  <to>
                    <xdr:col>25</xdr:col>
                    <xdr:colOff>228600</xdr:colOff>
                    <xdr:row>5</xdr:row>
                    <xdr:rowOff>171450</xdr:rowOff>
                  </to>
                </anchor>
              </controlPr>
            </control>
          </mc:Choice>
        </mc:AlternateContent>
        <mc:AlternateContent xmlns:mc="http://schemas.openxmlformats.org/markup-compatibility/2006">
          <mc:Choice Requires="x14">
            <control shapeId="1964045" r:id="rId16" name="Check Box 13">
              <controlPr defaultSize="0" autoFill="0" autoLine="0" autoPict="0">
                <anchor moveWithCells="1">
                  <from>
                    <xdr:col>26</xdr:col>
                    <xdr:colOff>76200</xdr:colOff>
                    <xdr:row>4</xdr:row>
                    <xdr:rowOff>180975</xdr:rowOff>
                  </from>
                  <to>
                    <xdr:col>29</xdr:col>
                    <xdr:colOff>38100</xdr:colOff>
                    <xdr:row>6</xdr:row>
                    <xdr:rowOff>9525</xdr:rowOff>
                  </to>
                </anchor>
              </controlPr>
            </control>
          </mc:Choice>
        </mc:AlternateContent>
        <mc:AlternateContent xmlns:mc="http://schemas.openxmlformats.org/markup-compatibility/2006">
          <mc:Choice Requires="x14">
            <control shapeId="1964046" r:id="rId17" name="Check Box 14">
              <controlPr defaultSize="0" autoFill="0" autoLine="0" autoPict="0">
                <anchor moveWithCells="1">
                  <from>
                    <xdr:col>30</xdr:col>
                    <xdr:colOff>85725</xdr:colOff>
                    <xdr:row>5</xdr:row>
                    <xdr:rowOff>19050</xdr:rowOff>
                  </from>
                  <to>
                    <xdr:col>33</xdr:col>
                    <xdr:colOff>9525</xdr:colOff>
                    <xdr:row>5</xdr:row>
                    <xdr:rowOff>180975</xdr:rowOff>
                  </to>
                </anchor>
              </controlPr>
            </control>
          </mc:Choice>
        </mc:AlternateContent>
        <mc:AlternateContent xmlns:mc="http://schemas.openxmlformats.org/markup-compatibility/2006">
          <mc:Choice Requires="x14">
            <control shapeId="1964047" r:id="rId18" name="Check Box 15">
              <controlPr defaultSize="0" autoFill="0" autoLine="0" autoPict="0">
                <anchor moveWithCells="1">
                  <from>
                    <xdr:col>32</xdr:col>
                    <xdr:colOff>57150</xdr:colOff>
                    <xdr:row>22</xdr:row>
                    <xdr:rowOff>190500</xdr:rowOff>
                  </from>
                  <to>
                    <xdr:col>36</xdr:col>
                    <xdr:colOff>47625</xdr:colOff>
                    <xdr:row>24</xdr:row>
                    <xdr:rowOff>9525</xdr:rowOff>
                  </to>
                </anchor>
              </controlPr>
            </control>
          </mc:Choice>
        </mc:AlternateContent>
        <mc:AlternateContent xmlns:mc="http://schemas.openxmlformats.org/markup-compatibility/2006">
          <mc:Choice Requires="x14">
            <control shapeId="1964048" r:id="rId19" name="Check Box 16">
              <controlPr defaultSize="0" autoFill="0" autoLine="0" autoPict="0">
                <anchor moveWithCells="1">
                  <from>
                    <xdr:col>18</xdr:col>
                    <xdr:colOff>47625</xdr:colOff>
                    <xdr:row>4</xdr:row>
                    <xdr:rowOff>190500</xdr:rowOff>
                  </from>
                  <to>
                    <xdr:col>22</xdr:col>
                    <xdr:colOff>9525</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AP60"/>
  <sheetViews>
    <sheetView showGridLines="0" showRowColHeaders="0" topLeftCell="G21" zoomScaleNormal="100" workbookViewId="0">
      <selection sqref="A1:F1 AD22:AP22"/>
    </sheetView>
  </sheetViews>
  <sheetFormatPr defaultRowHeight="16.5"/>
  <cols>
    <col min="1" max="1" width="2.375" style="231" hidden="1" customWidth="1"/>
    <col min="2" max="3" width="21.75" style="231" hidden="1" customWidth="1"/>
    <col min="4" max="4" width="17.625" style="231" hidden="1" customWidth="1"/>
    <col min="5" max="6" width="9" style="231" hidden="1" customWidth="1"/>
    <col min="7" max="7" width="3.375" style="207" customWidth="1"/>
    <col min="8" max="8" width="4.75" style="915" bestFit="1" customWidth="1"/>
    <col min="9" max="9" width="12.25" style="915" bestFit="1" customWidth="1"/>
    <col min="10" max="10" width="9.625" style="915" bestFit="1" customWidth="1"/>
    <col min="11" max="11" width="11.5" style="915" customWidth="1"/>
    <col min="12" max="12" width="20.125" style="915" customWidth="1"/>
    <col min="13" max="13" width="40.25" style="906" customWidth="1"/>
    <col min="14" max="18" width="11.75" style="915" customWidth="1"/>
    <col min="19" max="19" width="11.625" style="915" customWidth="1"/>
    <col min="20" max="22" width="9.625" style="915" bestFit="1" customWidth="1"/>
    <col min="23" max="23" width="13.875" style="915" customWidth="1"/>
    <col min="24" max="24" width="9.625" style="915" bestFit="1" customWidth="1"/>
    <col min="25" max="25" width="20.125" style="915" customWidth="1"/>
    <col min="26" max="26" width="6.375" style="915" bestFit="1" customWidth="1"/>
    <col min="27" max="27" width="11.125" style="915" customWidth="1"/>
    <col min="28" max="28" width="9.25" style="915" customWidth="1"/>
    <col min="29" max="29" width="4.5" style="915" customWidth="1"/>
    <col min="30" max="42" width="4.75" style="915" hidden="1" customWidth="1"/>
    <col min="43" max="16384" width="9" style="915"/>
  </cols>
  <sheetData>
    <row r="1" spans="1:13" s="919" customFormat="1" ht="6.75" hidden="1" customHeight="1">
      <c r="A1" s="231"/>
      <c r="B1" s="231"/>
      <c r="C1" s="231"/>
      <c r="D1" s="231"/>
      <c r="E1" s="231"/>
      <c r="F1" s="231"/>
      <c r="G1" s="325"/>
      <c r="M1" s="905"/>
    </row>
    <row r="2" spans="1:13" s="919" customFormat="1" ht="6.75" hidden="1" customHeight="1">
      <c r="A2" s="231"/>
      <c r="B2" s="231"/>
      <c r="C2" s="231"/>
      <c r="D2" s="231"/>
      <c r="E2" s="231"/>
      <c r="F2" s="231"/>
      <c r="G2" s="325"/>
      <c r="M2" s="905"/>
    </row>
    <row r="3" spans="1:13" s="919" customFormat="1" ht="6.75" hidden="1" customHeight="1">
      <c r="A3" s="231"/>
      <c r="B3" s="231"/>
      <c r="C3" s="231"/>
      <c r="D3" s="231"/>
      <c r="E3" s="231"/>
      <c r="F3" s="231"/>
      <c r="G3" s="325"/>
      <c r="M3" s="905"/>
    </row>
    <row r="4" spans="1:13" s="919" customFormat="1" ht="6.75" hidden="1" customHeight="1">
      <c r="A4" s="231"/>
      <c r="B4" s="231"/>
      <c r="C4" s="231"/>
      <c r="D4" s="231"/>
      <c r="E4" s="231"/>
      <c r="F4" s="231"/>
      <c r="G4" s="325"/>
      <c r="M4" s="905"/>
    </row>
    <row r="5" spans="1:13" s="919" customFormat="1" ht="6.75" hidden="1" customHeight="1">
      <c r="A5" s="231"/>
      <c r="B5" s="231"/>
      <c r="C5" s="231"/>
      <c r="D5" s="231"/>
      <c r="E5" s="231"/>
      <c r="F5" s="231"/>
      <c r="G5" s="325"/>
      <c r="M5" s="905"/>
    </row>
    <row r="6" spans="1:13" s="919" customFormat="1" ht="6.75" hidden="1" customHeight="1">
      <c r="A6" s="231"/>
      <c r="B6" s="231"/>
      <c r="C6" s="231"/>
      <c r="D6" s="231"/>
      <c r="E6" s="231"/>
      <c r="F6" s="231"/>
      <c r="G6" s="325"/>
      <c r="M6" s="905"/>
    </row>
    <row r="7" spans="1:13" s="919" customFormat="1" ht="6.75" hidden="1" customHeight="1">
      <c r="A7" s="231"/>
      <c r="B7" s="231"/>
      <c r="C7" s="231"/>
      <c r="D7" s="231"/>
      <c r="E7" s="231"/>
      <c r="F7" s="231"/>
      <c r="G7" s="325"/>
      <c r="M7" s="905"/>
    </row>
    <row r="8" spans="1:13" s="919" customFormat="1" ht="6.75" hidden="1" customHeight="1">
      <c r="A8" s="231"/>
      <c r="B8" s="231"/>
      <c r="C8" s="231"/>
      <c r="D8" s="231"/>
      <c r="E8" s="231"/>
      <c r="F8" s="231"/>
      <c r="G8" s="325"/>
      <c r="M8" s="905"/>
    </row>
    <row r="9" spans="1:13" s="919" customFormat="1" ht="6.75" hidden="1" customHeight="1">
      <c r="A9" s="231"/>
      <c r="B9" s="231"/>
      <c r="C9" s="231"/>
      <c r="D9" s="231"/>
      <c r="E9" s="231"/>
      <c r="F9" s="231"/>
      <c r="G9" s="325"/>
      <c r="M9" s="905"/>
    </row>
    <row r="10" spans="1:13" s="919" customFormat="1" ht="6.75" hidden="1" customHeight="1">
      <c r="A10" s="231"/>
      <c r="B10" s="231"/>
      <c r="C10" s="231"/>
      <c r="D10" s="231"/>
      <c r="E10" s="231"/>
      <c r="F10" s="231"/>
      <c r="G10" s="325"/>
      <c r="M10" s="905"/>
    </row>
    <row r="11" spans="1:13" s="919" customFormat="1" ht="6.75" hidden="1" customHeight="1">
      <c r="A11" s="231"/>
      <c r="B11" s="231"/>
      <c r="C11" s="231"/>
      <c r="D11" s="231"/>
      <c r="E11" s="231"/>
      <c r="F11" s="231"/>
      <c r="G11" s="325"/>
      <c r="M11" s="905"/>
    </row>
    <row r="12" spans="1:13" s="919" customFormat="1" ht="6.75" hidden="1" customHeight="1">
      <c r="A12" s="231"/>
      <c r="B12" s="231"/>
      <c r="C12" s="231"/>
      <c r="D12" s="231"/>
      <c r="E12" s="231"/>
      <c r="F12" s="231"/>
      <c r="G12" s="325"/>
      <c r="M12" s="905"/>
    </row>
    <row r="13" spans="1:13" s="919" customFormat="1" ht="6.75" hidden="1" customHeight="1">
      <c r="A13" s="231"/>
      <c r="B13" s="231"/>
      <c r="C13" s="231"/>
      <c r="D13" s="231"/>
      <c r="E13" s="231"/>
      <c r="F13" s="231"/>
      <c r="G13" s="325"/>
      <c r="M13" s="905"/>
    </row>
    <row r="14" spans="1:13" s="919" customFormat="1" ht="6.75" hidden="1" customHeight="1">
      <c r="A14" s="231"/>
      <c r="B14" s="231"/>
      <c r="C14" s="231"/>
      <c r="D14" s="231"/>
      <c r="E14" s="231"/>
      <c r="F14" s="231"/>
      <c r="G14" s="325"/>
      <c r="M14" s="905"/>
    </row>
    <row r="15" spans="1:13" s="919" customFormat="1" ht="6.75" hidden="1" customHeight="1">
      <c r="A15" s="231"/>
      <c r="B15" s="231"/>
      <c r="C15" s="231"/>
      <c r="D15" s="231"/>
      <c r="E15" s="231"/>
      <c r="F15" s="231"/>
      <c r="G15" s="325"/>
      <c r="M15" s="905"/>
    </row>
    <row r="16" spans="1:13" s="919" customFormat="1" ht="6.75" hidden="1" customHeight="1">
      <c r="A16" s="231"/>
      <c r="B16" s="231"/>
      <c r="C16" s="231"/>
      <c r="D16" s="231"/>
      <c r="E16" s="231"/>
      <c r="F16" s="231"/>
      <c r="G16" s="325"/>
      <c r="M16" s="905"/>
    </row>
    <row r="17" spans="1:42" s="919" customFormat="1" ht="6.75" hidden="1" customHeight="1">
      <c r="A17" s="231"/>
      <c r="B17" s="231"/>
      <c r="C17" s="231"/>
      <c r="D17" s="231"/>
      <c r="E17" s="231"/>
      <c r="F17" s="231"/>
      <c r="G17" s="325"/>
      <c r="M17" s="905"/>
    </row>
    <row r="18" spans="1:42" s="919" customFormat="1" ht="6.75" hidden="1" customHeight="1">
      <c r="A18" s="231"/>
      <c r="B18" s="231"/>
      <c r="C18" s="231"/>
      <c r="D18" s="231"/>
      <c r="E18" s="231"/>
      <c r="F18" s="231"/>
      <c r="G18" s="325"/>
      <c r="M18" s="905"/>
    </row>
    <row r="19" spans="1:42" s="919" customFormat="1" ht="6.75" hidden="1" customHeight="1">
      <c r="A19" s="231"/>
      <c r="B19" s="231"/>
      <c r="C19" s="231"/>
      <c r="D19" s="231"/>
      <c r="E19" s="231"/>
      <c r="F19" s="231"/>
      <c r="G19" s="325"/>
      <c r="M19" s="905"/>
    </row>
    <row r="20" spans="1:42" s="919" customFormat="1" ht="6.75" hidden="1" customHeight="1">
      <c r="A20" s="231"/>
      <c r="B20" s="231"/>
      <c r="C20" s="231"/>
      <c r="D20" s="231"/>
      <c r="E20" s="231"/>
      <c r="F20" s="231"/>
      <c r="G20" s="325"/>
      <c r="M20" s="905"/>
    </row>
    <row r="21" spans="1:42">
      <c r="G21" s="207" t="str">
        <f>IF(UNJC0020_B_PAGE_NO=0,"","("&amp;UNJC0020_B_PAGE_NO&amp;"/"&amp;UNJC0020_B_ALL_PAGE_SU&amp;")")</f>
        <v>(1/1)</v>
      </c>
      <c r="H21" s="920"/>
    </row>
    <row r="22" spans="1:42">
      <c r="G22" s="114"/>
      <c r="H22" s="913" t="s">
        <v>0</v>
      </c>
      <c r="I22" s="913" t="s">
        <v>822</v>
      </c>
      <c r="J22" s="913" t="s">
        <v>819</v>
      </c>
      <c r="K22" s="913" t="s">
        <v>28</v>
      </c>
      <c r="L22" s="913" t="s">
        <v>829</v>
      </c>
      <c r="M22" s="1171" t="s">
        <v>5</v>
      </c>
      <c r="N22" s="913" t="s">
        <v>823</v>
      </c>
      <c r="O22" s="913" t="s">
        <v>824</v>
      </c>
      <c r="P22" s="913" t="s">
        <v>825</v>
      </c>
      <c r="Q22" s="913" t="s">
        <v>826</v>
      </c>
      <c r="R22" s="913" t="s">
        <v>827</v>
      </c>
      <c r="S22" s="913" t="s">
        <v>29</v>
      </c>
      <c r="T22" s="913" t="s">
        <v>86</v>
      </c>
      <c r="U22" s="913" t="s">
        <v>821</v>
      </c>
      <c r="V22" s="913" t="s">
        <v>4514</v>
      </c>
      <c r="W22" s="913" t="s">
        <v>3606</v>
      </c>
      <c r="X22" s="913" t="s">
        <v>794</v>
      </c>
      <c r="Y22" s="913" t="s">
        <v>4</v>
      </c>
      <c r="Z22" s="913" t="s">
        <v>4324</v>
      </c>
      <c r="AA22" s="913" t="s">
        <v>2</v>
      </c>
      <c r="AB22" s="913" t="s">
        <v>95</v>
      </c>
      <c r="AC22" s="913" t="s">
        <v>9</v>
      </c>
      <c r="AD22" s="914" t="s">
        <v>830</v>
      </c>
      <c r="AE22" s="942" t="s">
        <v>828</v>
      </c>
      <c r="AF22" s="942" t="s">
        <v>3</v>
      </c>
      <c r="AG22" s="914" t="s">
        <v>831</v>
      </c>
      <c r="AH22" s="914" t="s">
        <v>440</v>
      </c>
      <c r="AI22" s="914" t="s">
        <v>832</v>
      </c>
      <c r="AJ22" s="914" t="s">
        <v>97</v>
      </c>
      <c r="AK22" s="914" t="s">
        <v>98</v>
      </c>
      <c r="AL22" s="914" t="s">
        <v>3783</v>
      </c>
      <c r="AM22" s="914" t="s">
        <v>4479</v>
      </c>
      <c r="AN22" s="914" t="s">
        <v>3763</v>
      </c>
      <c r="AO22" s="914" t="s">
        <v>833</v>
      </c>
      <c r="AP22" s="914" t="s">
        <v>4443</v>
      </c>
    </row>
    <row r="23" spans="1:42">
      <c r="A23" s="296" t="s">
        <v>834</v>
      </c>
      <c r="C23" s="21"/>
      <c r="H23" s="828"/>
      <c r="I23" s="828"/>
      <c r="J23" s="828"/>
      <c r="K23" s="828"/>
      <c r="L23" s="828"/>
      <c r="M23" s="329"/>
      <c r="N23" s="828"/>
      <c r="O23" s="828"/>
      <c r="P23" s="828"/>
      <c r="Q23" s="828"/>
      <c r="R23" s="828"/>
      <c r="S23" s="828"/>
      <c r="T23" s="828"/>
      <c r="U23" s="828"/>
      <c r="V23" s="828"/>
      <c r="W23" s="828"/>
      <c r="X23" s="828"/>
      <c r="Y23" s="828"/>
      <c r="Z23" s="828"/>
      <c r="AA23" s="828"/>
      <c r="AB23" s="828"/>
      <c r="AC23" s="828"/>
      <c r="AD23" s="828"/>
      <c r="AE23" s="828"/>
      <c r="AF23" s="828"/>
      <c r="AG23" s="828"/>
      <c r="AH23" s="828"/>
      <c r="AI23" s="828"/>
      <c r="AJ23" s="828"/>
      <c r="AK23" s="828"/>
      <c r="AL23" s="828"/>
      <c r="AM23" s="828"/>
      <c r="AN23" s="828"/>
      <c r="AO23" s="828"/>
      <c r="AP23" s="828"/>
    </row>
    <row r="24" spans="1:42">
      <c r="B24" s="231" t="s">
        <v>835</v>
      </c>
      <c r="C24" s="21" t="s">
        <v>836</v>
      </c>
      <c r="D24" s="232">
        <v>50</v>
      </c>
      <c r="H24" s="916"/>
      <c r="I24" s="916"/>
      <c r="J24" s="916"/>
      <c r="K24" s="916"/>
      <c r="L24" s="916"/>
      <c r="M24" s="1172"/>
      <c r="N24" s="916"/>
      <c r="O24" s="916"/>
      <c r="P24" s="916"/>
      <c r="Q24" s="916"/>
      <c r="R24" s="916"/>
      <c r="S24" s="916"/>
      <c r="T24" s="916"/>
      <c r="U24" s="916"/>
      <c r="V24" s="916"/>
      <c r="W24" s="916"/>
      <c r="X24" s="916"/>
      <c r="Y24" s="916"/>
      <c r="Z24" s="916"/>
      <c r="AA24" s="916"/>
      <c r="AB24" s="916"/>
      <c r="AC24" s="916"/>
      <c r="AD24" s="916"/>
      <c r="AE24" s="916"/>
      <c r="AF24" s="916"/>
      <c r="AG24" s="916"/>
      <c r="AH24" s="916"/>
      <c r="AI24" s="916"/>
      <c r="AJ24" s="916"/>
      <c r="AK24" s="916"/>
      <c r="AL24" s="916"/>
      <c r="AM24" s="916"/>
      <c r="AN24" s="916"/>
      <c r="AO24" s="916"/>
      <c r="AP24" s="916"/>
    </row>
    <row r="25" spans="1:42">
      <c r="C25" s="21"/>
      <c r="H25" s="916"/>
      <c r="I25" s="916"/>
      <c r="J25" s="916"/>
      <c r="K25" s="916"/>
      <c r="L25" s="916"/>
      <c r="M25" s="1172"/>
      <c r="N25" s="916"/>
      <c r="O25" s="916"/>
      <c r="P25" s="916"/>
      <c r="Q25" s="916"/>
      <c r="R25" s="916"/>
      <c r="S25" s="916"/>
      <c r="T25" s="916"/>
      <c r="U25" s="916"/>
      <c r="V25" s="916"/>
      <c r="W25" s="916"/>
      <c r="X25" s="916"/>
      <c r="Y25" s="916"/>
      <c r="Z25" s="916"/>
      <c r="AA25" s="916"/>
      <c r="AB25" s="916"/>
      <c r="AC25" s="916"/>
      <c r="AD25" s="916"/>
      <c r="AE25" s="916"/>
      <c r="AF25" s="916"/>
      <c r="AG25" s="916"/>
      <c r="AH25" s="916"/>
      <c r="AI25" s="916"/>
      <c r="AJ25" s="916"/>
      <c r="AK25" s="916"/>
      <c r="AL25" s="916"/>
      <c r="AM25" s="916"/>
      <c r="AN25" s="916"/>
      <c r="AO25" s="916"/>
      <c r="AP25" s="916"/>
    </row>
    <row r="26" spans="1:42">
      <c r="A26" s="296" t="s">
        <v>837</v>
      </c>
      <c r="C26" s="21"/>
      <c r="H26" s="828"/>
      <c r="I26" s="828"/>
      <c r="J26" s="828"/>
      <c r="K26" s="828"/>
      <c r="L26" s="828"/>
      <c r="M26" s="329"/>
      <c r="N26" s="828"/>
      <c r="O26" s="828"/>
      <c r="P26" s="828"/>
      <c r="Q26" s="828"/>
      <c r="R26" s="828"/>
      <c r="S26" s="828"/>
      <c r="T26" s="828"/>
      <c r="U26" s="828"/>
      <c r="V26" s="828"/>
      <c r="W26" s="828"/>
      <c r="X26" s="828"/>
      <c r="Y26" s="828"/>
      <c r="Z26" s="828"/>
      <c r="AA26" s="828"/>
      <c r="AB26" s="828"/>
      <c r="AC26" s="828"/>
      <c r="AD26" s="828"/>
      <c r="AE26" s="828"/>
      <c r="AF26" s="828"/>
      <c r="AG26" s="828"/>
      <c r="AH26" s="828"/>
      <c r="AI26" s="828"/>
      <c r="AJ26" s="828"/>
      <c r="AK26" s="828"/>
      <c r="AL26" s="828"/>
      <c r="AM26" s="828"/>
      <c r="AN26" s="828"/>
      <c r="AO26" s="828"/>
      <c r="AP26" s="828"/>
    </row>
    <row r="27" spans="1:42">
      <c r="B27" s="231" t="s">
        <v>259</v>
      </c>
      <c r="C27" s="21" t="s">
        <v>838</v>
      </c>
      <c r="D27" s="232"/>
      <c r="H27" s="828"/>
      <c r="I27" s="828"/>
      <c r="J27" s="828"/>
      <c r="K27" s="828"/>
      <c r="L27" s="828"/>
      <c r="M27" s="329"/>
      <c r="N27" s="828"/>
      <c r="O27" s="828"/>
      <c r="P27" s="828"/>
      <c r="Q27" s="828"/>
      <c r="R27" s="828"/>
      <c r="S27" s="828"/>
      <c r="T27" s="828"/>
      <c r="U27" s="828"/>
      <c r="V27" s="828"/>
      <c r="W27" s="828"/>
      <c r="X27" s="828"/>
      <c r="Y27" s="828"/>
      <c r="Z27" s="828"/>
      <c r="AA27" s="828"/>
      <c r="AB27" s="828"/>
      <c r="AC27" s="828"/>
      <c r="AD27" s="828"/>
      <c r="AE27" s="828"/>
      <c r="AF27" s="828"/>
      <c r="AG27" s="828"/>
      <c r="AH27" s="828"/>
      <c r="AI27" s="828"/>
      <c r="AJ27" s="828"/>
      <c r="AK27" s="828"/>
      <c r="AL27" s="828"/>
      <c r="AM27" s="828"/>
      <c r="AN27" s="828"/>
      <c r="AO27" s="828"/>
      <c r="AP27" s="828"/>
    </row>
    <row r="28" spans="1:42">
      <c r="B28" s="231" t="s">
        <v>190</v>
      </c>
      <c r="C28" s="21" t="s">
        <v>839</v>
      </c>
      <c r="D28" s="189">
        <v>1</v>
      </c>
      <c r="H28" s="828"/>
      <c r="I28" s="828"/>
      <c r="J28" s="828"/>
      <c r="K28" s="828"/>
      <c r="L28" s="828"/>
      <c r="M28" s="329"/>
      <c r="N28" s="828"/>
      <c r="O28" s="828"/>
      <c r="P28" s="828"/>
      <c r="Q28" s="828"/>
      <c r="R28" s="828"/>
      <c r="S28" s="828"/>
      <c r="T28" s="828"/>
      <c r="U28" s="828"/>
      <c r="V28" s="828"/>
      <c r="W28" s="828"/>
      <c r="X28" s="828"/>
      <c r="Y28" s="828"/>
      <c r="Z28" s="828"/>
      <c r="AA28" s="828"/>
      <c r="AB28" s="828"/>
      <c r="AC28" s="828"/>
      <c r="AD28" s="828"/>
      <c r="AE28" s="828"/>
      <c r="AF28" s="828"/>
      <c r="AG28" s="828"/>
      <c r="AH28" s="828"/>
      <c r="AI28" s="828"/>
      <c r="AJ28" s="828"/>
      <c r="AK28" s="828"/>
      <c r="AL28" s="828"/>
      <c r="AM28" s="828"/>
      <c r="AN28" s="828"/>
      <c r="AO28" s="828"/>
      <c r="AP28" s="828"/>
    </row>
    <row r="29" spans="1:42">
      <c r="B29" s="231" t="s">
        <v>191</v>
      </c>
      <c r="C29" s="21" t="s">
        <v>840</v>
      </c>
      <c r="D29" s="81">
        <f>IF(OR(UNJC0020_B_KENSAKU_KENSU=0,UNJC0020_B_CTRL_HYOJI_GYO_SU=0),1,ROUNDUP(UNJC0020_B_KENSAKU_KENSU/UNJC0020_B_CTRL_HYOJI_GYO_SU,0))</f>
        <v>1</v>
      </c>
      <c r="H29" s="828"/>
      <c r="I29" s="828"/>
      <c r="J29" s="828"/>
      <c r="K29" s="828"/>
      <c r="L29" s="828"/>
      <c r="M29" s="329"/>
      <c r="N29" s="828"/>
      <c r="O29" s="828"/>
      <c r="P29" s="828"/>
      <c r="Q29" s="828"/>
      <c r="R29" s="828"/>
      <c r="S29" s="828"/>
      <c r="T29" s="828"/>
      <c r="U29" s="828"/>
      <c r="V29" s="828"/>
      <c r="W29" s="828"/>
      <c r="X29" s="828"/>
      <c r="Y29" s="828"/>
      <c r="Z29" s="828"/>
      <c r="AA29" s="828"/>
      <c r="AB29" s="828"/>
      <c r="AC29" s="828"/>
      <c r="AD29" s="828"/>
      <c r="AE29" s="828"/>
      <c r="AF29" s="828"/>
      <c r="AG29" s="828"/>
      <c r="AH29" s="828"/>
      <c r="AI29" s="828"/>
      <c r="AJ29" s="828"/>
      <c r="AK29" s="828"/>
      <c r="AL29" s="828"/>
      <c r="AM29" s="828"/>
      <c r="AN29" s="828"/>
      <c r="AO29" s="828"/>
      <c r="AP29" s="828"/>
    </row>
    <row r="30" spans="1:42">
      <c r="B30" s="231" t="s">
        <v>126</v>
      </c>
      <c r="C30" s="21" t="s">
        <v>841</v>
      </c>
      <c r="D30" s="232"/>
      <c r="H30" s="828"/>
      <c r="I30" s="828"/>
      <c r="J30" s="828"/>
      <c r="K30" s="828"/>
      <c r="L30" s="828"/>
      <c r="M30" s="329"/>
      <c r="N30" s="828"/>
      <c r="O30" s="828"/>
      <c r="P30" s="828"/>
      <c r="Q30" s="828"/>
      <c r="R30" s="828"/>
      <c r="S30" s="828"/>
      <c r="T30" s="828"/>
      <c r="U30" s="828"/>
      <c r="V30" s="828"/>
      <c r="W30" s="828"/>
      <c r="X30" s="828"/>
      <c r="Y30" s="828"/>
      <c r="Z30" s="828"/>
      <c r="AA30" s="828"/>
      <c r="AB30" s="828"/>
      <c r="AC30" s="828"/>
      <c r="AD30" s="828"/>
      <c r="AE30" s="828"/>
      <c r="AF30" s="828"/>
      <c r="AG30" s="828"/>
      <c r="AH30" s="828"/>
      <c r="AI30" s="828"/>
      <c r="AJ30" s="828"/>
      <c r="AK30" s="828"/>
      <c r="AL30" s="828"/>
      <c r="AM30" s="828"/>
      <c r="AN30" s="828"/>
      <c r="AO30" s="828"/>
      <c r="AP30" s="828"/>
    </row>
    <row r="31" spans="1:42">
      <c r="C31" s="21"/>
      <c r="H31" s="828"/>
      <c r="I31" s="828"/>
      <c r="J31" s="828"/>
      <c r="K31" s="828"/>
      <c r="L31" s="828"/>
      <c r="M31" s="329"/>
      <c r="N31" s="828"/>
      <c r="O31" s="828"/>
      <c r="P31" s="828"/>
      <c r="Q31" s="828"/>
      <c r="R31" s="828"/>
      <c r="S31" s="828"/>
      <c r="T31" s="828"/>
      <c r="U31" s="828"/>
      <c r="V31" s="828"/>
      <c r="W31" s="828"/>
      <c r="X31" s="828"/>
      <c r="Y31" s="828"/>
      <c r="Z31" s="828"/>
      <c r="AA31" s="828"/>
      <c r="AB31" s="828"/>
      <c r="AC31" s="828"/>
      <c r="AD31" s="828"/>
      <c r="AE31" s="828"/>
      <c r="AF31" s="828"/>
      <c r="AG31" s="828"/>
      <c r="AH31" s="828"/>
      <c r="AI31" s="828"/>
      <c r="AJ31" s="828"/>
      <c r="AK31" s="828"/>
      <c r="AL31" s="828"/>
      <c r="AM31" s="828"/>
      <c r="AN31" s="828"/>
      <c r="AO31" s="828"/>
      <c r="AP31" s="828"/>
    </row>
    <row r="32" spans="1:42">
      <c r="B32" s="231" t="s">
        <v>201</v>
      </c>
      <c r="C32" s="21" t="s">
        <v>842</v>
      </c>
      <c r="D32" s="232" t="str">
        <f>ADDRESS(ROW(UNJC0020_B_SENTAKU)+1, COLUMN(UNJC0020_B_SENTAKU))</f>
        <v>$H$23</v>
      </c>
    </row>
    <row r="33" spans="1:42">
      <c r="B33" s="231" t="s">
        <v>203</v>
      </c>
      <c r="C33" s="21" t="s">
        <v>843</v>
      </c>
      <c r="D33" s="232" t="str">
        <f ca="1">IF(UNJC0020_B_HYOJI_KENSU=0,"",UNJC0020_B_LIST_START&amp;":"&amp;
ADDRESS(ROW(INDIRECT(UNJC0020_B_LIST_START))+UNJC0020_B_HYOJI_KENSU-1,COLUMN(INDIRECT(UNJC0020_B_LIST_START))+COLUMNS(UNJC0020_IF_B_LIST_COPY_MOTO)-1))</f>
        <v/>
      </c>
      <c r="G33" s="325"/>
      <c r="H33" s="919"/>
      <c r="I33" s="919"/>
      <c r="J33" s="919"/>
      <c r="K33" s="919"/>
      <c r="L33" s="919"/>
      <c r="M33" s="905"/>
      <c r="N33" s="919"/>
      <c r="O33" s="919"/>
      <c r="P33" s="919"/>
      <c r="Q33" s="919"/>
      <c r="R33" s="919"/>
      <c r="S33" s="919"/>
      <c r="T33" s="919"/>
      <c r="U33" s="919"/>
      <c r="V33" s="919"/>
      <c r="W33" s="919"/>
      <c r="X33" s="919"/>
      <c r="Y33" s="919"/>
      <c r="Z33" s="919"/>
      <c r="AA33" s="919"/>
      <c r="AB33" s="919"/>
      <c r="AC33" s="919"/>
      <c r="AD33" s="919"/>
      <c r="AE33" s="919"/>
      <c r="AF33" s="919"/>
      <c r="AG33" s="919"/>
      <c r="AH33" s="919"/>
      <c r="AI33" s="919"/>
      <c r="AJ33" s="919"/>
      <c r="AK33" s="919"/>
      <c r="AL33" s="919"/>
      <c r="AM33" s="919"/>
      <c r="AN33" s="919"/>
      <c r="AO33" s="919"/>
      <c r="AP33" s="919"/>
    </row>
    <row r="34" spans="1:42">
      <c r="B34" s="231" t="s">
        <v>204</v>
      </c>
      <c r="C34" s="21" t="s">
        <v>844</v>
      </c>
      <c r="D34" s="81" t="str">
        <f ca="1">ADDRESS(ROW(INDIRECT(UNJC0020_B_LIST_START)),COLUMN(INDIRECT(UNJC0020_B_LIST_START)))&amp;":"&amp;
ADDRESS(ROW(INDIRECT(UNJC0020_B_LIST_START))+UNJC0020_B_CTRL_HYOJI_GYO_SU-1,COLUMN(INDIRECT(UNJC0020_B_LIST_START))+COLUMNS(UNJC0020_IF_B_LIST_COPY_MOTO)-1)</f>
        <v>$H$23:$AO$72</v>
      </c>
      <c r="G34" s="325"/>
      <c r="H34" s="919"/>
      <c r="I34" s="919"/>
      <c r="J34" s="919"/>
      <c r="K34" s="919"/>
      <c r="L34" s="919"/>
      <c r="M34" s="905"/>
      <c r="N34" s="919"/>
      <c r="O34" s="919"/>
      <c r="P34" s="919"/>
      <c r="Q34" s="919"/>
      <c r="R34" s="919"/>
      <c r="S34" s="919"/>
      <c r="T34" s="919"/>
      <c r="U34" s="919"/>
      <c r="V34" s="919"/>
      <c r="W34" s="919"/>
      <c r="X34" s="919"/>
      <c r="Y34" s="919"/>
      <c r="Z34" s="919"/>
      <c r="AA34" s="919"/>
      <c r="AB34" s="919"/>
      <c r="AC34" s="919"/>
      <c r="AD34" s="919"/>
      <c r="AE34" s="919"/>
      <c r="AF34" s="919"/>
      <c r="AG34" s="919"/>
      <c r="AH34" s="919"/>
      <c r="AI34" s="919"/>
      <c r="AJ34" s="919"/>
      <c r="AK34" s="919"/>
      <c r="AL34" s="919"/>
      <c r="AM34" s="919"/>
      <c r="AN34" s="919"/>
      <c r="AO34" s="919"/>
      <c r="AP34" s="919"/>
    </row>
    <row r="35" spans="1:42">
      <c r="C35" s="21"/>
      <c r="D35" s="231" t="s">
        <v>845</v>
      </c>
      <c r="G35" s="325"/>
      <c r="H35" s="919"/>
      <c r="I35" s="919"/>
      <c r="J35" s="919"/>
      <c r="K35" s="919"/>
      <c r="L35" s="919"/>
      <c r="M35" s="905"/>
      <c r="N35" s="919"/>
      <c r="O35" s="919"/>
      <c r="P35" s="919"/>
      <c r="Q35" s="919"/>
      <c r="R35" s="919"/>
      <c r="S35" s="919"/>
      <c r="T35" s="919"/>
      <c r="U35" s="919"/>
      <c r="V35" s="919"/>
      <c r="W35" s="919"/>
      <c r="X35" s="919"/>
      <c r="Y35" s="919"/>
      <c r="Z35" s="919"/>
      <c r="AA35" s="919"/>
      <c r="AB35" s="919"/>
      <c r="AC35" s="919"/>
      <c r="AD35" s="919"/>
      <c r="AE35" s="919"/>
      <c r="AF35" s="919"/>
      <c r="AG35" s="919"/>
      <c r="AH35" s="919"/>
      <c r="AI35" s="919"/>
      <c r="AJ35" s="919"/>
      <c r="AK35" s="919"/>
      <c r="AL35" s="919"/>
      <c r="AM35" s="919"/>
      <c r="AN35" s="919"/>
      <c r="AO35" s="919"/>
      <c r="AP35" s="919"/>
    </row>
    <row r="36" spans="1:42">
      <c r="B36" s="231" t="s">
        <v>846</v>
      </c>
      <c r="C36" s="231" t="s">
        <v>847</v>
      </c>
      <c r="D36" s="81">
        <f>IF(UNJC0020_B_HYOJI_KENSU=0,2,1)</f>
        <v>2</v>
      </c>
      <c r="G36" s="325"/>
      <c r="H36" s="919"/>
      <c r="I36" s="919"/>
      <c r="J36" s="919"/>
      <c r="K36" s="919"/>
      <c r="L36" s="919"/>
      <c r="M36" s="905"/>
      <c r="N36" s="919"/>
      <c r="O36" s="919"/>
      <c r="P36" s="919"/>
      <c r="Q36" s="919"/>
      <c r="R36" s="919"/>
      <c r="S36" s="919"/>
      <c r="T36" s="919"/>
      <c r="U36" s="919"/>
      <c r="V36" s="919"/>
      <c r="W36" s="919"/>
      <c r="X36" s="919"/>
      <c r="Y36" s="919"/>
      <c r="Z36" s="919"/>
      <c r="AA36" s="919"/>
      <c r="AB36" s="919"/>
      <c r="AC36" s="919"/>
      <c r="AD36" s="919"/>
      <c r="AE36" s="919"/>
      <c r="AF36" s="919"/>
      <c r="AG36" s="919"/>
      <c r="AH36" s="919"/>
      <c r="AI36" s="919"/>
      <c r="AJ36" s="919"/>
      <c r="AK36" s="919"/>
      <c r="AL36" s="919"/>
      <c r="AM36" s="919"/>
      <c r="AN36" s="919"/>
      <c r="AO36" s="919"/>
      <c r="AP36" s="919"/>
    </row>
    <row r="37" spans="1:42">
      <c r="C37" s="21"/>
      <c r="G37" s="325"/>
      <c r="H37" s="919"/>
      <c r="I37" s="919"/>
      <c r="J37" s="919"/>
      <c r="K37" s="919"/>
      <c r="L37" s="919"/>
      <c r="M37" s="905"/>
      <c r="N37" s="919"/>
      <c r="O37" s="919"/>
      <c r="P37" s="919"/>
      <c r="Q37" s="919"/>
      <c r="R37" s="919"/>
      <c r="S37" s="919"/>
      <c r="T37" s="919"/>
      <c r="U37" s="919"/>
      <c r="V37" s="919"/>
      <c r="W37" s="919"/>
      <c r="X37" s="919"/>
      <c r="Y37" s="919"/>
      <c r="Z37" s="919"/>
      <c r="AA37" s="919"/>
      <c r="AB37" s="919"/>
      <c r="AC37" s="919"/>
      <c r="AD37" s="919"/>
      <c r="AE37" s="919"/>
      <c r="AF37" s="919"/>
      <c r="AG37" s="919"/>
      <c r="AH37" s="919"/>
      <c r="AI37" s="919"/>
      <c r="AJ37" s="919"/>
      <c r="AK37" s="919"/>
      <c r="AL37" s="919"/>
      <c r="AM37" s="919"/>
      <c r="AN37" s="919"/>
      <c r="AO37" s="919"/>
      <c r="AP37" s="919"/>
    </row>
    <row r="38" spans="1:42">
      <c r="A38" s="296" t="s">
        <v>848</v>
      </c>
      <c r="C38" s="21"/>
      <c r="D38" s="231" t="s">
        <v>849</v>
      </c>
      <c r="G38" s="325"/>
      <c r="H38" s="919"/>
      <c r="I38" s="919"/>
      <c r="J38" s="919"/>
      <c r="K38" s="919"/>
      <c r="L38" s="919"/>
      <c r="M38" s="905"/>
      <c r="N38" s="919"/>
      <c r="O38" s="919"/>
      <c r="P38" s="919"/>
      <c r="Q38" s="919"/>
      <c r="R38" s="919"/>
      <c r="S38" s="919"/>
      <c r="T38" s="919"/>
      <c r="U38" s="919"/>
      <c r="V38" s="919"/>
      <c r="W38" s="919"/>
      <c r="X38" s="919"/>
      <c r="Y38" s="919"/>
      <c r="Z38" s="919"/>
      <c r="AA38" s="919"/>
      <c r="AB38" s="919"/>
      <c r="AC38" s="919"/>
      <c r="AD38" s="919"/>
      <c r="AE38" s="919"/>
      <c r="AF38" s="919"/>
      <c r="AG38" s="919"/>
      <c r="AH38" s="919"/>
      <c r="AI38" s="919"/>
      <c r="AJ38" s="919"/>
      <c r="AK38" s="919"/>
      <c r="AL38" s="919"/>
      <c r="AM38" s="919"/>
      <c r="AN38" s="919"/>
      <c r="AO38" s="919"/>
      <c r="AP38" s="919"/>
    </row>
    <row r="39" spans="1:42">
      <c r="B39" s="231" t="s">
        <v>850</v>
      </c>
      <c r="C39" s="21" t="s">
        <v>851</v>
      </c>
      <c r="D39" s="232">
        <f>IF(UNJC0020_B_ALL_PAGE_SU&gt;UNJC0020_B_PAGE_NO,1,2)</f>
        <v>2</v>
      </c>
      <c r="G39" s="325"/>
      <c r="H39" s="919"/>
      <c r="I39" s="919"/>
      <c r="J39" s="919"/>
      <c r="K39" s="919"/>
      <c r="L39" s="919"/>
      <c r="M39" s="905"/>
      <c r="N39" s="919"/>
      <c r="O39" s="919"/>
      <c r="P39" s="919"/>
      <c r="Q39" s="919"/>
      <c r="R39" s="919"/>
      <c r="S39" s="919"/>
      <c r="T39" s="919"/>
      <c r="U39" s="919"/>
      <c r="V39" s="919"/>
      <c r="W39" s="919"/>
      <c r="X39" s="919"/>
      <c r="Y39" s="919"/>
      <c r="Z39" s="919"/>
      <c r="AA39" s="919"/>
      <c r="AB39" s="919"/>
      <c r="AC39" s="919"/>
      <c r="AD39" s="919"/>
      <c r="AE39" s="919"/>
      <c r="AF39" s="919"/>
      <c r="AG39" s="919"/>
      <c r="AH39" s="919"/>
      <c r="AI39" s="919"/>
      <c r="AJ39" s="919"/>
      <c r="AK39" s="919"/>
      <c r="AL39" s="919"/>
      <c r="AM39" s="919"/>
      <c r="AN39" s="919"/>
      <c r="AO39" s="919"/>
      <c r="AP39" s="919"/>
    </row>
    <row r="40" spans="1:42">
      <c r="B40" s="231" t="s">
        <v>852</v>
      </c>
      <c r="C40" s="21" t="s">
        <v>853</v>
      </c>
      <c r="D40" s="232">
        <f>IF(UNJC0020_B_PAGE_NO&gt;1,1,2)</f>
        <v>2</v>
      </c>
      <c r="G40" s="325"/>
      <c r="H40" s="919"/>
      <c r="I40" s="919"/>
      <c r="J40" s="919"/>
      <c r="K40" s="919"/>
      <c r="L40" s="919"/>
      <c r="M40" s="905"/>
      <c r="N40" s="919"/>
      <c r="O40" s="919"/>
      <c r="P40" s="919"/>
      <c r="Q40" s="919"/>
      <c r="R40" s="919"/>
      <c r="S40" s="919"/>
      <c r="T40" s="919"/>
      <c r="U40" s="919"/>
      <c r="V40" s="919"/>
      <c r="W40" s="919"/>
      <c r="X40" s="919"/>
      <c r="Y40" s="919"/>
      <c r="Z40" s="919"/>
      <c r="AA40" s="919"/>
      <c r="AB40" s="919"/>
      <c r="AC40" s="919"/>
      <c r="AD40" s="919"/>
      <c r="AE40" s="919"/>
      <c r="AF40" s="919"/>
      <c r="AG40" s="919"/>
      <c r="AH40" s="919"/>
      <c r="AI40" s="919"/>
      <c r="AJ40" s="919"/>
      <c r="AK40" s="919"/>
      <c r="AL40" s="919"/>
      <c r="AM40" s="919"/>
      <c r="AN40" s="919"/>
      <c r="AO40" s="919"/>
      <c r="AP40" s="919"/>
    </row>
    <row r="41" spans="1:42">
      <c r="C41" s="21"/>
      <c r="D41" s="328"/>
      <c r="G41" s="325"/>
      <c r="H41" s="919"/>
      <c r="I41" s="919"/>
      <c r="J41" s="919"/>
      <c r="K41" s="919"/>
      <c r="L41" s="919"/>
      <c r="M41" s="905"/>
      <c r="N41" s="919"/>
      <c r="O41" s="919"/>
      <c r="P41" s="919"/>
      <c r="Q41" s="919"/>
      <c r="R41" s="919"/>
      <c r="S41" s="919"/>
      <c r="T41" s="919"/>
      <c r="U41" s="919"/>
      <c r="V41" s="919"/>
      <c r="W41" s="919"/>
      <c r="X41" s="919"/>
      <c r="Y41" s="919"/>
      <c r="Z41" s="919"/>
      <c r="AA41" s="919"/>
      <c r="AB41" s="919"/>
      <c r="AC41" s="919"/>
      <c r="AD41" s="919"/>
      <c r="AE41" s="919"/>
      <c r="AF41" s="919"/>
      <c r="AG41" s="919"/>
      <c r="AH41" s="919"/>
      <c r="AI41" s="919"/>
      <c r="AJ41" s="919"/>
      <c r="AK41" s="919"/>
      <c r="AL41" s="919"/>
      <c r="AM41" s="919"/>
      <c r="AN41" s="919"/>
      <c r="AO41" s="919"/>
      <c r="AP41" s="919"/>
    </row>
    <row r="42" spans="1:42">
      <c r="B42" s="231" t="s">
        <v>234</v>
      </c>
      <c r="C42" s="21" t="s">
        <v>854</v>
      </c>
      <c r="D42" s="232">
        <f>UNJC0020_B_PAGE_NO+1</f>
        <v>2</v>
      </c>
      <c r="G42" s="325"/>
      <c r="H42" s="919"/>
      <c r="I42" s="919"/>
      <c r="J42" s="919"/>
      <c r="K42" s="919"/>
      <c r="L42" s="919"/>
      <c r="M42" s="905"/>
      <c r="N42" s="919"/>
      <c r="O42" s="919"/>
      <c r="P42" s="919"/>
      <c r="Q42" s="919"/>
      <c r="R42" s="919"/>
      <c r="S42" s="919"/>
      <c r="T42" s="919"/>
      <c r="U42" s="919"/>
      <c r="V42" s="919"/>
      <c r="W42" s="919"/>
      <c r="X42" s="919"/>
      <c r="Y42" s="919"/>
      <c r="Z42" s="919"/>
      <c r="AA42" s="919"/>
      <c r="AB42" s="919"/>
      <c r="AC42" s="919"/>
      <c r="AD42" s="919"/>
      <c r="AE42" s="919"/>
      <c r="AF42" s="919"/>
      <c r="AG42" s="919"/>
      <c r="AH42" s="919"/>
      <c r="AI42" s="919"/>
      <c r="AJ42" s="919"/>
      <c r="AK42" s="919"/>
      <c r="AL42" s="919"/>
      <c r="AM42" s="919"/>
      <c r="AN42" s="919"/>
      <c r="AO42" s="919"/>
      <c r="AP42" s="919"/>
    </row>
    <row r="43" spans="1:42">
      <c r="B43" s="231" t="s">
        <v>233</v>
      </c>
      <c r="C43" s="21" t="s">
        <v>855</v>
      </c>
      <c r="D43" s="232">
        <f>UNJC0020_B_PAGE_NO-1</f>
        <v>0</v>
      </c>
      <c r="G43" s="325"/>
      <c r="H43" s="919"/>
      <c r="I43" s="919"/>
      <c r="J43" s="919"/>
      <c r="K43" s="919"/>
      <c r="L43" s="919"/>
      <c r="M43" s="905"/>
      <c r="N43" s="919"/>
      <c r="O43" s="919"/>
      <c r="P43" s="919"/>
      <c r="Q43" s="919"/>
      <c r="R43" s="919"/>
      <c r="S43" s="919"/>
      <c r="T43" s="919"/>
      <c r="U43" s="919"/>
      <c r="V43" s="919"/>
      <c r="W43" s="919"/>
      <c r="X43" s="919"/>
      <c r="Y43" s="919"/>
      <c r="Z43" s="919"/>
      <c r="AA43" s="919"/>
      <c r="AB43" s="919"/>
      <c r="AC43" s="919"/>
      <c r="AD43" s="919"/>
      <c r="AE43" s="919"/>
      <c r="AF43" s="919"/>
      <c r="AG43" s="919"/>
      <c r="AH43" s="919"/>
      <c r="AI43" s="919"/>
      <c r="AJ43" s="919"/>
      <c r="AK43" s="919"/>
      <c r="AL43" s="919"/>
      <c r="AM43" s="919"/>
      <c r="AN43" s="919"/>
      <c r="AO43" s="919"/>
      <c r="AP43" s="919"/>
    </row>
    <row r="44" spans="1:42">
      <c r="G44" s="325"/>
      <c r="H44" s="919"/>
      <c r="I44" s="919"/>
      <c r="J44" s="919"/>
      <c r="K44" s="919"/>
      <c r="L44" s="919"/>
      <c r="M44" s="905"/>
      <c r="N44" s="919"/>
      <c r="O44" s="919"/>
      <c r="P44" s="919"/>
      <c r="Q44" s="919"/>
      <c r="R44" s="919"/>
      <c r="S44" s="919"/>
      <c r="T44" s="919"/>
      <c r="U44" s="919"/>
      <c r="V44" s="919"/>
      <c r="W44" s="919"/>
      <c r="X44" s="919"/>
      <c r="Y44" s="919"/>
      <c r="Z44" s="919"/>
      <c r="AA44" s="919"/>
      <c r="AB44" s="919"/>
      <c r="AC44" s="919"/>
      <c r="AD44" s="919"/>
      <c r="AE44" s="919"/>
      <c r="AF44" s="919"/>
      <c r="AG44" s="919"/>
      <c r="AH44" s="919"/>
      <c r="AI44" s="919"/>
      <c r="AJ44" s="919"/>
      <c r="AK44" s="919"/>
      <c r="AL44" s="919"/>
      <c r="AM44" s="919"/>
      <c r="AN44" s="919"/>
      <c r="AO44" s="919"/>
      <c r="AP44" s="919"/>
    </row>
    <row r="45" spans="1:42">
      <c r="A45" s="296" t="s">
        <v>856</v>
      </c>
      <c r="C45" s="21"/>
      <c r="G45" s="325"/>
      <c r="H45" s="919"/>
      <c r="I45" s="919"/>
      <c r="J45" s="919"/>
      <c r="K45" s="919"/>
      <c r="L45" s="919"/>
      <c r="M45" s="905"/>
      <c r="N45" s="919"/>
      <c r="O45" s="919"/>
      <c r="P45" s="919"/>
      <c r="Q45" s="919"/>
      <c r="R45" s="919"/>
      <c r="S45" s="919"/>
      <c r="T45" s="919"/>
      <c r="U45" s="919"/>
      <c r="V45" s="919"/>
      <c r="W45" s="919"/>
      <c r="X45" s="919"/>
      <c r="Y45" s="919"/>
      <c r="Z45" s="919"/>
      <c r="AA45" s="919"/>
      <c r="AB45" s="919"/>
      <c r="AC45" s="919"/>
      <c r="AD45" s="919"/>
      <c r="AE45" s="919"/>
      <c r="AF45" s="919"/>
      <c r="AG45" s="919"/>
      <c r="AH45" s="919"/>
      <c r="AI45" s="919"/>
      <c r="AJ45" s="919"/>
      <c r="AK45" s="919"/>
      <c r="AL45" s="919"/>
      <c r="AM45" s="919"/>
      <c r="AN45" s="919"/>
      <c r="AO45" s="919"/>
      <c r="AP45" s="919"/>
    </row>
    <row r="46" spans="1:42">
      <c r="B46" s="231" t="s">
        <v>343</v>
      </c>
      <c r="C46" s="21" t="s">
        <v>857</v>
      </c>
      <c r="D46" s="232"/>
      <c r="G46" s="325"/>
      <c r="H46" s="919"/>
      <c r="I46" s="919"/>
      <c r="J46" s="919"/>
      <c r="K46" s="919"/>
      <c r="L46" s="919"/>
      <c r="M46" s="905"/>
      <c r="N46" s="919"/>
      <c r="O46" s="919"/>
      <c r="P46" s="919"/>
      <c r="Q46" s="919"/>
      <c r="R46" s="919"/>
      <c r="S46" s="919"/>
      <c r="T46" s="919"/>
      <c r="U46" s="919"/>
      <c r="V46" s="919"/>
      <c r="W46" s="919"/>
      <c r="X46" s="919"/>
      <c r="Y46" s="919"/>
      <c r="Z46" s="919"/>
      <c r="AA46" s="919"/>
      <c r="AB46" s="919"/>
      <c r="AC46" s="919"/>
      <c r="AD46" s="919"/>
      <c r="AE46" s="919"/>
      <c r="AF46" s="919"/>
      <c r="AG46" s="919"/>
      <c r="AH46" s="919"/>
      <c r="AI46" s="919"/>
      <c r="AJ46" s="919"/>
      <c r="AK46" s="919"/>
      <c r="AL46" s="919"/>
      <c r="AM46" s="919"/>
      <c r="AN46" s="919"/>
      <c r="AO46" s="919"/>
      <c r="AP46" s="919"/>
    </row>
    <row r="47" spans="1:42">
      <c r="B47" s="231" t="s">
        <v>858</v>
      </c>
      <c r="C47" s="21" t="s">
        <v>859</v>
      </c>
      <c r="D47" s="232">
        <f ca="1">IF(UNJC0020_B_SELECT_GYO_NO&lt;=ROW(UNJC0020_B_JURI_NO),0,
INDIRECT(ADDRESS(UNJC0020_B_SELECT_GYO_NO,COLUMN(UNJC0020_B_JURI_NO))))</f>
        <v>0</v>
      </c>
      <c r="E47" s="231" t="s">
        <v>860</v>
      </c>
      <c r="G47" s="325"/>
      <c r="H47" s="919"/>
      <c r="I47" s="919"/>
      <c r="J47" s="919"/>
      <c r="K47" s="919"/>
      <c r="L47" s="919"/>
      <c r="M47" s="905"/>
      <c r="N47" s="919"/>
      <c r="O47" s="919"/>
      <c r="P47" s="919"/>
      <c r="Q47" s="919"/>
      <c r="R47" s="919"/>
      <c r="S47" s="919"/>
      <c r="T47" s="919"/>
      <c r="U47" s="919"/>
      <c r="V47" s="919"/>
      <c r="W47" s="919"/>
      <c r="X47" s="919"/>
      <c r="Y47" s="919"/>
      <c r="Z47" s="919"/>
      <c r="AA47" s="919"/>
      <c r="AB47" s="919"/>
      <c r="AC47" s="919"/>
      <c r="AD47" s="919"/>
      <c r="AE47" s="919"/>
      <c r="AF47" s="919"/>
      <c r="AG47" s="919"/>
      <c r="AH47" s="919"/>
      <c r="AI47" s="919"/>
      <c r="AJ47" s="919"/>
      <c r="AK47" s="919"/>
      <c r="AL47" s="919"/>
      <c r="AM47" s="919"/>
      <c r="AN47" s="919"/>
      <c r="AO47" s="919"/>
      <c r="AP47" s="919"/>
    </row>
    <row r="48" spans="1:42">
      <c r="C48" s="21"/>
      <c r="G48" s="325"/>
      <c r="H48" s="919"/>
      <c r="I48" s="919"/>
      <c r="J48" s="919"/>
      <c r="K48" s="919"/>
      <c r="L48" s="919"/>
      <c r="M48" s="905"/>
      <c r="N48" s="919"/>
      <c r="O48" s="919"/>
      <c r="P48" s="919"/>
      <c r="Q48" s="919"/>
      <c r="R48" s="919"/>
      <c r="S48" s="919"/>
      <c r="T48" s="919"/>
      <c r="U48" s="919"/>
      <c r="V48" s="919"/>
      <c r="W48" s="919"/>
      <c r="X48" s="919"/>
      <c r="Y48" s="919"/>
      <c r="Z48" s="919"/>
      <c r="AA48" s="919"/>
      <c r="AB48" s="919"/>
      <c r="AC48" s="919"/>
      <c r="AD48" s="919"/>
      <c r="AE48" s="919"/>
      <c r="AF48" s="919"/>
      <c r="AG48" s="919"/>
      <c r="AH48" s="919"/>
      <c r="AI48" s="919"/>
      <c r="AJ48" s="919"/>
      <c r="AK48" s="919"/>
      <c r="AL48" s="919"/>
      <c r="AM48" s="919"/>
      <c r="AN48" s="919"/>
      <c r="AO48" s="919"/>
      <c r="AP48" s="919"/>
    </row>
    <row r="49" spans="1:42">
      <c r="B49" s="231" t="s">
        <v>2764</v>
      </c>
      <c r="C49" s="21" t="s">
        <v>2765</v>
      </c>
      <c r="D49" s="232">
        <f>IF(UNJC0020_B_SELECT_GYO_NO&lt;=ROW(UNJC0020_B_JURI_NO),0,
"UNJC0020_B!"&amp;ADDRESS(UNJC0020_B_SELECT_GYO_NO,COLUMN(UNJC0020_B_STATUS)))</f>
        <v>0</v>
      </c>
      <c r="G49" s="325"/>
      <c r="H49" s="919"/>
      <c r="I49" s="919"/>
      <c r="J49" s="919"/>
      <c r="K49" s="919"/>
      <c r="L49" s="919"/>
      <c r="M49" s="905"/>
      <c r="N49" s="919"/>
      <c r="O49" s="919"/>
      <c r="P49" s="919"/>
      <c r="Q49" s="919"/>
      <c r="R49" s="919"/>
      <c r="S49" s="919"/>
      <c r="T49" s="919"/>
      <c r="U49" s="919"/>
      <c r="V49" s="919"/>
      <c r="W49" s="919"/>
      <c r="X49" s="919"/>
      <c r="Y49" s="919"/>
      <c r="Z49" s="919"/>
      <c r="AA49" s="919"/>
      <c r="AB49" s="919"/>
      <c r="AC49" s="919"/>
      <c r="AD49" s="919"/>
      <c r="AE49" s="919"/>
      <c r="AF49" s="919"/>
      <c r="AG49" s="919"/>
      <c r="AH49" s="919"/>
      <c r="AI49" s="919"/>
      <c r="AJ49" s="919"/>
      <c r="AK49" s="919"/>
      <c r="AL49" s="919"/>
      <c r="AM49" s="919"/>
      <c r="AN49" s="919"/>
      <c r="AO49" s="919"/>
      <c r="AP49" s="919"/>
    </row>
    <row r="50" spans="1:42">
      <c r="B50" s="231" t="s">
        <v>4357</v>
      </c>
      <c r="C50" s="21" t="s">
        <v>4356</v>
      </c>
      <c r="D50" s="232">
        <f>IF(UNJC0020_B_SELECT_GYO_NO&lt;=ROW(UNJC0020_B_JURI_NO),0,
"UNJC0020_B!"&amp;ADDRESS(UNJC0020_B_SELECT_GYO_NO,COLUMN(UNJC0020_B_MITSUMORI_NO)))</f>
        <v>0</v>
      </c>
      <c r="G50" s="325"/>
      <c r="H50" s="919"/>
      <c r="I50" s="919"/>
      <c r="J50" s="919"/>
      <c r="K50" s="919"/>
      <c r="L50" s="919"/>
      <c r="M50" s="905"/>
      <c r="N50" s="919"/>
      <c r="O50" s="919"/>
      <c r="P50" s="919"/>
      <c r="Q50" s="919"/>
      <c r="R50" s="919"/>
      <c r="S50" s="919"/>
      <c r="T50" s="919"/>
      <c r="U50" s="919"/>
      <c r="V50" s="919"/>
      <c r="W50" s="919"/>
      <c r="X50" s="919"/>
      <c r="Y50" s="919"/>
      <c r="Z50" s="919"/>
      <c r="AA50" s="919"/>
      <c r="AB50" s="919"/>
      <c r="AC50" s="919"/>
      <c r="AD50" s="919"/>
      <c r="AE50" s="919"/>
      <c r="AF50" s="919"/>
      <c r="AG50" s="919"/>
      <c r="AH50" s="919"/>
      <c r="AI50" s="919"/>
      <c r="AJ50" s="919"/>
      <c r="AK50" s="919"/>
      <c r="AL50" s="919"/>
      <c r="AM50" s="919"/>
      <c r="AN50" s="919"/>
      <c r="AO50" s="919"/>
      <c r="AP50" s="919"/>
    </row>
    <row r="51" spans="1:42">
      <c r="C51" s="21"/>
      <c r="G51" s="325"/>
      <c r="H51" s="919"/>
      <c r="I51" s="919"/>
      <c r="J51" s="919"/>
      <c r="K51" s="919"/>
      <c r="L51" s="919"/>
      <c r="M51" s="905"/>
      <c r="N51" s="919"/>
      <c r="O51" s="919"/>
      <c r="P51" s="919"/>
      <c r="Q51" s="919"/>
      <c r="R51" s="919"/>
      <c r="S51" s="919"/>
      <c r="T51" s="919"/>
      <c r="U51" s="919"/>
      <c r="V51" s="919"/>
      <c r="W51" s="919"/>
      <c r="X51" s="919"/>
      <c r="Y51" s="919"/>
      <c r="Z51" s="919"/>
      <c r="AA51" s="919"/>
      <c r="AB51" s="919"/>
      <c r="AC51" s="919"/>
      <c r="AD51" s="919"/>
      <c r="AE51" s="919"/>
      <c r="AF51" s="919"/>
      <c r="AG51" s="919"/>
      <c r="AH51" s="919"/>
      <c r="AI51" s="919"/>
      <c r="AJ51" s="919"/>
      <c r="AK51" s="919"/>
      <c r="AL51" s="919"/>
      <c r="AM51" s="919"/>
      <c r="AN51" s="919"/>
      <c r="AO51" s="919"/>
      <c r="AP51" s="919"/>
    </row>
    <row r="52" spans="1:42">
      <c r="C52" s="21"/>
      <c r="G52" s="325"/>
      <c r="H52" s="919"/>
      <c r="I52" s="919"/>
      <c r="J52" s="919"/>
      <c r="K52" s="919"/>
      <c r="L52" s="919"/>
      <c r="M52" s="905"/>
      <c r="N52" s="919"/>
      <c r="O52" s="919"/>
      <c r="P52" s="919"/>
      <c r="Q52" s="919"/>
      <c r="R52" s="919"/>
      <c r="S52" s="919"/>
      <c r="T52" s="919"/>
      <c r="U52" s="919"/>
      <c r="V52" s="919"/>
      <c r="W52" s="919"/>
      <c r="X52" s="919"/>
      <c r="Y52" s="919"/>
      <c r="Z52" s="919"/>
      <c r="AA52" s="919"/>
      <c r="AB52" s="919"/>
      <c r="AC52" s="919"/>
      <c r="AD52" s="919"/>
      <c r="AE52" s="919"/>
      <c r="AF52" s="919"/>
      <c r="AG52" s="919"/>
      <c r="AH52" s="919"/>
      <c r="AI52" s="919"/>
      <c r="AJ52" s="919"/>
      <c r="AK52" s="919"/>
      <c r="AL52" s="919"/>
      <c r="AM52" s="919"/>
      <c r="AN52" s="919"/>
      <c r="AO52" s="919"/>
      <c r="AP52" s="919"/>
    </row>
    <row r="53" spans="1:42">
      <c r="C53" s="21"/>
      <c r="G53" s="325"/>
      <c r="H53" s="919"/>
      <c r="I53" s="919"/>
      <c r="J53" s="919"/>
      <c r="K53" s="919"/>
      <c r="L53" s="919"/>
      <c r="M53" s="905"/>
      <c r="N53" s="919"/>
      <c r="O53" s="919"/>
      <c r="P53" s="919"/>
      <c r="Q53" s="919"/>
      <c r="R53" s="919"/>
      <c r="S53" s="919"/>
      <c r="T53" s="919"/>
      <c r="U53" s="919"/>
      <c r="V53" s="919"/>
      <c r="W53" s="919"/>
      <c r="X53" s="919"/>
      <c r="Y53" s="919"/>
      <c r="Z53" s="919"/>
      <c r="AA53" s="919"/>
      <c r="AB53" s="919"/>
      <c r="AC53" s="919"/>
      <c r="AD53" s="919"/>
      <c r="AE53" s="919"/>
      <c r="AF53" s="919"/>
      <c r="AG53" s="919"/>
      <c r="AH53" s="919"/>
      <c r="AI53" s="919"/>
      <c r="AJ53" s="919"/>
      <c r="AK53" s="919"/>
      <c r="AL53" s="919"/>
      <c r="AM53" s="919"/>
      <c r="AN53" s="919"/>
      <c r="AO53" s="919"/>
      <c r="AP53" s="919"/>
    </row>
    <row r="54" spans="1:42">
      <c r="C54" s="21"/>
      <c r="G54" s="325"/>
      <c r="H54" s="919"/>
      <c r="I54" s="919"/>
      <c r="J54" s="919"/>
      <c r="K54" s="919"/>
      <c r="L54" s="919"/>
      <c r="M54" s="905"/>
      <c r="N54" s="919"/>
      <c r="O54" s="919"/>
      <c r="P54" s="919"/>
      <c r="Q54" s="919"/>
      <c r="R54" s="919"/>
      <c r="S54" s="919"/>
      <c r="T54" s="919"/>
      <c r="U54" s="919"/>
      <c r="V54" s="919"/>
      <c r="W54" s="919"/>
      <c r="X54" s="919"/>
      <c r="Y54" s="919"/>
      <c r="Z54" s="919"/>
      <c r="AA54" s="919"/>
      <c r="AB54" s="919"/>
      <c r="AC54" s="919"/>
      <c r="AD54" s="919"/>
      <c r="AE54" s="919"/>
      <c r="AF54" s="919"/>
      <c r="AG54" s="919"/>
      <c r="AH54" s="919"/>
      <c r="AI54" s="919"/>
      <c r="AJ54" s="919"/>
      <c r="AK54" s="919"/>
      <c r="AL54" s="919"/>
      <c r="AM54" s="919"/>
      <c r="AN54" s="919"/>
      <c r="AO54" s="919"/>
      <c r="AP54" s="919"/>
    </row>
    <row r="55" spans="1:42">
      <c r="C55" s="21"/>
      <c r="G55" s="325"/>
      <c r="H55" s="919"/>
      <c r="I55" s="919"/>
      <c r="J55" s="919"/>
      <c r="K55" s="919"/>
      <c r="L55" s="919"/>
      <c r="M55" s="905"/>
      <c r="N55" s="919"/>
      <c r="O55" s="919"/>
      <c r="P55" s="919"/>
      <c r="Q55" s="919"/>
      <c r="R55" s="919"/>
      <c r="S55" s="919"/>
      <c r="T55" s="919"/>
      <c r="U55" s="919"/>
      <c r="V55" s="919"/>
      <c r="W55" s="919"/>
      <c r="X55" s="919"/>
      <c r="Y55" s="919"/>
      <c r="Z55" s="919"/>
      <c r="AA55" s="919"/>
      <c r="AB55" s="919"/>
      <c r="AC55" s="919"/>
      <c r="AD55" s="919"/>
      <c r="AE55" s="919"/>
      <c r="AF55" s="919"/>
      <c r="AG55" s="919"/>
      <c r="AH55" s="919"/>
      <c r="AI55" s="919"/>
      <c r="AJ55" s="919"/>
      <c r="AK55" s="919"/>
      <c r="AL55" s="919"/>
      <c r="AM55" s="919"/>
      <c r="AN55" s="919"/>
      <c r="AO55" s="919"/>
      <c r="AP55" s="919"/>
    </row>
    <row r="56" spans="1:42">
      <c r="A56" s="296" t="s">
        <v>809</v>
      </c>
      <c r="G56" s="325"/>
      <c r="H56" s="919"/>
      <c r="I56" s="919"/>
      <c r="J56" s="919"/>
      <c r="K56" s="919"/>
      <c r="L56" s="919"/>
      <c r="M56" s="905"/>
      <c r="N56" s="919"/>
      <c r="O56" s="919"/>
      <c r="P56" s="919"/>
      <c r="Q56" s="919"/>
      <c r="R56" s="919"/>
      <c r="S56" s="919"/>
      <c r="T56" s="919"/>
      <c r="U56" s="919"/>
      <c r="V56" s="919"/>
      <c r="W56" s="919"/>
      <c r="X56" s="919"/>
      <c r="Y56" s="919"/>
      <c r="Z56" s="919"/>
      <c r="AA56" s="919"/>
      <c r="AB56" s="919"/>
      <c r="AC56" s="919"/>
      <c r="AD56" s="919"/>
      <c r="AE56" s="919"/>
      <c r="AF56" s="919"/>
      <c r="AG56" s="919"/>
      <c r="AH56" s="919"/>
      <c r="AI56" s="919"/>
      <c r="AJ56" s="919"/>
      <c r="AK56" s="919"/>
      <c r="AL56" s="919"/>
      <c r="AM56" s="919"/>
      <c r="AN56" s="919"/>
      <c r="AO56" s="919"/>
      <c r="AP56" s="919"/>
    </row>
    <row r="57" spans="1:42">
      <c r="B57" s="187" t="s">
        <v>276</v>
      </c>
      <c r="C57" s="252" t="s">
        <v>861</v>
      </c>
      <c r="D57" s="81" t="str">
        <f>ROW($A$1)&amp;":"&amp;(ROW(UNJC0020_B_VIEW_CURRENT_PAGE)-1)</f>
        <v>1:20</v>
      </c>
    </row>
    <row r="58" spans="1:42">
      <c r="B58" s="187" t="s">
        <v>277</v>
      </c>
      <c r="C58" s="252" t="s">
        <v>862</v>
      </c>
      <c r="D58" s="81" t="str">
        <f>ADDRESS(ROW($A$1),COLUMN($A$1))&amp;":"&amp;ADDRESS(ROW($A$1),COLUMN(UNJC0020_B_VIEW_CURRENT_PAGE)-1)
   &amp;"," &amp; ADDRESS(ROW(UNJC0020_B_HOKOKUSYO_KBN),COLUMN(UNJC0020_B_HOKOKUSYO_KBN)) &amp;":" &amp;
   ADDRESS(ROW(UNJC0020_B_FREEWD),COLUMN(UNJC0020_B_FREEWD)+1)</f>
        <v>$A$1:$F$1,$AD$22:$AP$22</v>
      </c>
    </row>
    <row r="59" spans="1:42">
      <c r="B59" s="187"/>
      <c r="C59" s="187"/>
      <c r="D59" s="187"/>
    </row>
    <row r="60" spans="1:42">
      <c r="B60" s="187" t="s">
        <v>282</v>
      </c>
      <c r="C60" s="252" t="s">
        <v>863</v>
      </c>
      <c r="D60" s="81" t="str">
        <f ca="1">ADDRESS(ROW(INDIRECT(UNJC0020_B_LIST_START)),COLUMN(UNJC0020_B_KENMEI))</f>
        <v>$M$23</v>
      </c>
    </row>
  </sheetData>
  <sheetProtection sheet="1" objects="1" scenarios="1" selectLockedCells="1"/>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I41"/>
  <sheetViews>
    <sheetView topLeftCell="EZ1" zoomScale="85" zoomScaleNormal="85" workbookViewId="0">
      <selection activeCell="FQ12" sqref="FQ12"/>
    </sheetView>
  </sheetViews>
  <sheetFormatPr defaultRowHeight="13.5"/>
  <cols>
    <col min="1" max="1" width="1.25" style="278" customWidth="1"/>
    <col min="2" max="2" width="19.5" style="278" customWidth="1"/>
    <col min="3" max="3" width="20.625" style="278" customWidth="1"/>
    <col min="4" max="4" width="13.375" style="278" customWidth="1"/>
    <col min="5" max="6" width="17.875" style="278" customWidth="1"/>
    <col min="7" max="17" width="7" style="278" customWidth="1"/>
    <col min="18" max="18" width="7" style="970" customWidth="1"/>
    <col min="19" max="21" width="7" style="278" customWidth="1"/>
    <col min="22" max="22" width="7" style="970" customWidth="1"/>
    <col min="23" max="33" width="7" style="278" customWidth="1"/>
    <col min="34" max="36" width="7" style="970" customWidth="1"/>
    <col min="37" max="37" width="7" style="278" customWidth="1"/>
    <col min="38" max="38" width="7" style="970" customWidth="1"/>
    <col min="39" max="39" width="9" style="278"/>
    <col min="40" max="40" width="1.375" style="278" customWidth="1"/>
    <col min="41" max="42" width="13.625" style="278" customWidth="1"/>
    <col min="43" max="43" width="2.75" style="278" customWidth="1"/>
    <col min="44" max="64" width="3.5" style="278" customWidth="1"/>
    <col min="65" max="65" width="10" style="278" customWidth="1"/>
    <col min="66" max="66" width="2" style="278" customWidth="1"/>
    <col min="67" max="67" width="26.875" style="278" customWidth="1"/>
    <col min="68" max="69" width="10" style="278" customWidth="1"/>
    <col min="70" max="76" width="10" style="911" customWidth="1"/>
    <col min="77" max="77" width="10" style="1188" customWidth="1"/>
    <col min="78" max="86" width="10" style="911" customWidth="1"/>
    <col min="87" max="89" width="10" style="505" customWidth="1"/>
    <col min="90" max="90" width="10" style="911" customWidth="1"/>
    <col min="91" max="91" width="10" style="984" customWidth="1"/>
    <col min="92" max="92" width="10" style="505" customWidth="1"/>
    <col min="93" max="103" width="10" style="911" customWidth="1"/>
    <col min="104" max="104" width="10" style="505" customWidth="1"/>
    <col min="105" max="120" width="10" style="911" customWidth="1"/>
    <col min="121" max="121" width="10" style="921" customWidth="1"/>
    <col min="122" max="166" width="10" style="911" customWidth="1"/>
    <col min="167" max="167" width="10" style="921" customWidth="1"/>
    <col min="168" max="178" width="10" style="911" customWidth="1"/>
    <col min="179" max="180" width="10" style="921" customWidth="1"/>
    <col min="181" max="183" width="10" style="911" customWidth="1"/>
    <col min="184" max="184" width="10" style="921" customWidth="1"/>
    <col min="185" max="191" width="10" style="911" customWidth="1"/>
    <col min="192" max="16384" width="9" style="921"/>
  </cols>
  <sheetData>
    <row r="1" spans="1:191">
      <c r="BR1" s="278"/>
      <c r="BS1" s="278"/>
      <c r="BT1" s="278"/>
      <c r="BU1" s="278"/>
      <c r="BV1" s="278"/>
      <c r="BW1" s="278"/>
      <c r="BX1" s="278"/>
      <c r="BY1" s="278"/>
      <c r="BZ1" s="278"/>
      <c r="CA1" s="278"/>
      <c r="CB1" s="278"/>
      <c r="CC1" s="278"/>
      <c r="CD1" s="278"/>
      <c r="CE1" s="278"/>
      <c r="CF1" s="278"/>
      <c r="CG1" s="278"/>
      <c r="CH1" s="970"/>
      <c r="CI1" s="278"/>
      <c r="CJ1" s="278"/>
      <c r="CK1" s="278"/>
      <c r="CL1" s="278"/>
      <c r="CM1" s="278"/>
      <c r="CN1" s="278"/>
      <c r="CO1" s="278"/>
      <c r="CP1" s="278"/>
      <c r="CQ1" s="278"/>
      <c r="CR1" s="278"/>
      <c r="CS1" s="278"/>
      <c r="CT1" s="278"/>
      <c r="CU1" s="278"/>
      <c r="CV1" s="278"/>
      <c r="CW1" s="278"/>
      <c r="CX1" s="278"/>
      <c r="CY1" s="278"/>
      <c r="CZ1" s="278"/>
      <c r="DA1" s="278"/>
      <c r="DB1" s="278"/>
      <c r="DC1" s="278"/>
      <c r="DD1" s="278"/>
      <c r="DE1" s="278"/>
      <c r="DF1" s="278"/>
      <c r="DG1" s="278"/>
      <c r="DH1" s="278"/>
      <c r="DI1" s="278"/>
      <c r="DJ1" s="278"/>
      <c r="DK1" s="278"/>
      <c r="DL1" s="278"/>
      <c r="DM1" s="278"/>
      <c r="DN1" s="278"/>
      <c r="DO1" s="278"/>
      <c r="DP1" s="278"/>
      <c r="DQ1" s="278"/>
      <c r="DR1" s="278"/>
      <c r="DS1" s="278"/>
      <c r="DT1" s="278"/>
      <c r="DU1" s="278"/>
      <c r="DV1" s="278"/>
      <c r="DW1" s="278"/>
      <c r="DX1" s="278"/>
      <c r="DY1" s="278"/>
      <c r="DZ1" s="278"/>
      <c r="EA1" s="278"/>
      <c r="EB1" s="278"/>
      <c r="EC1" s="278"/>
      <c r="ED1" s="278"/>
      <c r="EE1" s="278"/>
      <c r="EF1" s="278"/>
      <c r="EG1" s="278"/>
      <c r="EH1" s="278"/>
      <c r="EI1" s="278"/>
      <c r="EJ1" s="278"/>
      <c r="EK1" s="278"/>
      <c r="EL1" s="278"/>
      <c r="EM1" s="278"/>
      <c r="EN1" s="278"/>
      <c r="EO1" s="278"/>
      <c r="EP1" s="278"/>
      <c r="EQ1" s="278"/>
      <c r="ER1" s="278"/>
      <c r="ES1" s="278"/>
      <c r="ET1" s="278"/>
      <c r="EU1" s="278"/>
      <c r="EV1" s="278"/>
      <c r="EW1" s="278"/>
      <c r="EX1" s="278"/>
      <c r="EY1" s="278"/>
      <c r="EZ1" s="278"/>
      <c r="FA1" s="278"/>
      <c r="FB1" s="278"/>
      <c r="FC1" s="278"/>
      <c r="FD1" s="278"/>
      <c r="FE1" s="278"/>
      <c r="FF1" s="278"/>
      <c r="FG1" s="278"/>
      <c r="FH1" s="278"/>
      <c r="FI1" s="278"/>
      <c r="FJ1" s="278"/>
      <c r="FK1" s="970"/>
      <c r="FL1" s="970"/>
      <c r="FM1" s="970"/>
      <c r="FN1" s="970"/>
      <c r="FO1" s="970"/>
      <c r="FP1" s="970"/>
      <c r="FQ1" s="970"/>
      <c r="FR1" s="970"/>
      <c r="FS1" s="970"/>
      <c r="FT1" s="970"/>
      <c r="FU1" s="970"/>
      <c r="FV1" s="970"/>
      <c r="FW1" s="970"/>
      <c r="FX1" s="970"/>
      <c r="FY1" s="970"/>
      <c r="FZ1" s="1242"/>
      <c r="GA1" s="970"/>
      <c r="GB1" s="970"/>
      <c r="GC1" s="970"/>
      <c r="GD1" s="970"/>
      <c r="GE1" s="970"/>
      <c r="GF1" s="970"/>
      <c r="GG1" s="970"/>
      <c r="GH1" s="970"/>
      <c r="GI1" s="970"/>
    </row>
    <row r="2" spans="1:191">
      <c r="A2" s="279" t="s">
        <v>864</v>
      </c>
      <c r="BP2" s="278" t="s">
        <v>1825</v>
      </c>
      <c r="BQ2" s="278" t="s">
        <v>1824</v>
      </c>
      <c r="BR2" s="1182"/>
      <c r="BS2" s="1182"/>
      <c r="BT2" s="1182"/>
      <c r="BU2" s="1182"/>
      <c r="BV2" s="1182"/>
      <c r="BW2" s="1182"/>
      <c r="BX2" s="1182"/>
      <c r="BY2" s="1183"/>
      <c r="BZ2" s="1182"/>
      <c r="CA2" s="1182"/>
      <c r="CB2" s="1182"/>
      <c r="CC2" s="1182"/>
      <c r="CD2" s="1182"/>
      <c r="CE2" s="1182"/>
      <c r="CF2" s="1182"/>
      <c r="CG2" s="1182"/>
      <c r="CH2" s="1182"/>
      <c r="CI2" s="1182"/>
      <c r="CJ2" s="1182"/>
      <c r="CK2" s="1182"/>
      <c r="CL2" s="1182"/>
      <c r="CM2" s="1184"/>
      <c r="CN2" s="1182"/>
      <c r="CO2" s="1182"/>
      <c r="CP2" s="1182"/>
      <c r="CQ2" s="1182"/>
      <c r="CR2" s="1182"/>
      <c r="CS2" s="1182"/>
      <c r="CT2" s="1182"/>
      <c r="CU2" s="1182"/>
      <c r="CV2" s="1182"/>
      <c r="CW2" s="1182"/>
      <c r="CX2" s="1182"/>
      <c r="CY2" s="1182"/>
      <c r="CZ2" s="1182"/>
      <c r="DA2" s="1182"/>
      <c r="DB2" s="1182"/>
      <c r="DC2" s="1182"/>
      <c r="DD2" s="1182"/>
      <c r="DE2" s="1182"/>
      <c r="DF2" s="1182"/>
      <c r="DG2" s="1182"/>
      <c r="DH2" s="1182"/>
      <c r="DI2" s="1182"/>
      <c r="DJ2" s="1182"/>
      <c r="DK2" s="1182"/>
      <c r="DL2" s="1182"/>
      <c r="DM2" s="1182"/>
      <c r="DN2" s="1182"/>
      <c r="DO2" s="1182"/>
      <c r="DP2" s="1182"/>
      <c r="DQ2" s="1185"/>
      <c r="DR2" s="1182"/>
      <c r="DS2" s="1182"/>
      <c r="DT2" s="1182"/>
      <c r="DU2" s="1182"/>
      <c r="DV2" s="1182"/>
      <c r="DW2" s="1182"/>
      <c r="DX2" s="1182"/>
      <c r="DY2" s="1182"/>
      <c r="DZ2" s="1182"/>
      <c r="EA2" s="1182"/>
      <c r="EB2" s="1182"/>
      <c r="EC2" s="1182"/>
      <c r="ED2" s="1182"/>
      <c r="EE2" s="1182"/>
      <c r="EF2" s="1182"/>
      <c r="EG2" s="1182"/>
      <c r="EH2" s="1182"/>
      <c r="EI2" s="1182"/>
      <c r="EJ2" s="1182"/>
      <c r="EK2" s="1182"/>
      <c r="EL2" s="1182"/>
      <c r="EM2" s="1182"/>
      <c r="EN2" s="1182"/>
      <c r="EO2" s="1182"/>
      <c r="EP2" s="1182"/>
      <c r="EQ2" s="1182"/>
      <c r="ER2" s="1182"/>
      <c r="ES2" s="1182"/>
      <c r="ET2" s="1182"/>
      <c r="EU2" s="1182"/>
      <c r="EV2" s="1182"/>
      <c r="EW2" s="1182"/>
      <c r="EX2" s="1182"/>
      <c r="EY2" s="1182"/>
      <c r="EZ2" s="1182"/>
      <c r="FA2" s="1182"/>
      <c r="FB2" s="1182"/>
      <c r="FC2" s="1182"/>
      <c r="FD2" s="1182"/>
      <c r="FE2" s="1182"/>
      <c r="FF2" s="1182"/>
      <c r="FG2" s="1182"/>
      <c r="FH2" s="1182"/>
      <c r="FI2" s="1182"/>
      <c r="FJ2" s="1182"/>
      <c r="FK2" s="1185"/>
      <c r="FL2" s="1182"/>
      <c r="FM2" s="1182"/>
      <c r="FN2" s="1182"/>
      <c r="FO2" s="1182"/>
      <c r="FP2" s="1182"/>
      <c r="FQ2" s="1182"/>
      <c r="FR2" s="1182"/>
      <c r="FS2" s="1182"/>
      <c r="FT2" s="1182"/>
      <c r="FU2" s="1182"/>
      <c r="FV2" s="1182"/>
      <c r="FW2" s="1185"/>
      <c r="FX2" s="1185"/>
      <c r="FY2" s="1182"/>
      <c r="FZ2" s="1182"/>
      <c r="GA2" s="1182"/>
      <c r="GB2" s="1185"/>
      <c r="GC2" s="1182"/>
      <c r="GD2" s="1182"/>
      <c r="GE2" s="1182"/>
      <c r="GF2" s="1182"/>
      <c r="GG2" s="1182"/>
      <c r="GH2" s="1182"/>
      <c r="GI2" s="1182"/>
    </row>
    <row r="3" spans="1:191">
      <c r="AN3" s="279" t="s">
        <v>865</v>
      </c>
      <c r="BN3" s="279" t="s">
        <v>866</v>
      </c>
      <c r="BR3" s="278"/>
      <c r="BS3" s="278"/>
      <c r="BT3" s="278"/>
      <c r="BU3" s="278"/>
      <c r="BV3" s="278"/>
      <c r="BW3" s="278"/>
      <c r="BX3" s="278"/>
      <c r="BY3" s="278"/>
      <c r="BZ3" s="278"/>
      <c r="CA3" s="278"/>
      <c r="CB3" s="278"/>
      <c r="CC3" s="278"/>
      <c r="CD3" s="278"/>
      <c r="CE3" s="278"/>
      <c r="CF3" s="278"/>
      <c r="CG3" s="278"/>
      <c r="CH3" s="970"/>
      <c r="CI3" s="278"/>
      <c r="CJ3" s="278"/>
      <c r="CK3" s="278"/>
      <c r="CL3" s="278"/>
      <c r="CM3" s="278"/>
      <c r="CN3" s="278"/>
      <c r="CO3" s="278"/>
      <c r="CP3" s="278"/>
      <c r="CQ3" s="278"/>
      <c r="CR3" s="278"/>
      <c r="CS3" s="278"/>
      <c r="CT3" s="278"/>
      <c r="CU3" s="278"/>
      <c r="CV3" s="278"/>
      <c r="CW3" s="278"/>
      <c r="CX3" s="278"/>
      <c r="CY3" s="278"/>
      <c r="CZ3" s="278"/>
      <c r="DA3" s="278"/>
      <c r="DB3" s="278"/>
      <c r="DC3" s="278"/>
      <c r="DD3" s="278"/>
      <c r="DE3" s="278"/>
      <c r="DF3" s="278"/>
      <c r="DG3" s="278"/>
      <c r="DH3" s="278"/>
      <c r="DI3" s="278"/>
      <c r="DJ3" s="278"/>
      <c r="DK3" s="278"/>
      <c r="DL3" s="278"/>
      <c r="DM3" s="278"/>
      <c r="DN3" s="278"/>
      <c r="DO3" s="278"/>
      <c r="DP3" s="278"/>
      <c r="DQ3" s="278"/>
      <c r="DR3" s="278"/>
      <c r="DS3" s="278"/>
      <c r="DT3" s="278"/>
      <c r="DU3" s="278"/>
      <c r="DV3" s="278"/>
      <c r="DW3" s="278"/>
      <c r="DX3" s="278"/>
      <c r="DY3" s="278"/>
      <c r="DZ3" s="278"/>
      <c r="EA3" s="278"/>
      <c r="EB3" s="278"/>
      <c r="EC3" s="278"/>
      <c r="ED3" s="278"/>
      <c r="EE3" s="278"/>
      <c r="EF3" s="278"/>
      <c r="EG3" s="278"/>
      <c r="EH3" s="278"/>
      <c r="EI3" s="278"/>
      <c r="EJ3" s="278"/>
      <c r="EK3" s="278"/>
      <c r="EL3" s="278"/>
      <c r="EM3" s="278"/>
      <c r="EN3" s="278"/>
      <c r="EO3" s="278"/>
      <c r="EP3" s="278"/>
      <c r="EQ3" s="278"/>
      <c r="ER3" s="278"/>
      <c r="ES3" s="278"/>
      <c r="ET3" s="278"/>
      <c r="EU3" s="278"/>
      <c r="EV3" s="278"/>
      <c r="EW3" s="278"/>
      <c r="EX3" s="278"/>
      <c r="EY3" s="278"/>
      <c r="EZ3" s="278"/>
      <c r="FA3" s="278"/>
      <c r="FB3" s="278"/>
      <c r="FC3" s="278"/>
      <c r="FD3" s="278"/>
      <c r="FE3" s="278"/>
      <c r="FF3" s="278"/>
      <c r="FG3" s="278"/>
      <c r="FH3" s="278"/>
      <c r="FI3" s="278"/>
      <c r="FJ3" s="278"/>
      <c r="FK3" s="970"/>
      <c r="FL3" s="970"/>
      <c r="FM3" s="970"/>
      <c r="FN3" s="970"/>
      <c r="FO3" s="970"/>
      <c r="FP3" s="970"/>
      <c r="FQ3" s="970"/>
      <c r="FR3" s="970"/>
      <c r="FS3" s="970"/>
      <c r="FT3" s="970"/>
      <c r="FU3" s="970"/>
      <c r="FV3" s="970"/>
      <c r="FW3" s="970"/>
      <c r="FX3" s="970"/>
      <c r="FY3" s="970"/>
      <c r="FZ3" s="1242"/>
      <c r="GA3" s="970"/>
      <c r="GB3" s="970"/>
      <c r="GC3" s="970"/>
      <c r="GD3" s="970"/>
      <c r="GE3" s="970"/>
      <c r="GF3" s="970"/>
      <c r="GG3" s="970"/>
      <c r="GH3" s="970"/>
      <c r="GI3" s="970"/>
    </row>
    <row r="4" spans="1:191" ht="16.5">
      <c r="D4" s="913" t="s">
        <v>0</v>
      </c>
      <c r="E4" s="913" t="s">
        <v>822</v>
      </c>
      <c r="F4" s="913" t="s">
        <v>819</v>
      </c>
      <c r="G4" s="913" t="s">
        <v>28</v>
      </c>
      <c r="H4" s="913" t="s">
        <v>829</v>
      </c>
      <c r="I4" s="913" t="s">
        <v>5</v>
      </c>
      <c r="J4" s="913" t="s">
        <v>823</v>
      </c>
      <c r="K4" s="913" t="s">
        <v>824</v>
      </c>
      <c r="L4" s="913" t="s">
        <v>825</v>
      </c>
      <c r="M4" s="913" t="s">
        <v>826</v>
      </c>
      <c r="N4" s="913" t="s">
        <v>827</v>
      </c>
      <c r="O4" s="913" t="s">
        <v>29</v>
      </c>
      <c r="P4" s="913" t="s">
        <v>86</v>
      </c>
      <c r="Q4" s="913" t="s">
        <v>821</v>
      </c>
      <c r="R4" s="913" t="s">
        <v>4450</v>
      </c>
      <c r="S4" s="913" t="s">
        <v>3606</v>
      </c>
      <c r="T4" s="913" t="s">
        <v>794</v>
      </c>
      <c r="U4" s="913" t="s">
        <v>4</v>
      </c>
      <c r="V4" s="913" t="s">
        <v>4324</v>
      </c>
      <c r="W4" s="913" t="s">
        <v>2</v>
      </c>
      <c r="X4" s="913" t="s">
        <v>95</v>
      </c>
      <c r="Y4" s="913" t="s">
        <v>9</v>
      </c>
      <c r="Z4" s="914" t="s">
        <v>830</v>
      </c>
      <c r="AA4" s="942" t="s">
        <v>828</v>
      </c>
      <c r="AB4" s="942" t="s">
        <v>3</v>
      </c>
      <c r="AC4" s="914" t="s">
        <v>831</v>
      </c>
      <c r="AD4" s="914" t="s">
        <v>440</v>
      </c>
      <c r="AE4" s="914" t="s">
        <v>832</v>
      </c>
      <c r="AF4" s="914" t="s">
        <v>97</v>
      </c>
      <c r="AG4" s="914" t="s">
        <v>98</v>
      </c>
      <c r="AH4" s="914" t="s">
        <v>3783</v>
      </c>
      <c r="AI4" s="914" t="s">
        <v>4479</v>
      </c>
      <c r="AJ4" s="914" t="s">
        <v>3763</v>
      </c>
      <c r="AK4" s="914" t="s">
        <v>833</v>
      </c>
      <c r="AL4" s="914" t="s">
        <v>4443</v>
      </c>
      <c r="AO4" s="278" t="s">
        <v>868</v>
      </c>
      <c r="AR4" s="278" t="s">
        <v>869</v>
      </c>
      <c r="BR4" s="326" t="s">
        <v>266</v>
      </c>
      <c r="BS4" s="326" t="s">
        <v>4384</v>
      </c>
      <c r="BT4" s="326" t="s">
        <v>1558</v>
      </c>
      <c r="BU4" s="326" t="s">
        <v>4385</v>
      </c>
      <c r="BV4" s="326" t="s">
        <v>4386</v>
      </c>
      <c r="BW4" s="326" t="s">
        <v>1197</v>
      </c>
      <c r="BX4" s="326" t="s">
        <v>1561</v>
      </c>
      <c r="BY4" s="326" t="s">
        <v>1560</v>
      </c>
      <c r="BZ4" s="326" t="s">
        <v>1198</v>
      </c>
      <c r="CA4" s="326" t="s">
        <v>4387</v>
      </c>
      <c r="CB4" s="326" t="s">
        <v>382</v>
      </c>
      <c r="CC4" s="326" t="s">
        <v>275</v>
      </c>
      <c r="CD4" s="326" t="s">
        <v>1199</v>
      </c>
      <c r="CE4" s="326" t="s">
        <v>1200</v>
      </c>
      <c r="CF4" s="326" t="s">
        <v>271</v>
      </c>
      <c r="CG4" s="326" t="s">
        <v>272</v>
      </c>
      <c r="CH4" s="326" t="s">
        <v>4476</v>
      </c>
      <c r="CI4" s="326" t="s">
        <v>4475</v>
      </c>
      <c r="CJ4" s="326" t="s">
        <v>4388</v>
      </c>
      <c r="CK4" s="326" t="s">
        <v>1563</v>
      </c>
      <c r="CL4" s="326" t="s">
        <v>3799</v>
      </c>
      <c r="CM4" s="326" t="s">
        <v>3800</v>
      </c>
      <c r="CN4" s="326" t="s">
        <v>349</v>
      </c>
      <c r="CO4" s="326" t="s">
        <v>268</v>
      </c>
      <c r="CP4" s="326" t="s">
        <v>1204</v>
      </c>
      <c r="CQ4" s="326" t="s">
        <v>1205</v>
      </c>
      <c r="CR4" s="326" t="s">
        <v>1206</v>
      </c>
      <c r="CS4" s="326" t="s">
        <v>4389</v>
      </c>
      <c r="CT4" s="326" t="s">
        <v>1565</v>
      </c>
      <c r="CU4" s="326" t="s">
        <v>1207</v>
      </c>
      <c r="CV4" s="326" t="s">
        <v>270</v>
      </c>
      <c r="CW4" s="326" t="s">
        <v>267</v>
      </c>
      <c r="CX4" s="326" t="s">
        <v>1208</v>
      </c>
      <c r="CY4" s="326" t="s">
        <v>1209</v>
      </c>
      <c r="CZ4" s="326" t="s">
        <v>1210</v>
      </c>
      <c r="DA4" s="326" t="s">
        <v>1211</v>
      </c>
      <c r="DB4" s="326" t="s">
        <v>1212</v>
      </c>
      <c r="DC4" s="326" t="s">
        <v>1213</v>
      </c>
      <c r="DD4" s="326" t="s">
        <v>1214</v>
      </c>
      <c r="DE4" s="326" t="s">
        <v>1215</v>
      </c>
      <c r="DF4" s="326" t="s">
        <v>1216</v>
      </c>
      <c r="DG4" s="326" t="s">
        <v>1217</v>
      </c>
      <c r="DH4" s="326" t="s">
        <v>1218</v>
      </c>
      <c r="DI4" s="326" t="s">
        <v>1219</v>
      </c>
      <c r="DJ4" s="326" t="s">
        <v>1220</v>
      </c>
      <c r="DK4" s="326" t="s">
        <v>4390</v>
      </c>
      <c r="DL4" s="326" t="s">
        <v>4391</v>
      </c>
      <c r="DM4" s="326" t="s">
        <v>1222</v>
      </c>
      <c r="DN4" s="326" t="s">
        <v>1223</v>
      </c>
      <c r="DO4" s="326" t="s">
        <v>4392</v>
      </c>
      <c r="DP4" s="326" t="s">
        <v>4393</v>
      </c>
      <c r="DQ4" s="326" t="s">
        <v>1225</v>
      </c>
      <c r="DR4" s="326" t="s">
        <v>1226</v>
      </c>
      <c r="DS4" s="326" t="s">
        <v>1227</v>
      </c>
      <c r="DT4" s="326" t="s">
        <v>1228</v>
      </c>
      <c r="DU4" s="326" t="s">
        <v>1229</v>
      </c>
      <c r="DV4" s="326" t="s">
        <v>1230</v>
      </c>
      <c r="DW4" s="326" t="s">
        <v>1231</v>
      </c>
      <c r="DX4" s="326" t="s">
        <v>675</v>
      </c>
      <c r="DY4" s="326" t="s">
        <v>1232</v>
      </c>
      <c r="DZ4" s="326" t="s">
        <v>1233</v>
      </c>
      <c r="EA4" s="326" t="s">
        <v>1234</v>
      </c>
      <c r="EB4" s="326" t="s">
        <v>1236</v>
      </c>
      <c r="EC4" s="326" t="s">
        <v>1237</v>
      </c>
      <c r="ED4" s="326" t="s">
        <v>1238</v>
      </c>
      <c r="EE4" s="326" t="s">
        <v>1239</v>
      </c>
      <c r="EF4" s="326" t="s">
        <v>1240</v>
      </c>
      <c r="EG4" s="326" t="s">
        <v>1241</v>
      </c>
      <c r="EH4" s="326" t="s">
        <v>1242</v>
      </c>
      <c r="EI4" s="326" t="s">
        <v>1243</v>
      </c>
      <c r="EJ4" s="326" t="s">
        <v>1244</v>
      </c>
      <c r="EK4" s="326" t="s">
        <v>1245</v>
      </c>
      <c r="EL4" s="326" t="s">
        <v>1246</v>
      </c>
      <c r="EM4" s="326" t="s">
        <v>1248</v>
      </c>
      <c r="EN4" s="326" t="s">
        <v>1249</v>
      </c>
      <c r="EO4" s="326" t="s">
        <v>1250</v>
      </c>
      <c r="EP4" s="326" t="s">
        <v>1251</v>
      </c>
      <c r="EQ4" s="326" t="s">
        <v>1252</v>
      </c>
      <c r="ER4" s="326" t="s">
        <v>1253</v>
      </c>
      <c r="ES4" s="326" t="s">
        <v>1254</v>
      </c>
      <c r="ET4" s="326" t="s">
        <v>1255</v>
      </c>
      <c r="EU4" s="326" t="s">
        <v>1256</v>
      </c>
      <c r="EV4" s="326" t="s">
        <v>1257</v>
      </c>
      <c r="EW4" s="326" t="s">
        <v>1258</v>
      </c>
      <c r="EX4" s="326" t="s">
        <v>1260</v>
      </c>
      <c r="EY4" s="326" t="s">
        <v>1261</v>
      </c>
      <c r="EZ4" s="326" t="s">
        <v>1262</v>
      </c>
      <c r="FA4" s="326" t="s">
        <v>1263</v>
      </c>
      <c r="FB4" s="326" t="s">
        <v>1264</v>
      </c>
      <c r="FC4" s="326" t="s">
        <v>1265</v>
      </c>
      <c r="FD4" s="326" t="s">
        <v>1266</v>
      </c>
      <c r="FE4" s="326" t="s">
        <v>1267</v>
      </c>
      <c r="FF4" s="326" t="s">
        <v>1268</v>
      </c>
      <c r="FG4" s="326" t="s">
        <v>1269</v>
      </c>
      <c r="FH4" s="326" t="s">
        <v>1270</v>
      </c>
      <c r="FI4" s="326" t="s">
        <v>4394</v>
      </c>
      <c r="FJ4" s="326" t="s">
        <v>4395</v>
      </c>
      <c r="FK4" s="1186" t="s">
        <v>1195</v>
      </c>
      <c r="FL4" s="1186" t="s">
        <v>1211</v>
      </c>
      <c r="FM4" s="1186" t="s">
        <v>1212</v>
      </c>
      <c r="FN4" s="1186" t="s">
        <v>1213</v>
      </c>
      <c r="FO4" s="1186" t="s">
        <v>1214</v>
      </c>
      <c r="FP4" s="1186" t="s">
        <v>1215</v>
      </c>
      <c r="FQ4" s="1186" t="s">
        <v>1216</v>
      </c>
      <c r="FR4" s="1186" t="s">
        <v>1217</v>
      </c>
      <c r="FS4" s="1186" t="s">
        <v>1218</v>
      </c>
      <c r="FT4" s="1186" t="s">
        <v>1219</v>
      </c>
      <c r="FU4" s="1186" t="s">
        <v>1281</v>
      </c>
      <c r="FV4" s="1186" t="s">
        <v>1282</v>
      </c>
      <c r="FW4" s="1186" t="s">
        <v>1283</v>
      </c>
      <c r="FX4" s="1186" t="s">
        <v>1284</v>
      </c>
      <c r="FY4" s="1186" t="s">
        <v>4396</v>
      </c>
      <c r="FZ4" s="1186" t="s">
        <v>4397</v>
      </c>
      <c r="GA4" s="1186" t="s">
        <v>4547</v>
      </c>
      <c r="GB4" s="1187" t="s">
        <v>367</v>
      </c>
      <c r="GC4" s="1187" t="s">
        <v>1286</v>
      </c>
      <c r="GD4" s="1187" t="s">
        <v>1569</v>
      </c>
      <c r="GE4" s="1187" t="s">
        <v>1287</v>
      </c>
      <c r="GF4" s="1187" t="s">
        <v>1288</v>
      </c>
      <c r="GG4" s="1187" t="s">
        <v>1289</v>
      </c>
      <c r="GH4" s="1187" t="s">
        <v>1290</v>
      </c>
      <c r="GI4" s="1187" t="s">
        <v>404</v>
      </c>
    </row>
    <row r="5" spans="1:191" ht="16.5">
      <c r="B5" s="280" t="s">
        <v>870</v>
      </c>
      <c r="C5" s="280" t="s">
        <v>871</v>
      </c>
      <c r="D5" s="329"/>
      <c r="E5" s="330"/>
      <c r="F5" s="330"/>
      <c r="G5" s="331"/>
      <c r="H5" s="330"/>
      <c r="I5" s="330"/>
      <c r="J5" s="329"/>
      <c r="K5" s="331"/>
      <c r="L5" s="331"/>
      <c r="M5" s="918"/>
      <c r="N5" s="918"/>
      <c r="O5" s="918"/>
      <c r="P5" s="918"/>
      <c r="Q5" s="918"/>
      <c r="R5" s="918"/>
      <c r="S5" s="918"/>
      <c r="T5" s="331"/>
      <c r="U5" s="331"/>
      <c r="V5" s="331"/>
      <c r="W5" s="331"/>
      <c r="X5" s="332"/>
      <c r="Y5" s="329"/>
      <c r="Z5" s="329"/>
      <c r="AA5" s="329"/>
      <c r="AB5" s="329"/>
      <c r="AC5" s="329"/>
      <c r="AD5" s="329"/>
      <c r="AE5" s="329"/>
      <c r="AF5" s="329"/>
      <c r="AG5" s="329"/>
      <c r="AH5" s="329"/>
      <c r="AI5" s="329"/>
      <c r="AJ5" s="329"/>
      <c r="AK5" s="329"/>
      <c r="AL5" s="329"/>
      <c r="AP5" s="280" t="s">
        <v>872</v>
      </c>
      <c r="AR5" s="333" t="s">
        <v>4445</v>
      </c>
      <c r="BQ5" s="278" t="s">
        <v>876</v>
      </c>
      <c r="BR5" s="617"/>
    </row>
    <row r="6" spans="1:191" ht="16.5">
      <c r="B6" s="280" t="s">
        <v>199</v>
      </c>
      <c r="C6" s="280" t="s">
        <v>874</v>
      </c>
      <c r="D6" s="334" t="s">
        <v>875</v>
      </c>
      <c r="E6" s="62"/>
      <c r="F6" s="753"/>
      <c r="G6" s="753"/>
      <c r="H6" s="335"/>
      <c r="I6" s="335"/>
      <c r="J6" s="62"/>
      <c r="K6" s="62"/>
      <c r="L6" s="62"/>
      <c r="M6" s="62"/>
      <c r="N6" s="62"/>
      <c r="O6" s="62"/>
      <c r="P6" s="754"/>
      <c r="Q6" s="753"/>
      <c r="R6" s="753"/>
      <c r="S6" s="753"/>
      <c r="T6" s="754"/>
      <c r="U6" s="335"/>
      <c r="V6" s="335"/>
      <c r="W6" s="753"/>
      <c r="X6" s="753"/>
      <c r="Y6" s="753"/>
      <c r="Z6" s="825"/>
      <c r="AA6" s="825"/>
      <c r="AB6" s="825"/>
      <c r="AC6" s="825"/>
      <c r="AD6" s="825"/>
      <c r="AE6" s="825"/>
      <c r="AF6" s="825"/>
      <c r="AG6" s="825"/>
      <c r="AH6" s="825"/>
      <c r="AI6" s="825"/>
      <c r="AJ6" s="825"/>
      <c r="AK6" s="825"/>
      <c r="AL6" s="825"/>
      <c r="AO6" s="299" t="s">
        <v>748</v>
      </c>
      <c r="AP6" s="336" t="b">
        <v>1</v>
      </c>
      <c r="AR6" s="1264"/>
      <c r="AS6" s="1265"/>
      <c r="AT6" s="1265"/>
      <c r="AU6" s="1266"/>
      <c r="AV6" s="215"/>
      <c r="AW6" s="215"/>
      <c r="AX6" s="215"/>
      <c r="AY6" s="215"/>
      <c r="AZ6" s="215"/>
      <c r="BA6" s="215"/>
      <c r="BB6" s="215"/>
      <c r="BC6" s="215"/>
      <c r="BD6" s="215"/>
      <c r="BE6" s="215"/>
      <c r="BF6" s="215"/>
      <c r="BG6" s="215"/>
      <c r="BH6" s="215"/>
      <c r="BI6" s="215"/>
      <c r="BJ6" s="215"/>
      <c r="BK6" s="215"/>
    </row>
    <row r="7" spans="1:191" ht="16.5">
      <c r="AO7" s="299" t="s">
        <v>751</v>
      </c>
      <c r="AP7" s="336" t="b">
        <v>1</v>
      </c>
      <c r="AR7" s="1264"/>
      <c r="AS7" s="1265"/>
      <c r="AT7" s="1265"/>
      <c r="AU7" s="1266"/>
      <c r="AV7" s="215"/>
      <c r="AW7" s="215"/>
      <c r="AX7" s="215"/>
      <c r="AY7" s="215"/>
      <c r="AZ7" s="215"/>
      <c r="BA7" s="215"/>
      <c r="BB7" s="215"/>
      <c r="BC7" s="215"/>
      <c r="BD7" s="215"/>
      <c r="BE7" s="215"/>
      <c r="BF7" s="215"/>
      <c r="BG7" s="215"/>
      <c r="BH7" s="215"/>
      <c r="BI7" s="215"/>
      <c r="BJ7" s="215"/>
      <c r="BK7" s="215"/>
      <c r="BO7" s="278" t="s">
        <v>873</v>
      </c>
      <c r="BP7" s="273"/>
    </row>
    <row r="8" spans="1:191" ht="16.5">
      <c r="A8" s="279" t="s">
        <v>880</v>
      </c>
      <c r="AO8" s="299" t="s">
        <v>766</v>
      </c>
      <c r="AP8" s="336" t="b">
        <v>1</v>
      </c>
      <c r="AR8" s="302"/>
      <c r="AS8" s="1251" t="s">
        <v>4471</v>
      </c>
      <c r="AT8" s="1251"/>
      <c r="AU8" s="1251"/>
      <c r="AV8" s="303"/>
      <c r="AW8" s="1251" t="s">
        <v>877</v>
      </c>
      <c r="AX8" s="1251"/>
      <c r="AY8" s="1251"/>
      <c r="AZ8" s="303"/>
      <c r="BA8" s="1251" t="s">
        <v>4472</v>
      </c>
      <c r="BB8" s="1251"/>
      <c r="BC8" s="1251"/>
      <c r="BD8" s="303"/>
      <c r="BE8" s="1251" t="s">
        <v>4473</v>
      </c>
      <c r="BF8" s="1251"/>
      <c r="BG8" s="1251"/>
      <c r="BH8" s="303"/>
      <c r="BI8" s="1251" t="s">
        <v>878</v>
      </c>
      <c r="BJ8" s="1251"/>
      <c r="BK8" s="1251"/>
    </row>
    <row r="9" spans="1:191" ht="16.5">
      <c r="B9" s="280" t="s">
        <v>104</v>
      </c>
      <c r="C9" s="280" t="s">
        <v>887</v>
      </c>
      <c r="D9" s="273"/>
      <c r="E9" s="280" t="s">
        <v>888</v>
      </c>
      <c r="AO9" s="299" t="s">
        <v>758</v>
      </c>
      <c r="AP9" s="336" t="b">
        <v>1</v>
      </c>
      <c r="AR9" s="304"/>
      <c r="AS9" s="1253" t="s">
        <v>881</v>
      </c>
      <c r="AT9" s="1253"/>
      <c r="AU9" s="1253"/>
      <c r="AV9" s="305"/>
      <c r="AW9" s="1253" t="s">
        <v>882</v>
      </c>
      <c r="AX9" s="1253"/>
      <c r="AY9" s="1253"/>
      <c r="AZ9" s="305"/>
      <c r="BA9" s="1253" t="s">
        <v>883</v>
      </c>
      <c r="BB9" s="1253"/>
      <c r="BC9" s="1253"/>
      <c r="BD9" s="305"/>
      <c r="BE9" s="1253" t="s">
        <v>884</v>
      </c>
      <c r="BF9" s="1253"/>
      <c r="BG9" s="1253"/>
      <c r="BH9" s="305"/>
      <c r="BI9" s="1253" t="s">
        <v>885</v>
      </c>
      <c r="BJ9" s="1253"/>
      <c r="BK9" s="1253"/>
      <c r="BO9" s="278" t="s">
        <v>879</v>
      </c>
      <c r="BP9" s="273" t="str">
        <f>IF(UNJC0020_IF_PRINT_KENSAKU_KENSU=0,"",
"UNJC0020_IF!"&amp;ADDRESS(ROW(UNJC0020_IF_PRINT_LIST_START),COLUMN(UNJC0020_IF_PRINT_LIST_START))&amp;":" &amp; ADDRESS(ROW(UNJC0020_IF_PRINT_LIST_START)+UNJC0020_IF_PRINT_KENSAKU_KENSU-1,COLUMN(UNJC0020_IF_PRINT_LIST_START)+COLUMNS(UNJC0020_IF_PRINT_SHOSHIKI_COPY_MOTO)-1))</f>
        <v/>
      </c>
    </row>
    <row r="10" spans="1:191" ht="16.5">
      <c r="AO10" s="299" t="s">
        <v>768</v>
      </c>
      <c r="AP10" s="336" t="b">
        <v>1</v>
      </c>
      <c r="AR10" s="215"/>
      <c r="AS10" s="215"/>
      <c r="AT10" s="215"/>
      <c r="AU10" s="215"/>
      <c r="AV10" s="215"/>
      <c r="AW10" s="215"/>
      <c r="AX10" s="215"/>
      <c r="AY10" s="215"/>
      <c r="AZ10" s="215"/>
      <c r="BA10" s="215"/>
      <c r="BB10" s="215"/>
      <c r="BC10" s="215"/>
      <c r="BD10" s="215"/>
      <c r="BE10" s="215"/>
      <c r="BF10" s="215"/>
      <c r="BG10" s="215"/>
      <c r="BH10" s="215"/>
      <c r="BI10" s="215"/>
      <c r="BJ10" s="215"/>
      <c r="BK10" s="215"/>
      <c r="BO10" s="278" t="s">
        <v>886</v>
      </c>
      <c r="BP10" s="273" t="str">
        <f ca="1">"分析受注検索画面" &amp;"_"&amp;TEXT(NOW(),"YYYYMMDD!_hhmmss")</f>
        <v>分析受注検索画面_20170927_151616</v>
      </c>
    </row>
    <row r="11" spans="1:191" ht="16.5">
      <c r="AO11" s="299" t="s">
        <v>770</v>
      </c>
      <c r="AP11" s="336" t="b">
        <v>1</v>
      </c>
      <c r="AR11" s="1299"/>
      <c r="AS11" s="1300"/>
      <c r="AT11" s="1300"/>
      <c r="AU11" s="1301"/>
      <c r="AV11" s="215"/>
      <c r="AW11" s="215"/>
      <c r="AX11" s="215"/>
      <c r="AY11" s="215"/>
      <c r="AZ11" s="215"/>
      <c r="BA11" s="215"/>
      <c r="BB11" s="216" t="s">
        <v>4436</v>
      </c>
      <c r="BC11" s="1261"/>
      <c r="BD11" s="1262"/>
      <c r="BE11" s="1262"/>
      <c r="BF11" s="1263"/>
      <c r="BG11" s="205" t="s">
        <v>889</v>
      </c>
      <c r="BH11" s="1261"/>
      <c r="BI11" s="1262"/>
      <c r="BJ11" s="1262"/>
      <c r="BK11" s="1263"/>
    </row>
    <row r="12" spans="1:191" ht="16.5">
      <c r="A12" s="279" t="s">
        <v>2760</v>
      </c>
      <c r="AO12" s="299" t="s">
        <v>772</v>
      </c>
      <c r="AP12" s="336" t="b">
        <v>1</v>
      </c>
      <c r="AR12" s="1264"/>
      <c r="AS12" s="1265"/>
      <c r="AT12" s="1265"/>
      <c r="AU12" s="1266"/>
      <c r="AV12" s="215"/>
      <c r="AW12" s="215"/>
      <c r="AX12" s="215"/>
      <c r="AY12" s="215"/>
      <c r="AZ12" s="215"/>
      <c r="BA12" s="215"/>
      <c r="BB12" s="216" t="s">
        <v>4437</v>
      </c>
      <c r="BC12" s="1261"/>
      <c r="BD12" s="1262"/>
      <c r="BE12" s="1262"/>
      <c r="BF12" s="1263"/>
      <c r="BG12" s="205" t="s">
        <v>890</v>
      </c>
      <c r="BH12" s="1261"/>
      <c r="BI12" s="1262"/>
      <c r="BJ12" s="1262"/>
      <c r="BK12" s="1263"/>
    </row>
    <row r="13" spans="1:191" ht="16.5">
      <c r="B13" s="278" t="s">
        <v>2761</v>
      </c>
      <c r="C13" s="280" t="s">
        <v>2763</v>
      </c>
      <c r="D13" s="273"/>
      <c r="AO13" s="299" t="s">
        <v>776</v>
      </c>
      <c r="AP13" s="336" t="b">
        <v>1</v>
      </c>
      <c r="AR13" s="1264"/>
      <c r="AS13" s="1265"/>
      <c r="AT13" s="1265"/>
      <c r="AU13" s="1266"/>
      <c r="AV13" s="215"/>
      <c r="AW13" s="215"/>
      <c r="AX13" s="215"/>
      <c r="AY13" s="215"/>
      <c r="AZ13" s="215"/>
      <c r="BA13" s="215"/>
      <c r="BB13" s="216" t="s">
        <v>4438</v>
      </c>
      <c r="BC13" s="1261"/>
      <c r="BD13" s="1262"/>
      <c r="BE13" s="1262"/>
      <c r="BF13" s="1263"/>
      <c r="BG13" s="205" t="s">
        <v>889</v>
      </c>
      <c r="BH13" s="1261"/>
      <c r="BI13" s="1262"/>
      <c r="BJ13" s="1262"/>
      <c r="BK13" s="1263"/>
    </row>
    <row r="14" spans="1:191" ht="16.5">
      <c r="B14" s="278" t="s">
        <v>2768</v>
      </c>
      <c r="C14" s="278" t="s">
        <v>2769</v>
      </c>
      <c r="D14" s="273"/>
      <c r="AO14" s="299" t="s">
        <v>778</v>
      </c>
      <c r="AP14" s="336" t="b">
        <v>1</v>
      </c>
      <c r="AR14" s="1264"/>
      <c r="AS14" s="1265"/>
      <c r="AT14" s="1265"/>
      <c r="AU14" s="1266"/>
      <c r="AV14" s="215"/>
      <c r="AW14" s="215"/>
      <c r="AX14" s="215"/>
      <c r="AY14" s="215"/>
      <c r="AZ14" s="215"/>
      <c r="BA14" s="215"/>
      <c r="BB14" s="216" t="s">
        <v>4439</v>
      </c>
      <c r="BC14" s="1261"/>
      <c r="BD14" s="1262"/>
      <c r="BE14" s="1262"/>
      <c r="BF14" s="1263"/>
      <c r="BG14" s="205" t="s">
        <v>889</v>
      </c>
      <c r="BH14" s="1261"/>
      <c r="BI14" s="1262"/>
      <c r="BJ14" s="1262"/>
      <c r="BK14" s="1263"/>
    </row>
    <row r="15" spans="1:191" ht="16.5">
      <c r="B15" s="278" t="s">
        <v>4354</v>
      </c>
      <c r="C15" s="970" t="s">
        <v>4355</v>
      </c>
      <c r="D15" s="273"/>
      <c r="AO15" s="299" t="s">
        <v>781</v>
      </c>
      <c r="AP15" s="336" t="b">
        <v>1</v>
      </c>
      <c r="AR15" s="1299"/>
      <c r="AS15" s="1302"/>
      <c r="AT15" s="1302"/>
      <c r="AU15" s="1303"/>
      <c r="AV15" s="215"/>
      <c r="AW15" s="215"/>
      <c r="AX15" s="215"/>
      <c r="AY15" s="215"/>
      <c r="AZ15" s="215"/>
      <c r="BA15" s="215"/>
      <c r="BB15" s="216" t="s">
        <v>4440</v>
      </c>
      <c r="BC15" s="1261"/>
      <c r="BD15" s="1262"/>
      <c r="BE15" s="1262"/>
      <c r="BF15" s="1263"/>
      <c r="BG15" s="205" t="s">
        <v>889</v>
      </c>
      <c r="BH15" s="1261"/>
      <c r="BI15" s="1262"/>
      <c r="BJ15" s="1262"/>
      <c r="BK15" s="1263"/>
    </row>
    <row r="16" spans="1:191" ht="16.5">
      <c r="AO16" s="299" t="s">
        <v>783</v>
      </c>
      <c r="AP16" s="336" t="b">
        <v>0</v>
      </c>
      <c r="AR16" s="1278"/>
      <c r="AS16" s="1279"/>
      <c r="AT16" s="1279"/>
      <c r="AU16" s="1280"/>
      <c r="AV16" s="215"/>
      <c r="AW16" s="215"/>
      <c r="AX16" s="215"/>
      <c r="AY16" s="215"/>
      <c r="AZ16" s="215"/>
      <c r="BA16" s="215"/>
      <c r="BB16" s="215"/>
      <c r="BC16" s="215"/>
      <c r="BD16" s="215"/>
      <c r="BE16" s="215"/>
      <c r="BF16" s="215"/>
      <c r="BG16" s="215"/>
      <c r="BH16" s="215"/>
      <c r="BI16" s="215"/>
      <c r="BJ16" s="215"/>
      <c r="BK16" s="215"/>
    </row>
    <row r="17" spans="1:67" ht="16.5">
      <c r="AO17" s="299" t="s">
        <v>785</v>
      </c>
      <c r="AP17" s="336" t="b">
        <v>0</v>
      </c>
      <c r="AR17" s="1278"/>
      <c r="AS17" s="1279"/>
      <c r="AT17" s="1279"/>
      <c r="AU17" s="1280"/>
      <c r="AV17" s="215"/>
      <c r="AW17" s="215"/>
      <c r="AX17" s="215"/>
      <c r="AY17" s="215"/>
      <c r="AZ17" s="215"/>
      <c r="BA17" s="215"/>
      <c r="BB17" s="215"/>
      <c r="BC17" s="215"/>
      <c r="BD17" s="215"/>
      <c r="BE17" s="215"/>
      <c r="BF17" s="215"/>
      <c r="BG17" s="215"/>
      <c r="BH17" s="215"/>
      <c r="BI17" s="215"/>
      <c r="BJ17" s="215"/>
      <c r="BK17" s="215"/>
    </row>
    <row r="18" spans="1:67" ht="16.5">
      <c r="AO18" s="85" t="s">
        <v>788</v>
      </c>
      <c r="AP18" s="336">
        <v>1</v>
      </c>
      <c r="AR18" s="1271"/>
      <c r="AS18" s="1272"/>
      <c r="AT18" s="1272"/>
      <c r="AU18" s="1272"/>
      <c r="AV18" s="1304" t="str">
        <f>IFERROR(IF(UNJC0020_H_BUNSEKI_HOHO="","",INDEX(UNJC_BUNSEKI_HOHO_IF_LIST,MATCH(UNJC0020_H_BUNSEKI_HOHO,UNJC_BUNSEKI_HOHO_IF_LIST2,0),2)),"")</f>
        <v/>
      </c>
      <c r="AW18" s="1305"/>
      <c r="AX18" s="1305"/>
      <c r="AY18" s="1305"/>
      <c r="AZ18" s="1306"/>
      <c r="BA18" s="1306"/>
      <c r="BB18" s="1306"/>
      <c r="BC18" s="1307"/>
      <c r="BD18" s="215"/>
      <c r="BE18" s="215"/>
      <c r="BF18" s="215"/>
      <c r="BG18" s="215"/>
      <c r="BH18" s="215"/>
      <c r="BI18" s="215"/>
      <c r="BJ18" s="215"/>
      <c r="BK18" s="215"/>
      <c r="BO18" s="339"/>
    </row>
    <row r="19" spans="1:67" ht="16.5">
      <c r="AO19" s="82" t="s">
        <v>790</v>
      </c>
      <c r="AP19" s="340" t="b">
        <v>0</v>
      </c>
      <c r="AR19" s="215"/>
      <c r="AS19" s="215"/>
      <c r="AT19" s="215"/>
      <c r="AU19" s="215"/>
      <c r="AV19" s="215"/>
      <c r="AW19" s="215"/>
      <c r="AX19" s="215"/>
      <c r="AY19" s="215"/>
      <c r="AZ19" s="215"/>
      <c r="BA19" s="215"/>
      <c r="BB19" s="215"/>
      <c r="BC19" s="215"/>
      <c r="BD19" s="215"/>
      <c r="BE19" s="215"/>
      <c r="BF19" s="215"/>
      <c r="BG19" s="215"/>
      <c r="BH19" s="215"/>
      <c r="BI19" s="215"/>
      <c r="BJ19" s="215"/>
      <c r="BK19" s="215"/>
    </row>
    <row r="20" spans="1:67" ht="16.5">
      <c r="AR20" s="1281"/>
      <c r="AS20" s="1282"/>
      <c r="AT20" s="1282"/>
      <c r="AU20" s="1283"/>
      <c r="AV20" s="1255"/>
      <c r="AW20" s="1256"/>
      <c r="AX20" s="1256"/>
      <c r="AY20" s="1256"/>
      <c r="AZ20" s="1256"/>
      <c r="BA20" s="1256"/>
      <c r="BB20" s="1256"/>
      <c r="BC20" s="1256"/>
      <c r="BD20" s="1256"/>
      <c r="BE20" s="1256"/>
      <c r="BF20" s="1256"/>
      <c r="BG20" s="1256"/>
      <c r="BH20" s="1256"/>
      <c r="BI20" s="1256"/>
      <c r="BJ20" s="1256"/>
      <c r="BK20" s="1257"/>
    </row>
    <row r="21" spans="1:67" ht="16.5">
      <c r="AR21" s="1281"/>
      <c r="AS21" s="1282"/>
      <c r="AT21" s="1282"/>
      <c r="AU21" s="1283"/>
      <c r="AV21" s="1284" t="str">
        <f>IF(OR(UNJC0020_H_SEIKYUSAKI_CD="",UNJC0020_H_SEIKYUSAKI_MEI=""),"",UNJC0020_H_SEIKYUSAKI_MEI)</f>
        <v/>
      </c>
      <c r="AW21" s="1285"/>
      <c r="AX21" s="1285"/>
      <c r="AY21" s="1285"/>
      <c r="AZ21" s="1285"/>
      <c r="BA21" s="1285"/>
      <c r="BB21" s="1285"/>
      <c r="BC21" s="1285"/>
      <c r="BD21" s="1285"/>
      <c r="BE21" s="1285"/>
      <c r="BF21" s="1285"/>
      <c r="BG21" s="1285"/>
      <c r="BH21" s="1285"/>
      <c r="BI21" s="1285"/>
      <c r="BJ21" s="1285"/>
      <c r="BK21" s="1286"/>
    </row>
    <row r="22" spans="1:67" ht="16.5">
      <c r="AQ22" s="21"/>
      <c r="AR22" s="1281"/>
      <c r="AS22" s="1282"/>
      <c r="AT22" s="1282"/>
      <c r="AU22" s="1283"/>
      <c r="AV22" s="1255"/>
      <c r="AW22" s="1256"/>
      <c r="AX22" s="1256"/>
      <c r="AY22" s="1256"/>
      <c r="AZ22" s="1256"/>
      <c r="BA22" s="1256"/>
      <c r="BB22" s="1256"/>
      <c r="BC22" s="1256"/>
      <c r="BD22" s="1256"/>
      <c r="BE22" s="1256"/>
      <c r="BF22" s="1256"/>
      <c r="BG22" s="1256"/>
      <c r="BH22" s="1256"/>
      <c r="BI22" s="1256"/>
      <c r="BJ22" s="1256"/>
      <c r="BK22" s="1257"/>
    </row>
    <row r="23" spans="1:67" ht="16.5">
      <c r="AQ23" s="300"/>
      <c r="AR23" s="215"/>
      <c r="AS23" s="215"/>
      <c r="AT23" s="215"/>
      <c r="AU23" s="215"/>
      <c r="AV23" s="215"/>
      <c r="AW23" s="215"/>
      <c r="AX23" s="215"/>
      <c r="AY23" s="215"/>
      <c r="AZ23" s="215"/>
      <c r="BA23" s="215"/>
      <c r="BB23" s="215"/>
      <c r="BC23" s="215"/>
      <c r="BD23" s="215"/>
      <c r="BE23" s="215"/>
      <c r="BF23" s="215"/>
      <c r="BG23" s="215"/>
      <c r="BH23" s="215"/>
      <c r="BI23" s="215"/>
      <c r="BJ23" s="215"/>
      <c r="BK23" s="215"/>
    </row>
    <row r="24" spans="1:67" ht="16.5">
      <c r="AQ24" s="300"/>
      <c r="AR24" s="1287"/>
      <c r="AS24" s="1308"/>
      <c r="AT24" s="1308"/>
      <c r="AU24" s="1308"/>
      <c r="AV24" s="1308"/>
      <c r="AW24" s="1308"/>
      <c r="AX24" s="1308"/>
      <c r="AY24" s="1309"/>
      <c r="AZ24" s="215"/>
      <c r="BA24" s="215"/>
      <c r="BB24" s="215"/>
      <c r="BC24" s="216" t="s">
        <v>793</v>
      </c>
      <c r="BD24" s="1290"/>
      <c r="BE24" s="1310"/>
      <c r="BF24" s="1310"/>
      <c r="BG24" s="1310"/>
      <c r="BH24" s="1310"/>
      <c r="BI24" s="1310"/>
      <c r="BJ24" s="1310"/>
      <c r="BK24" s="1311"/>
    </row>
    <row r="25" spans="1:67" ht="16.5">
      <c r="AQ25" s="300"/>
      <c r="AR25" s="1293"/>
      <c r="AS25" s="1294"/>
      <c r="AT25" s="1294"/>
      <c r="AU25" s="1294"/>
      <c r="AV25" s="1294"/>
      <c r="AW25" s="1294"/>
      <c r="AX25" s="1294"/>
      <c r="AY25" s="1295"/>
      <c r="AZ25" s="215"/>
      <c r="BA25" s="215"/>
      <c r="BB25" s="215"/>
      <c r="BC25" s="215"/>
      <c r="BD25" s="215"/>
      <c r="BE25" s="215"/>
      <c r="BF25" s="215"/>
      <c r="BG25" s="215"/>
      <c r="BH25" s="215"/>
      <c r="BI25" s="215"/>
      <c r="BJ25" s="215"/>
      <c r="BK25" s="215"/>
    </row>
    <row r="26" spans="1:67" ht="16.5">
      <c r="AQ26" s="300"/>
      <c r="AR26" s="215"/>
      <c r="AS26" s="215"/>
      <c r="AT26" s="215"/>
      <c r="AU26" s="215"/>
      <c r="AV26" s="215"/>
      <c r="AW26" s="215"/>
      <c r="AX26" s="215"/>
      <c r="AY26" s="215"/>
      <c r="AZ26" s="215"/>
      <c r="BA26" s="215"/>
      <c r="BB26" s="215"/>
      <c r="BC26" s="215"/>
      <c r="BD26" s="215"/>
      <c r="BE26" s="215"/>
      <c r="BF26" s="215"/>
      <c r="BG26" s="215"/>
      <c r="BH26" s="215"/>
      <c r="BI26" s="215"/>
      <c r="BJ26" s="215"/>
      <c r="BK26" s="215"/>
    </row>
    <row r="27" spans="1:67" ht="16.5">
      <c r="A27" s="279" t="s">
        <v>120</v>
      </c>
      <c r="C27" s="337"/>
      <c r="AQ27" s="300"/>
      <c r="AR27" s="1287"/>
      <c r="AS27" s="1308"/>
      <c r="AT27" s="1308"/>
      <c r="AU27" s="1309"/>
      <c r="AV27" s="314" t="str">
        <f>IF(UNJC0020_H_FREEWD_KBN=1,"AND",IF(UNJC0020_H_FREEWD_KBN=2,"OR","NAND"))</f>
        <v>AND</v>
      </c>
      <c r="AW27" s="1287"/>
      <c r="AX27" s="1308"/>
      <c r="AY27" s="1308"/>
      <c r="AZ27" s="1309"/>
      <c r="BA27" s="314" t="str">
        <f>IF(UNJC0020_H_FREEWD_KBN=1,"AND",IF(UNJC0020_H_FREEWD_KBN=2,"OR","NAND"))</f>
        <v>AND</v>
      </c>
      <c r="BB27" s="1287"/>
      <c r="BC27" s="1308"/>
      <c r="BD27" s="1308"/>
      <c r="BE27" s="1309"/>
      <c r="BF27" s="215"/>
      <c r="BG27" s="215"/>
      <c r="BH27" s="215"/>
      <c r="BI27" s="215"/>
      <c r="BJ27" s="215"/>
      <c r="BK27" s="215"/>
    </row>
    <row r="28" spans="1:67" ht="16.5">
      <c r="B28" s="278" t="s">
        <v>121</v>
      </c>
      <c r="C28" s="280" t="s">
        <v>891</v>
      </c>
      <c r="D28" s="37"/>
      <c r="AQ28" s="300"/>
    </row>
    <row r="29" spans="1:67" ht="16.5">
      <c r="B29" s="278" t="s">
        <v>122</v>
      </c>
      <c r="C29" s="280" t="s">
        <v>892</v>
      </c>
      <c r="D29" s="37"/>
      <c r="AQ29" s="300"/>
    </row>
    <row r="30" spans="1:67" ht="16.5">
      <c r="B30" s="278" t="s">
        <v>123</v>
      </c>
      <c r="C30" s="280" t="s">
        <v>893</v>
      </c>
      <c r="D30" s="37"/>
      <c r="AQ30" s="300"/>
    </row>
    <row r="31" spans="1:67" ht="16.5">
      <c r="AQ31" s="300"/>
    </row>
    <row r="32" spans="1:67" ht="16.5">
      <c r="B32" s="278" t="s">
        <v>124</v>
      </c>
      <c r="C32" s="280" t="s">
        <v>894</v>
      </c>
      <c r="D32" s="37"/>
      <c r="AQ32" s="300"/>
    </row>
    <row r="33" spans="1:43" ht="16.5">
      <c r="C33" s="280"/>
      <c r="D33" s="338"/>
      <c r="AQ33" s="300"/>
    </row>
    <row r="34" spans="1:43" ht="16.5">
      <c r="A34" s="279" t="s">
        <v>895</v>
      </c>
      <c r="AQ34" s="300"/>
    </row>
    <row r="35" spans="1:43" ht="16.5">
      <c r="B35" s="278" t="s">
        <v>896</v>
      </c>
      <c r="E35" s="278" t="s">
        <v>897</v>
      </c>
      <c r="AQ35" s="300"/>
    </row>
    <row r="36" spans="1:43" ht="16.5">
      <c r="B36" s="255" t="s">
        <v>99</v>
      </c>
      <c r="C36" s="255" t="s">
        <v>820</v>
      </c>
      <c r="E36" s="255" t="s">
        <v>99</v>
      </c>
      <c r="F36" s="255" t="s">
        <v>167</v>
      </c>
      <c r="AQ36" s="85"/>
    </row>
    <row r="37" spans="1:43" ht="16.5">
      <c r="B37" s="101" t="s">
        <v>898</v>
      </c>
      <c r="C37" s="341">
        <v>1</v>
      </c>
      <c r="E37" s="101" t="s">
        <v>899</v>
      </c>
      <c r="F37" s="341">
        <v>0</v>
      </c>
      <c r="AQ37" s="85"/>
    </row>
    <row r="38" spans="1:43">
      <c r="B38" s="101" t="s">
        <v>900</v>
      </c>
      <c r="C38" s="341" t="s">
        <v>901</v>
      </c>
      <c r="D38" s="278" t="s">
        <v>902</v>
      </c>
      <c r="E38" s="101" t="s">
        <v>903</v>
      </c>
      <c r="F38" s="341" t="s">
        <v>904</v>
      </c>
      <c r="G38" s="278" t="s">
        <v>905</v>
      </c>
    </row>
    <row r="39" spans="1:43">
      <c r="B39" s="255" t="s">
        <v>906</v>
      </c>
      <c r="C39" s="341" t="s">
        <v>907</v>
      </c>
      <c r="E39" s="255" t="s">
        <v>906</v>
      </c>
      <c r="F39" s="341" t="s">
        <v>907</v>
      </c>
    </row>
    <row r="40" spans="1:43">
      <c r="B40" s="342"/>
      <c r="C40" s="342"/>
      <c r="E40" s="342"/>
      <c r="F40" s="342"/>
    </row>
    <row r="41" spans="1:43">
      <c r="B41" s="343"/>
      <c r="C41" s="343"/>
      <c r="E41" s="343"/>
      <c r="F41" s="343"/>
    </row>
  </sheetData>
  <mergeCells count="43">
    <mergeCell ref="AR22:AU22"/>
    <mergeCell ref="AV22:BK22"/>
    <mergeCell ref="AR25:AY25"/>
    <mergeCell ref="AR27:AU27"/>
    <mergeCell ref="AW27:AZ27"/>
    <mergeCell ref="BB27:BE27"/>
    <mergeCell ref="AR24:AY24"/>
    <mergeCell ref="BD24:BK24"/>
    <mergeCell ref="AR17:AU17"/>
    <mergeCell ref="AR20:AU20"/>
    <mergeCell ref="AV20:BK20"/>
    <mergeCell ref="AR21:AU21"/>
    <mergeCell ref="AV21:BK21"/>
    <mergeCell ref="AR18:AU18"/>
    <mergeCell ref="AV18:BC18"/>
    <mergeCell ref="AR15:AU15"/>
    <mergeCell ref="BC14:BF14"/>
    <mergeCell ref="BH14:BK14"/>
    <mergeCell ref="AR16:AU16"/>
    <mergeCell ref="BC15:BF15"/>
    <mergeCell ref="BH15:BK15"/>
    <mergeCell ref="AR14:AU14"/>
    <mergeCell ref="AR12:AU12"/>
    <mergeCell ref="BC12:BF12"/>
    <mergeCell ref="BH12:BK12"/>
    <mergeCell ref="AR13:AU13"/>
    <mergeCell ref="BC13:BF13"/>
    <mergeCell ref="BH13:BK13"/>
    <mergeCell ref="AR11:AU11"/>
    <mergeCell ref="BC11:BF11"/>
    <mergeCell ref="BH11:BK11"/>
    <mergeCell ref="AR6:AU6"/>
    <mergeCell ref="AS8:AU8"/>
    <mergeCell ref="AW8:AY8"/>
    <mergeCell ref="BA8:BC8"/>
    <mergeCell ref="BE8:BG8"/>
    <mergeCell ref="BI8:BK8"/>
    <mergeCell ref="AS9:AU9"/>
    <mergeCell ref="AW9:AY9"/>
    <mergeCell ref="BA9:BC9"/>
    <mergeCell ref="BE9:BG9"/>
    <mergeCell ref="BI9:BK9"/>
    <mergeCell ref="AR7:AU7"/>
  </mergeCells>
  <phoneticPr fontId="2"/>
  <conditionalFormatting sqref="D6:Q6 S6:AK6">
    <cfRule type="expression" dxfId="155" priority="3">
      <formula>CELL("row") = ROW()</formula>
    </cfRule>
  </conditionalFormatting>
  <conditionalFormatting sqref="R6">
    <cfRule type="expression" dxfId="154" priority="2">
      <formula>CELL("row") = ROW()</formula>
    </cfRule>
  </conditionalFormatting>
  <conditionalFormatting sqref="AL6">
    <cfRule type="expression" dxfId="153" priority="1">
      <formula>CELL("row") = ROW()</formula>
    </cfRule>
  </conditionalFormatting>
  <dataValidations count="9">
    <dataValidation type="custom" allowBlank="1" showInputMessage="1" showErrorMessage="1" sqref="AR15:AU15">
      <formula1>AND(LEN(UNJC0020_H_MITSUMORI_NO)=LENB(UNJC0020_H_MITSUMORI_NO),LEN(UNJC0020_H_MITSUMORI_NO)=10)</formula1>
    </dataValidation>
    <dataValidation type="custom" allowBlank="1" showInputMessage="1" showErrorMessage="1" sqref="AR11:AU11">
      <formula1>AND(LEN(UNJC0020_H_JURI_NO)=LENB(UNJC0020_H_JURI_NO),LEN(UNJC0020_H_JURI_NO)=10)</formula1>
    </dataValidation>
    <dataValidation type="list" allowBlank="1" showInputMessage="1" showErrorMessage="1" sqref="AR17:AU17">
      <formula1>LIST_DEMPYO_STS_HOHO</formula1>
    </dataValidation>
    <dataValidation type="list" allowBlank="1" showInputMessage="1" showErrorMessage="1" sqref="AR16:AU16">
      <formula1>LIST_BUNSEKI_KBN_HOHO</formula1>
    </dataValidation>
    <dataValidation type="custom" allowBlank="1" showInputMessage="1" showErrorMessage="1" sqref="AR20:AU22">
      <formula1>AND(LEN(AR20)=LENB(AR20),LEN(AR20)&lt;=10)</formula1>
    </dataValidation>
    <dataValidation type="custom" allowBlank="1" showInputMessage="1" showErrorMessage="1" sqref="BD24:BK24 AR12:AU14">
      <formula1>LEN(AR12)&lt;=20</formula1>
    </dataValidation>
    <dataValidation type="custom" allowBlank="1" showInputMessage="1" showErrorMessage="1" sqref="AV20:BK20 AV22:BK22">
      <formula1>LEN(AV20)&lt;=25</formula1>
    </dataValidation>
    <dataValidation type="date" allowBlank="1" showInputMessage="1" showErrorMessage="1" sqref="BC11:BF15 BH11:BK15">
      <formula1>36526</formula1>
      <formula2>73415</formula2>
    </dataValidation>
    <dataValidation type="custom" allowBlank="1" showInputMessage="1" showErrorMessage="1" sqref="AR18:AU18">
      <formula1>AND(LEN(K15)=LENB(K15),LEN(K15)&lt;=9)</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B1:CS9"/>
  <sheetViews>
    <sheetView topLeftCell="K1" workbookViewId="0">
      <selection activeCell="AE19" sqref="AE19"/>
    </sheetView>
  </sheetViews>
  <sheetFormatPr defaultRowHeight="17.25" customHeight="1"/>
  <cols>
    <col min="1" max="1" width="9" style="981"/>
    <col min="2" max="2" width="23.125" style="981" bestFit="1" customWidth="1"/>
    <col min="3" max="3" width="24.625" style="981" customWidth="1"/>
    <col min="4" max="4" width="8.875" style="985" customWidth="1"/>
    <col min="5" max="5" width="15" style="981" customWidth="1"/>
    <col min="6" max="6" width="5.625" style="985" customWidth="1"/>
    <col min="7" max="7" width="9" style="985"/>
    <col min="8" max="8" width="5.625" style="985" customWidth="1"/>
    <col min="9" max="9" width="9" style="985"/>
    <col min="10" max="12" width="8.875" style="985" customWidth="1"/>
    <col min="13" max="13" width="14.75" style="981" customWidth="1"/>
    <col min="14" max="24" width="8.875" style="985" customWidth="1"/>
    <col min="25" max="27" width="8.875" style="981" customWidth="1"/>
    <col min="28" max="28" width="8.875" style="985" customWidth="1"/>
    <col min="29" max="30" width="8.875" style="981" customWidth="1"/>
    <col min="31" max="41" width="8.875" style="985" customWidth="1"/>
    <col min="42" max="42" width="8.875" style="981" customWidth="1"/>
    <col min="43" max="49" width="8.875" style="985" customWidth="1"/>
    <col min="50" max="50" width="8.875" style="981" customWidth="1"/>
    <col min="51" max="51" width="8.875" style="985" customWidth="1"/>
    <col min="52" max="52" width="8.875" style="981" customWidth="1"/>
    <col min="53" max="53" width="8.875" style="985" customWidth="1"/>
    <col min="54" max="54" width="8.875" style="981" customWidth="1"/>
    <col min="55" max="97" width="8.875" style="985" customWidth="1"/>
    <col min="98" max="16384" width="9" style="981"/>
  </cols>
  <sheetData>
    <row r="1" spans="2:97" s="691" customFormat="1" ht="17.25" customHeight="1"/>
    <row r="2" spans="2:97" s="691" customFormat="1" ht="17.25" customHeight="1">
      <c r="B2" s="691" t="s">
        <v>1825</v>
      </c>
      <c r="C2" s="691" t="s">
        <v>3770</v>
      </c>
      <c r="D2" s="977"/>
      <c r="E2" s="983"/>
      <c r="F2" s="978"/>
      <c r="G2" s="979"/>
      <c r="H2" s="978"/>
      <c r="I2" s="979"/>
      <c r="J2" s="980"/>
      <c r="K2" s="980"/>
      <c r="L2" s="980"/>
      <c r="M2" s="983"/>
      <c r="N2" s="980"/>
      <c r="O2" s="980"/>
      <c r="P2" s="980"/>
      <c r="Q2" s="980"/>
      <c r="R2" s="980"/>
      <c r="S2" s="980"/>
      <c r="T2" s="980"/>
      <c r="U2" s="980"/>
      <c r="V2" s="980"/>
      <c r="W2" s="980"/>
      <c r="X2" s="980"/>
      <c r="Y2" s="986"/>
      <c r="Z2" s="986"/>
      <c r="AA2" s="986"/>
      <c r="AB2" s="980"/>
      <c r="AC2" s="986"/>
      <c r="AD2" s="986"/>
      <c r="AE2" s="980"/>
      <c r="AF2" s="980"/>
      <c r="AG2" s="980"/>
      <c r="AH2" s="980"/>
      <c r="AI2" s="980"/>
      <c r="AJ2" s="980"/>
      <c r="AK2" s="980"/>
      <c r="AL2" s="980"/>
      <c r="AM2" s="980"/>
      <c r="AN2" s="980"/>
      <c r="AO2" s="980"/>
      <c r="AP2" s="986"/>
      <c r="AQ2" s="980"/>
      <c r="AR2" s="980"/>
      <c r="AS2" s="980"/>
      <c r="AT2" s="980"/>
      <c r="AU2" s="980"/>
      <c r="AV2" s="980"/>
      <c r="AW2" s="980"/>
      <c r="AX2" s="986"/>
      <c r="AY2" s="980"/>
      <c r="AZ2" s="986"/>
      <c r="BA2" s="980"/>
      <c r="BB2" s="986"/>
      <c r="BC2" s="980"/>
      <c r="BD2" s="980"/>
      <c r="BE2" s="980"/>
      <c r="BF2" s="980"/>
      <c r="BG2" s="980"/>
      <c r="BH2" s="980"/>
      <c r="BI2" s="980"/>
      <c r="BJ2" s="980"/>
      <c r="BK2" s="980"/>
      <c r="BL2" s="980"/>
      <c r="BM2" s="980"/>
      <c r="BN2" s="980"/>
      <c r="BO2" s="980"/>
      <c r="BP2" s="980"/>
      <c r="BQ2" s="980"/>
      <c r="BR2" s="980"/>
      <c r="BS2" s="980"/>
      <c r="BT2" s="980"/>
      <c r="BU2" s="980"/>
      <c r="BV2" s="980"/>
      <c r="BW2" s="980"/>
      <c r="BX2" s="980"/>
      <c r="BY2" s="980"/>
      <c r="BZ2" s="980"/>
      <c r="CA2" s="980"/>
      <c r="CB2" s="980"/>
      <c r="CC2" s="980"/>
      <c r="CD2" s="980"/>
      <c r="CE2" s="980"/>
      <c r="CF2" s="980"/>
      <c r="CG2" s="980"/>
      <c r="CH2" s="980"/>
      <c r="CI2" s="980"/>
      <c r="CJ2" s="980"/>
      <c r="CK2" s="980"/>
      <c r="CL2" s="980"/>
      <c r="CM2" s="980"/>
      <c r="CN2" s="980"/>
      <c r="CO2" s="980"/>
      <c r="CP2" s="980"/>
      <c r="CQ2" s="980"/>
      <c r="CR2" s="980"/>
      <c r="CS2" s="980"/>
    </row>
    <row r="3" spans="2:97" s="691" customFormat="1" ht="17.25" customHeight="1"/>
    <row r="4" spans="2:97" s="691" customFormat="1" ht="17.25" customHeight="1">
      <c r="D4" s="326" t="s">
        <v>1738</v>
      </c>
      <c r="E4" s="326" t="s">
        <v>3767</v>
      </c>
      <c r="F4" s="975" t="s">
        <v>3769</v>
      </c>
      <c r="G4" s="976"/>
      <c r="H4" s="975" t="s">
        <v>3768</v>
      </c>
      <c r="I4" s="976"/>
      <c r="J4" s="913" t="s">
        <v>1739</v>
      </c>
      <c r="K4" s="913" t="s">
        <v>1740</v>
      </c>
      <c r="L4" s="913" t="s">
        <v>1741</v>
      </c>
      <c r="M4" s="913" t="s">
        <v>1742</v>
      </c>
      <c r="N4" s="913" t="s">
        <v>1743</v>
      </c>
      <c r="O4" s="913" t="s">
        <v>1744</v>
      </c>
      <c r="P4" s="913" t="s">
        <v>1745</v>
      </c>
      <c r="Q4" s="913" t="s">
        <v>1746</v>
      </c>
      <c r="R4" s="913" t="s">
        <v>1747</v>
      </c>
      <c r="S4" s="913" t="s">
        <v>1748</v>
      </c>
      <c r="T4" s="913" t="s">
        <v>4477</v>
      </c>
      <c r="U4" s="913" t="s">
        <v>1749</v>
      </c>
      <c r="V4" s="913" t="s">
        <v>1750</v>
      </c>
      <c r="W4" s="913" t="s">
        <v>3577</v>
      </c>
      <c r="X4" s="913" t="s">
        <v>1751</v>
      </c>
      <c r="Y4" s="913" t="s">
        <v>1752</v>
      </c>
      <c r="Z4" s="913" t="s">
        <v>1753</v>
      </c>
      <c r="AA4" s="913" t="s">
        <v>1754</v>
      </c>
      <c r="AB4" s="913" t="s">
        <v>1755</v>
      </c>
      <c r="AC4" s="913" t="s">
        <v>1756</v>
      </c>
      <c r="AD4" s="913" t="s">
        <v>1757</v>
      </c>
      <c r="AE4" s="913" t="s">
        <v>1758</v>
      </c>
      <c r="AF4" s="913" t="s">
        <v>1759</v>
      </c>
      <c r="AG4" s="913" t="s">
        <v>1760</v>
      </c>
      <c r="AH4" s="913" t="s">
        <v>1761</v>
      </c>
      <c r="AI4" s="913" t="s">
        <v>1762</v>
      </c>
      <c r="AJ4" s="913" t="s">
        <v>1763</v>
      </c>
      <c r="AK4" s="913" t="s">
        <v>1764</v>
      </c>
      <c r="AL4" s="913" t="s">
        <v>1765</v>
      </c>
      <c r="AM4" s="913" t="s">
        <v>1766</v>
      </c>
      <c r="AN4" s="913" t="s">
        <v>1767</v>
      </c>
      <c r="AO4" s="913" t="s">
        <v>1768</v>
      </c>
      <c r="AP4" s="913" t="s">
        <v>1769</v>
      </c>
      <c r="AQ4" s="913" t="s">
        <v>1770</v>
      </c>
      <c r="AR4" s="913" t="s">
        <v>1771</v>
      </c>
      <c r="AS4" s="913" t="s">
        <v>1772</v>
      </c>
      <c r="AT4" s="913" t="s">
        <v>1773</v>
      </c>
      <c r="AU4" s="913" t="s">
        <v>1774</v>
      </c>
      <c r="AV4" s="913" t="s">
        <v>1775</v>
      </c>
      <c r="AW4" s="913" t="s">
        <v>1776</v>
      </c>
      <c r="AX4" s="913" t="s">
        <v>1777</v>
      </c>
      <c r="AY4" s="913" t="s">
        <v>1778</v>
      </c>
      <c r="AZ4" s="913" t="s">
        <v>1779</v>
      </c>
      <c r="BA4" s="913" t="s">
        <v>1780</v>
      </c>
      <c r="BB4" s="913" t="s">
        <v>1781</v>
      </c>
      <c r="BC4" s="913" t="s">
        <v>1782</v>
      </c>
      <c r="BD4" s="913" t="s">
        <v>1783</v>
      </c>
      <c r="BE4" s="913" t="s">
        <v>1784</v>
      </c>
      <c r="BF4" s="913" t="s">
        <v>1785</v>
      </c>
      <c r="BG4" s="913" t="s">
        <v>1786</v>
      </c>
      <c r="BH4" s="913" t="s">
        <v>1787</v>
      </c>
      <c r="BI4" s="913" t="s">
        <v>1788</v>
      </c>
      <c r="BJ4" s="913" t="s">
        <v>1789</v>
      </c>
      <c r="BK4" s="913" t="s">
        <v>1790</v>
      </c>
      <c r="BL4" s="913" t="s">
        <v>1791</v>
      </c>
      <c r="BM4" s="913" t="s">
        <v>1792</v>
      </c>
      <c r="BN4" s="913" t="s">
        <v>1793</v>
      </c>
      <c r="BO4" s="913" t="s">
        <v>1794</v>
      </c>
      <c r="BP4" s="913" t="s">
        <v>1795</v>
      </c>
      <c r="BQ4" s="913" t="s">
        <v>1796</v>
      </c>
      <c r="BR4" s="913" t="s">
        <v>1797</v>
      </c>
      <c r="BS4" s="913" t="s">
        <v>1798</v>
      </c>
      <c r="BT4" s="913" t="s">
        <v>1799</v>
      </c>
      <c r="BU4" s="913" t="s">
        <v>1800</v>
      </c>
      <c r="BV4" s="913" t="s">
        <v>1801</v>
      </c>
      <c r="BW4" s="913" t="s">
        <v>1802</v>
      </c>
      <c r="BX4" s="913" t="s">
        <v>1803</v>
      </c>
      <c r="BY4" s="913" t="s">
        <v>1804</v>
      </c>
      <c r="BZ4" s="913" t="s">
        <v>1805</v>
      </c>
      <c r="CA4" s="913" t="s">
        <v>1806</v>
      </c>
      <c r="CB4" s="913" t="s">
        <v>1807</v>
      </c>
      <c r="CC4" s="913" t="s">
        <v>1808</v>
      </c>
      <c r="CD4" s="913" t="s">
        <v>1809</v>
      </c>
      <c r="CE4" s="913" t="s">
        <v>1810</v>
      </c>
      <c r="CF4" s="913" t="s">
        <v>1811</v>
      </c>
      <c r="CG4" s="913" t="s">
        <v>1812</v>
      </c>
      <c r="CH4" s="913" t="s">
        <v>1813</v>
      </c>
      <c r="CI4" s="913" t="s">
        <v>1814</v>
      </c>
      <c r="CJ4" s="913" t="s">
        <v>1815</v>
      </c>
      <c r="CK4" s="913" t="s">
        <v>1816</v>
      </c>
      <c r="CL4" s="913" t="s">
        <v>1817</v>
      </c>
      <c r="CM4" s="913" t="s">
        <v>1818</v>
      </c>
      <c r="CN4" s="913" t="s">
        <v>1819</v>
      </c>
      <c r="CO4" s="913" t="s">
        <v>1820</v>
      </c>
      <c r="CP4" s="913" t="s">
        <v>1821</v>
      </c>
      <c r="CQ4" s="913" t="s">
        <v>1822</v>
      </c>
      <c r="CR4" s="913" t="s">
        <v>1823</v>
      </c>
      <c r="CS4" s="913" t="s">
        <v>404</v>
      </c>
    </row>
    <row r="5" spans="2:97" ht="17.25" customHeight="1">
      <c r="C5" s="981" t="s">
        <v>3771</v>
      </c>
      <c r="D5" s="987"/>
    </row>
    <row r="7" spans="2:97" ht="17.25" customHeight="1">
      <c r="B7" s="981" t="s">
        <v>3772</v>
      </c>
      <c r="C7" s="982"/>
    </row>
    <row r="9" spans="2:97" ht="17.25" customHeight="1">
      <c r="B9" s="981" t="s">
        <v>3773</v>
      </c>
      <c r="C9" s="982" t="str">
        <f>IF(UNJC0020_IF2_PRINT_KENSAKU_KENSU=0,"",
"UNJC0020_IF2!"&amp;ADDRESS(ROW(UNJC0020_IF2_PRINT_LIST_START),COLUMN(UNJC0020_IF2_PRINT_LIST_START))&amp;":" &amp; ADDRESS(ROW(UNJC0020_IF2_PRINT_LIST_START)+UNJC0020_IF2_PRINT_KENSAKU_KENSU-1,COLUMN(UNJC0020_IF2_PRINT_LIST_START)+COLUMNS(UNJC0020_IF2_PRINT_SHOSHIKI_COPY_MOTO)-1))</f>
        <v/>
      </c>
    </row>
  </sheetData>
  <phoneticPr fontId="2"/>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167"/>
  <sheetViews>
    <sheetView topLeftCell="A51" zoomScale="85" zoomScaleNormal="85" workbookViewId="0">
      <selection activeCell="D51" sqref="D51:F51"/>
    </sheetView>
  </sheetViews>
  <sheetFormatPr defaultRowHeight="13.5"/>
  <cols>
    <col min="1" max="1" width="2.75" style="278" customWidth="1"/>
    <col min="2" max="2" width="18.75" style="278" bestFit="1" customWidth="1"/>
    <col min="3" max="3" width="21" style="278" customWidth="1"/>
    <col min="4" max="5" width="0.625" style="278" customWidth="1"/>
    <col min="6" max="6" width="102.125" style="278" customWidth="1"/>
    <col min="7" max="7" width="53.625" style="278" customWidth="1"/>
    <col min="8" max="10" width="9" style="278"/>
    <col min="11" max="11" width="19.75" style="278" customWidth="1"/>
    <col min="12" max="12" width="14" style="278" customWidth="1"/>
    <col min="13" max="13" width="14.875" style="278" customWidth="1"/>
    <col min="14" max="16384" width="9" style="278"/>
  </cols>
  <sheetData>
    <row r="1" spans="1:13">
      <c r="A1" s="344" t="s">
        <v>908</v>
      </c>
      <c r="B1" s="345"/>
      <c r="C1" s="346"/>
      <c r="D1" s="347"/>
      <c r="E1" s="347"/>
      <c r="F1" s="348" t="s">
        <v>909</v>
      </c>
      <c r="G1" s="345" t="s">
        <v>910</v>
      </c>
      <c r="H1" s="345"/>
      <c r="I1" s="345"/>
      <c r="J1" s="345"/>
      <c r="K1" s="345"/>
      <c r="L1" s="278" t="s">
        <v>911</v>
      </c>
      <c r="M1" s="278" t="s">
        <v>912</v>
      </c>
    </row>
    <row r="2" spans="1:13" s="361" customFormat="1" ht="16.5">
      <c r="A2" s="354"/>
      <c r="B2" s="355" t="s">
        <v>3786</v>
      </c>
      <c r="C2" s="356" t="s">
        <v>3787</v>
      </c>
      <c r="D2" s="357"/>
      <c r="E2" s="357"/>
      <c r="F2" s="358"/>
      <c r="G2" s="359" t="str">
        <f>IF(UNJC0020_H_BUSHO_MEI=0,"",UNJC0020_H_BUSHO_CD)</f>
        <v/>
      </c>
      <c r="H2" s="354"/>
      <c r="I2" s="354"/>
      <c r="J2" s="354"/>
      <c r="K2" s="354"/>
      <c r="L2" s="360"/>
      <c r="M2" s="358"/>
    </row>
    <row r="3" spans="1:13" ht="16.5">
      <c r="A3" s="349"/>
      <c r="B3" s="299" t="s">
        <v>794</v>
      </c>
      <c r="C3" s="300" t="s">
        <v>913</v>
      </c>
      <c r="D3" s="350"/>
      <c r="E3" s="350"/>
      <c r="F3" s="351"/>
      <c r="G3" s="352" t="str">
        <f>IF(UNJC0020_H_KEISHIKI=0,"",UNJC0020_H_KEISHIKI_KBN)</f>
        <v/>
      </c>
      <c r="H3" s="349"/>
      <c r="I3" s="349"/>
      <c r="J3" s="349"/>
      <c r="K3" s="349"/>
      <c r="L3" s="353">
        <v>1</v>
      </c>
      <c r="M3" s="351"/>
    </row>
    <row r="4" spans="1:13" s="361" customFormat="1" ht="16.5">
      <c r="A4" s="354"/>
      <c r="B4" s="355" t="s">
        <v>748</v>
      </c>
      <c r="C4" s="356" t="s">
        <v>914</v>
      </c>
      <c r="D4" s="357"/>
      <c r="E4" s="357"/>
      <c r="F4" s="358" t="b">
        <v>0</v>
      </c>
      <c r="G4" s="359" t="b">
        <f>UNJC0020_H_KAKUTEIMI_STS</f>
        <v>1</v>
      </c>
      <c r="H4" s="354"/>
      <c r="I4" s="354"/>
      <c r="J4" s="354"/>
      <c r="K4" s="354"/>
      <c r="L4" s="360" t="b">
        <v>1</v>
      </c>
      <c r="M4" s="358" t="b">
        <v>0</v>
      </c>
    </row>
    <row r="5" spans="1:13" s="970" customFormat="1" ht="16.5">
      <c r="A5" s="349"/>
      <c r="B5" s="299" t="s">
        <v>751</v>
      </c>
      <c r="C5" s="300" t="s">
        <v>3730</v>
      </c>
      <c r="D5" s="350"/>
      <c r="E5" s="350"/>
      <c r="F5" s="351" t="b">
        <v>0</v>
      </c>
      <c r="G5" s="352" t="b">
        <f>UNJC0020_H_UKETSUKE_STS</f>
        <v>1</v>
      </c>
      <c r="H5" s="349"/>
      <c r="I5" s="349"/>
      <c r="J5" s="349"/>
      <c r="K5" s="349"/>
      <c r="L5" s="353" t="b">
        <v>1</v>
      </c>
      <c r="M5" s="351" t="b">
        <v>0</v>
      </c>
    </row>
    <row r="6" spans="1:13" s="361" customFormat="1" ht="16.5">
      <c r="A6" s="354"/>
      <c r="B6" s="355" t="s">
        <v>766</v>
      </c>
      <c r="C6" s="356" t="s">
        <v>3731</v>
      </c>
      <c r="D6" s="357"/>
      <c r="E6" s="357"/>
      <c r="F6" s="358" t="b">
        <v>0</v>
      </c>
      <c r="G6" s="359" t="b">
        <f>UNJC0020_H_GIJUTSU_STS</f>
        <v>1</v>
      </c>
      <c r="H6" s="354"/>
      <c r="I6" s="354"/>
      <c r="J6" s="354"/>
      <c r="K6" s="354"/>
      <c r="L6" s="360" t="b">
        <v>1</v>
      </c>
      <c r="M6" s="358" t="b">
        <v>0</v>
      </c>
    </row>
    <row r="7" spans="1:13" s="970" customFormat="1" ht="16.5">
      <c r="A7" s="349"/>
      <c r="B7" s="299" t="s">
        <v>758</v>
      </c>
      <c r="C7" s="300" t="s">
        <v>3732</v>
      </c>
      <c r="D7" s="350"/>
      <c r="E7" s="350"/>
      <c r="F7" s="351" t="b">
        <v>0</v>
      </c>
      <c r="G7" s="352" t="b">
        <f>UNJC0020_H_CHUKAN_STS</f>
        <v>1</v>
      </c>
      <c r="H7" s="349"/>
      <c r="I7" s="349"/>
      <c r="J7" s="349"/>
      <c r="K7" s="349"/>
      <c r="L7" s="353" t="b">
        <v>1</v>
      </c>
      <c r="M7" s="351" t="b">
        <v>0</v>
      </c>
    </row>
    <row r="8" spans="1:13" s="361" customFormat="1" ht="16.5">
      <c r="A8" s="354"/>
      <c r="B8" s="355" t="s">
        <v>768</v>
      </c>
      <c r="C8" s="356" t="s">
        <v>3733</v>
      </c>
      <c r="D8" s="357"/>
      <c r="E8" s="357"/>
      <c r="F8" s="358" t="b">
        <v>0</v>
      </c>
      <c r="G8" s="359" t="b">
        <f>UNJC0020_H_KAKUNIN2_STS</f>
        <v>1</v>
      </c>
      <c r="H8" s="354"/>
      <c r="I8" s="354"/>
      <c r="J8" s="354"/>
      <c r="K8" s="354"/>
      <c r="L8" s="360" t="b">
        <v>1</v>
      </c>
      <c r="M8" s="358" t="b">
        <v>0</v>
      </c>
    </row>
    <row r="9" spans="1:13" s="970" customFormat="1" ht="16.5">
      <c r="A9" s="349"/>
      <c r="B9" s="299" t="s">
        <v>770</v>
      </c>
      <c r="C9" s="300" t="s">
        <v>3734</v>
      </c>
      <c r="D9" s="350"/>
      <c r="E9" s="350"/>
      <c r="F9" s="351" t="b">
        <v>0</v>
      </c>
      <c r="G9" s="352" t="b">
        <f>UNJC0020_H_SOKUHO_STS</f>
        <v>1</v>
      </c>
      <c r="H9" s="349"/>
      <c r="I9" s="349"/>
      <c r="J9" s="349"/>
      <c r="K9" s="349"/>
      <c r="L9" s="353" t="b">
        <v>1</v>
      </c>
      <c r="M9" s="351" t="b">
        <v>0</v>
      </c>
    </row>
    <row r="10" spans="1:13" s="361" customFormat="1" ht="16.5">
      <c r="A10" s="354"/>
      <c r="B10" s="355" t="s">
        <v>772</v>
      </c>
      <c r="C10" s="356" t="s">
        <v>3735</v>
      </c>
      <c r="D10" s="357"/>
      <c r="E10" s="357"/>
      <c r="F10" s="358" t="b">
        <v>0</v>
      </c>
      <c r="G10" s="359" t="b">
        <f>UNJC0020_H_EIGYO_STS</f>
        <v>1</v>
      </c>
      <c r="H10" s="354"/>
      <c r="I10" s="354"/>
      <c r="J10" s="354"/>
      <c r="K10" s="354"/>
      <c r="L10" s="360" t="b">
        <v>1</v>
      </c>
      <c r="M10" s="358" t="b">
        <v>0</v>
      </c>
    </row>
    <row r="11" spans="1:13" s="970" customFormat="1" ht="16.5">
      <c r="A11" s="349"/>
      <c r="B11" s="299" t="s">
        <v>776</v>
      </c>
      <c r="C11" s="300" t="s">
        <v>3736</v>
      </c>
      <c r="D11" s="350"/>
      <c r="E11" s="350"/>
      <c r="F11" s="351" t="b">
        <v>0</v>
      </c>
      <c r="G11" s="352" t="b">
        <f>UNJC0020_H_NOHIN_STS</f>
        <v>1</v>
      </c>
      <c r="H11" s="349"/>
      <c r="I11" s="349"/>
      <c r="J11" s="349"/>
      <c r="K11" s="349"/>
      <c r="L11" s="353" t="b">
        <v>1</v>
      </c>
      <c r="M11" s="351" t="b">
        <v>0</v>
      </c>
    </row>
    <row r="12" spans="1:13" s="361" customFormat="1" ht="16.5">
      <c r="A12" s="354"/>
      <c r="B12" s="355" t="s">
        <v>778</v>
      </c>
      <c r="C12" s="356" t="s">
        <v>3737</v>
      </c>
      <c r="D12" s="357"/>
      <c r="E12" s="357"/>
      <c r="F12" s="358" t="b">
        <v>0</v>
      </c>
      <c r="G12" s="359" t="b">
        <f>UNJC0020_H_BUNSEKI_HOKAN_STS</f>
        <v>1</v>
      </c>
      <c r="H12" s="354"/>
      <c r="I12" s="354"/>
      <c r="J12" s="354"/>
      <c r="K12" s="354"/>
      <c r="L12" s="360" t="b">
        <v>1</v>
      </c>
      <c r="M12" s="358" t="b">
        <v>0</v>
      </c>
    </row>
    <row r="13" spans="1:13" s="970" customFormat="1" ht="16.5">
      <c r="A13" s="349"/>
      <c r="B13" s="299" t="s">
        <v>781</v>
      </c>
      <c r="C13" s="300" t="s">
        <v>3738</v>
      </c>
      <c r="D13" s="350"/>
      <c r="E13" s="350"/>
      <c r="F13" s="351" t="b">
        <v>0</v>
      </c>
      <c r="G13" s="352" t="b">
        <f>UNJC0020_H_TEISEI_STS</f>
        <v>1</v>
      </c>
      <c r="H13" s="349"/>
      <c r="I13" s="349"/>
      <c r="J13" s="349"/>
      <c r="K13" s="349"/>
      <c r="L13" s="353" t="b">
        <v>1</v>
      </c>
      <c r="M13" s="351" t="b">
        <v>0</v>
      </c>
    </row>
    <row r="14" spans="1:13" s="361" customFormat="1" ht="16.5">
      <c r="A14" s="354"/>
      <c r="B14" s="355" t="s">
        <v>783</v>
      </c>
      <c r="C14" s="356" t="s">
        <v>3739</v>
      </c>
      <c r="D14" s="357"/>
      <c r="E14" s="357"/>
      <c r="F14" s="358" t="b">
        <v>0</v>
      </c>
      <c r="G14" s="359" t="b">
        <f>UNJC0020_H_CHUDAN_STS</f>
        <v>0</v>
      </c>
      <c r="H14" s="354"/>
      <c r="I14" s="354"/>
      <c r="J14" s="354"/>
      <c r="K14" s="354"/>
      <c r="L14" s="360" t="b">
        <v>0</v>
      </c>
      <c r="M14" s="358" t="b">
        <v>0</v>
      </c>
    </row>
    <row r="15" spans="1:13" s="970" customFormat="1" ht="16.5">
      <c r="A15" s="349"/>
      <c r="B15" s="299" t="s">
        <v>785</v>
      </c>
      <c r="C15" s="300" t="s">
        <v>3740</v>
      </c>
      <c r="D15" s="350"/>
      <c r="E15" s="350"/>
      <c r="F15" s="351" t="b">
        <v>0</v>
      </c>
      <c r="G15" s="352" t="b">
        <f>UNJC0020_H_CHUSHI_STS</f>
        <v>0</v>
      </c>
      <c r="H15" s="349"/>
      <c r="I15" s="349"/>
      <c r="J15" s="349"/>
      <c r="K15" s="349"/>
      <c r="L15" s="353" t="b">
        <v>0</v>
      </c>
      <c r="M15" s="351" t="b">
        <v>0</v>
      </c>
    </row>
    <row r="16" spans="1:13" s="361" customFormat="1" ht="16.5">
      <c r="A16" s="354"/>
      <c r="B16" s="355" t="s">
        <v>28</v>
      </c>
      <c r="C16" s="356" t="s">
        <v>3741</v>
      </c>
      <c r="D16" s="357"/>
      <c r="E16" s="357"/>
      <c r="F16" s="358" t="s">
        <v>915</v>
      </c>
      <c r="G16" s="359" t="str">
        <f>IF(UNJC0020_H_JURI_NO=0,"",UNJC0020_H_JURI_NO)</f>
        <v/>
      </c>
      <c r="H16" s="354"/>
      <c r="I16" s="354"/>
      <c r="J16" s="354"/>
      <c r="K16" s="354"/>
      <c r="L16" s="360" t="s">
        <v>916</v>
      </c>
      <c r="M16" s="358" t="s">
        <v>917</v>
      </c>
    </row>
    <row r="17" spans="1:13" s="970" customFormat="1" ht="16.5">
      <c r="A17" s="349"/>
      <c r="B17" s="299" t="s">
        <v>97</v>
      </c>
      <c r="C17" s="300" t="s">
        <v>3742</v>
      </c>
      <c r="D17" s="350"/>
      <c r="E17" s="350"/>
      <c r="F17" s="351" t="s">
        <v>917</v>
      </c>
      <c r="G17" s="352" t="str">
        <f>IF(UNJC0020_H_EIGYO_TANTOSHA_MEI=0,"",UNJC0020_H_EIGYO_TANTO_CD)</f>
        <v/>
      </c>
      <c r="H17" s="349"/>
      <c r="I17" s="349"/>
      <c r="J17" s="349"/>
      <c r="K17" s="349"/>
      <c r="L17" s="353">
        <v>9001</v>
      </c>
      <c r="M17" s="351" t="s">
        <v>915</v>
      </c>
    </row>
    <row r="18" spans="1:13" s="361" customFormat="1" ht="16.5">
      <c r="A18" s="354"/>
      <c r="B18" s="355" t="s">
        <v>98</v>
      </c>
      <c r="C18" s="356" t="s">
        <v>3743</v>
      </c>
      <c r="D18" s="357"/>
      <c r="E18" s="357"/>
      <c r="F18" s="358"/>
      <c r="G18" s="359" t="str">
        <f>IF(UNJC0020_H_NYURYOKUSHA_MEI=0,"",UNJC0020_H_NYURYOKUSHA_CD)</f>
        <v/>
      </c>
      <c r="H18" s="354"/>
      <c r="I18" s="354"/>
      <c r="J18" s="354"/>
      <c r="K18" s="354"/>
      <c r="L18" s="360">
        <v>3000</v>
      </c>
      <c r="M18" s="358"/>
    </row>
    <row r="19" spans="1:13" s="282" customFormat="1" ht="16.5">
      <c r="A19" s="349"/>
      <c r="B19" s="308" t="s">
        <v>4446</v>
      </c>
      <c r="C19" s="367" t="s">
        <v>4447</v>
      </c>
      <c r="D19" s="350"/>
      <c r="E19" s="350"/>
      <c r="F19" s="351" t="s">
        <v>917</v>
      </c>
      <c r="G19" s="352" t="str">
        <f>IF(UNJC0020_H_UKETSUKESHA_MEI=0,"",UNJC0020_H_UKETSUKESHA_CD)</f>
        <v/>
      </c>
      <c r="H19" s="349"/>
      <c r="I19" s="349"/>
      <c r="J19" s="349"/>
      <c r="K19" s="349"/>
      <c r="L19" s="353">
        <v>166</v>
      </c>
      <c r="M19" s="351"/>
    </row>
    <row r="20" spans="1:13" s="970" customFormat="1" ht="16.5">
      <c r="A20" s="349"/>
      <c r="B20" s="299" t="s">
        <v>2</v>
      </c>
      <c r="C20" s="300" t="s">
        <v>3744</v>
      </c>
      <c r="D20" s="350"/>
      <c r="E20" s="350"/>
      <c r="F20" s="351"/>
      <c r="G20" s="352" t="str">
        <f>IF(UNJC0020_H_MITSUMORI_NO=0,"",UNJC0020_H_MITSUMORI_NO)</f>
        <v/>
      </c>
      <c r="H20" s="349"/>
      <c r="I20" s="349"/>
      <c r="J20" s="349"/>
      <c r="K20" s="349"/>
      <c r="L20" s="353" t="s">
        <v>918</v>
      </c>
      <c r="M20" s="351"/>
    </row>
    <row r="21" spans="1:13" s="361" customFormat="1" ht="16.5">
      <c r="A21" s="354"/>
      <c r="B21" s="355" t="s">
        <v>820</v>
      </c>
      <c r="C21" s="356" t="s">
        <v>3745</v>
      </c>
      <c r="D21" s="357"/>
      <c r="E21" s="357"/>
      <c r="F21" s="358"/>
      <c r="G21" s="359" t="str">
        <f ca="1">IF(UNJC0020_H_BUNSEKIKUBUN_KBN=0,"",UNJC0020_H_BUNSEKIKUBUN_KBN)</f>
        <v/>
      </c>
      <c r="H21" s="354"/>
      <c r="I21" s="354"/>
      <c r="J21" s="354"/>
      <c r="K21" s="354"/>
      <c r="L21" s="360">
        <v>1</v>
      </c>
      <c r="M21" s="358"/>
    </row>
    <row r="22" spans="1:13" s="970" customFormat="1" ht="16.5">
      <c r="A22" s="349"/>
      <c r="B22" s="299" t="s">
        <v>867</v>
      </c>
      <c r="C22" s="300" t="s">
        <v>3746</v>
      </c>
      <c r="D22" s="350"/>
      <c r="E22" s="350"/>
      <c r="F22" s="351"/>
      <c r="G22" s="352" t="str">
        <f>IF(UNJC0020_H_NYURYOKU_DATE_START="",
     "",
     TEXT(
         MIN(UNJC0020_H_NYURYOKU_DATE_START,
               UNJC0020_H_NYURYOKU_DATE_END
         ),
         "YYYY/MM/DD"
     )
  )</f>
        <v/>
      </c>
      <c r="H22" s="349"/>
      <c r="I22" s="349"/>
      <c r="J22" s="349"/>
      <c r="K22" s="349"/>
      <c r="L22" s="353">
        <v>0</v>
      </c>
      <c r="M22" s="351"/>
    </row>
    <row r="23" spans="1:13" s="361" customFormat="1" ht="16.5">
      <c r="A23" s="354"/>
      <c r="B23" s="355"/>
      <c r="C23" s="356" t="s">
        <v>3747</v>
      </c>
      <c r="D23" s="357"/>
      <c r="E23" s="357"/>
      <c r="F23" s="358"/>
      <c r="G23" s="359" t="str">
        <f>IF(UNJC0020_H_NYURYOKU_DATE_END="",
     "",
     TEXT(
         MAX(UNJC0020_H_NYURYOKU_DATE_START,
               UNJC0020_H_NYURYOKU_DATE_END
         ),
         "YYYY/MM/DD"
     )
  )</f>
        <v/>
      </c>
      <c r="H23" s="354"/>
      <c r="I23" s="354"/>
      <c r="J23" s="354"/>
      <c r="K23" s="354"/>
      <c r="L23" s="360">
        <v>0</v>
      </c>
      <c r="M23" s="358"/>
    </row>
    <row r="24" spans="1:13" s="970" customFormat="1" ht="16.5">
      <c r="A24" s="349"/>
      <c r="B24" s="299" t="s">
        <v>919</v>
      </c>
      <c r="C24" s="300" t="s">
        <v>3748</v>
      </c>
      <c r="D24" s="350"/>
      <c r="E24" s="350"/>
      <c r="F24" s="351"/>
      <c r="G24" s="352" t="str">
        <f>IF(UNJC0020_H_IRAI_DATE_START="",
     "",
     TEXT(
         MIN(UNJC0020_H_IRAI_DATE_START,
               UNJC0020_H_IRAI_DATE_END
         ),
         "YYYY/MM/DD"
     )
  )</f>
        <v/>
      </c>
      <c r="H24" s="349"/>
      <c r="I24" s="349"/>
      <c r="J24" s="349"/>
      <c r="K24" s="349"/>
      <c r="L24" s="353">
        <v>0</v>
      </c>
      <c r="M24" s="351"/>
    </row>
    <row r="25" spans="1:13" s="361" customFormat="1" ht="16.5">
      <c r="A25" s="354"/>
      <c r="B25" s="355"/>
      <c r="C25" s="356" t="s">
        <v>3749</v>
      </c>
      <c r="D25" s="357"/>
      <c r="E25" s="357"/>
      <c r="F25" s="358"/>
      <c r="G25" s="359" t="str">
        <f>IF(UNJC0020_H_IRAI_DATE_END="",
     "",
     TEXT(
         MAX(UNJC0020_H_IRAI_DATE_START,
               UNJC0020_H_IRAI_DATE_END
         ),
         "YYYY/MM/DD"
     )
  )</f>
        <v/>
      </c>
      <c r="H25" s="354"/>
      <c r="I25" s="354"/>
      <c r="J25" s="354"/>
      <c r="K25" s="354"/>
      <c r="L25" s="360">
        <v>0</v>
      </c>
      <c r="M25" s="358"/>
    </row>
    <row r="26" spans="1:13" s="970" customFormat="1" ht="16.5">
      <c r="A26" s="349"/>
      <c r="B26" s="299" t="s">
        <v>920</v>
      </c>
      <c r="C26" s="300" t="s">
        <v>3750</v>
      </c>
      <c r="D26" s="350"/>
      <c r="E26" s="350"/>
      <c r="F26" s="351"/>
      <c r="G26" s="352" t="str">
        <f>IF(UNJC0020_H_CHUKAN_DATE_START="",
     "",
     TEXT(
         MIN(UNJC0020_H_CHUKAN_DATE_START,
               UNJC0020_H_CHUKAN_DATE_END
         ),
         "YYYY/MM/DD"
     )
  )</f>
        <v/>
      </c>
      <c r="H26" s="349"/>
      <c r="I26" s="349"/>
      <c r="J26" s="349"/>
      <c r="K26" s="349"/>
      <c r="L26" s="353">
        <v>0</v>
      </c>
      <c r="M26" s="351" t="s">
        <v>807</v>
      </c>
    </row>
    <row r="27" spans="1:13" s="361" customFormat="1" ht="16.5">
      <c r="A27" s="354"/>
      <c r="B27" s="355"/>
      <c r="C27" s="356" t="s">
        <v>3751</v>
      </c>
      <c r="D27" s="357"/>
      <c r="E27" s="357"/>
      <c r="F27" s="358"/>
      <c r="G27" s="359" t="str">
        <f>IF(UNJC0020_H_CHUKAN_DATE_END="",
     "",
     TEXT(
         MAX(UNJC0020_H_CHUKAN_DATE_START,
               UNJC0020_H_CHUKAN_DATE_END
         ),
         "YYYY/MM/DD"
     )
  )</f>
        <v/>
      </c>
      <c r="H27" s="354"/>
      <c r="I27" s="354"/>
      <c r="J27" s="354"/>
      <c r="K27" s="354"/>
      <c r="L27" s="360">
        <v>0</v>
      </c>
      <c r="M27" s="358"/>
    </row>
    <row r="28" spans="1:13" s="970" customFormat="1" ht="16.5">
      <c r="A28" s="349"/>
      <c r="B28" s="299" t="s">
        <v>827</v>
      </c>
      <c r="C28" s="300" t="s">
        <v>3752</v>
      </c>
      <c r="D28" s="350"/>
      <c r="E28" s="350"/>
      <c r="F28" s="351"/>
      <c r="G28" s="352" t="str">
        <f>IF(UNJC0020_H_KANSEI_DATE_START="",
     "",
     TEXT(
         MIN(UNJC0020_H_KANSEI_DATE_START,
               UNJC0020_H_KANSEI_DATE_END
         ),
         "YYYY/MM/DD"
     )
  )</f>
        <v/>
      </c>
      <c r="H28" s="349"/>
      <c r="I28" s="349"/>
      <c r="J28" s="349"/>
      <c r="K28" s="349"/>
      <c r="L28" s="353">
        <v>0</v>
      </c>
      <c r="M28" s="351"/>
    </row>
    <row r="29" spans="1:13" s="361" customFormat="1" ht="16.5">
      <c r="A29" s="354"/>
      <c r="B29" s="355"/>
      <c r="C29" s="356" t="s">
        <v>3753</v>
      </c>
      <c r="D29" s="357"/>
      <c r="E29" s="357"/>
      <c r="F29" s="358"/>
      <c r="G29" s="359" t="str">
        <f>IF(UNJC0020_H_KANSEI_DATE_END="",
     "",
     TEXT(
         MAX(UNJC0020_H_KANSEI_DATE_START,
               UNJC0020_H_KANSEI_DATE_END
         ),
         "YYYY/MM/DD"
     )
  )</f>
        <v/>
      </c>
      <c r="H29" s="354"/>
      <c r="I29" s="354"/>
      <c r="J29" s="354"/>
      <c r="K29" s="354"/>
      <c r="L29" s="360">
        <v>0</v>
      </c>
      <c r="M29" s="358"/>
    </row>
    <row r="30" spans="1:13" s="970" customFormat="1" ht="16.5">
      <c r="A30" s="349"/>
      <c r="B30" s="299" t="s">
        <v>29</v>
      </c>
      <c r="C30" s="300" t="s">
        <v>3754</v>
      </c>
      <c r="D30" s="350"/>
      <c r="E30" s="350"/>
      <c r="F30" s="351"/>
      <c r="G30" s="352" t="str">
        <f>IF(UNJC0020_H_NOHIN_DATE_START="",
     "",
     TEXT(
         MIN(UNJC0020_H_NOHIN_DATE_START,
               UNJC0020_H_NOHIN_DATE_END
         ),
         "YYYY/MM/DD"
     )
  )</f>
        <v/>
      </c>
      <c r="H30" s="349"/>
      <c r="I30" s="349"/>
      <c r="J30" s="349"/>
      <c r="K30" s="349"/>
      <c r="L30" s="353">
        <v>0</v>
      </c>
      <c r="M30" s="351"/>
    </row>
    <row r="31" spans="1:13" s="361" customFormat="1" ht="16.5">
      <c r="A31" s="354"/>
      <c r="B31" s="355"/>
      <c r="C31" s="356" t="s">
        <v>3755</v>
      </c>
      <c r="D31" s="357"/>
      <c r="E31" s="357"/>
      <c r="F31" s="358"/>
      <c r="G31" s="359" t="str">
        <f>IF(UNJC0020_H_NOHIN_DATE_END="",
     "",
     TEXT(
         MAX(UNJC0020_H_NOHIN_DATE_START,
               UNJC0020_H_NOHIN_DATE_END
         ),
         "YYYY/MM/DD"
     )
  )</f>
        <v/>
      </c>
      <c r="H31" s="354"/>
      <c r="I31" s="354"/>
      <c r="J31" s="354"/>
      <c r="K31" s="354"/>
      <c r="L31" s="360">
        <v>0</v>
      </c>
      <c r="M31" s="358"/>
    </row>
    <row r="32" spans="1:13" s="970" customFormat="1" ht="16.5">
      <c r="A32" s="349"/>
      <c r="B32" s="299" t="s">
        <v>167</v>
      </c>
      <c r="C32" s="300" t="s">
        <v>3756</v>
      </c>
      <c r="D32" s="350"/>
      <c r="E32" s="350"/>
      <c r="F32" s="351"/>
      <c r="G32" s="352" t="str">
        <f ca="1">IF(UNJC0020_H_DEMPYO_HAKKO_JOTAI_KBN="","",UNJC0020_H_DEMPYO_HAKKO_JOTAI_KBN)</f>
        <v/>
      </c>
      <c r="H32" s="349"/>
      <c r="I32" s="349"/>
      <c r="J32" s="349"/>
      <c r="K32" s="349"/>
      <c r="L32" s="353" t="s">
        <v>807</v>
      </c>
      <c r="M32" s="351"/>
    </row>
    <row r="33" spans="1:13" s="361" customFormat="1" ht="16.5">
      <c r="A33" s="354"/>
      <c r="B33" s="355" t="s">
        <v>1524</v>
      </c>
      <c r="C33" s="356" t="s">
        <v>3764</v>
      </c>
      <c r="D33" s="357"/>
      <c r="E33" s="357"/>
      <c r="F33" s="358"/>
      <c r="G33" s="359" t="str">
        <f>IF(UNJC0020_H_BUNSEKI_HOHO="","",UNJC0020_H_BUNSEKI_HOHO)</f>
        <v/>
      </c>
      <c r="H33" s="354"/>
      <c r="I33" s="354"/>
      <c r="J33" s="354"/>
      <c r="K33" s="354"/>
      <c r="L33" s="360"/>
      <c r="M33" s="358"/>
    </row>
    <row r="34" spans="1:13" s="970" customFormat="1" ht="16.5">
      <c r="A34" s="349"/>
      <c r="B34" s="299" t="s">
        <v>828</v>
      </c>
      <c r="C34" s="300" t="s">
        <v>3757</v>
      </c>
      <c r="D34" s="350"/>
      <c r="E34" s="350"/>
      <c r="F34" s="351"/>
      <c r="G34" s="352" t="str">
        <f>IF(UNJC0020_H_ATENA_CD="","",UNJC0020_H_ATENA_CD)</f>
        <v/>
      </c>
      <c r="H34" s="349"/>
      <c r="I34" s="349"/>
      <c r="J34" s="349"/>
      <c r="K34" s="349"/>
      <c r="L34" s="353" t="s">
        <v>807</v>
      </c>
      <c r="M34" s="351"/>
    </row>
    <row r="35" spans="1:13" s="361" customFormat="1" ht="16.5">
      <c r="A35" s="354"/>
      <c r="B35" s="355"/>
      <c r="C35" s="356" t="s">
        <v>3758</v>
      </c>
      <c r="D35" s="357"/>
      <c r="E35" s="357"/>
      <c r="F35" s="358"/>
      <c r="G35" s="359" t="str">
        <f>IF(UNJC0020_H_ATENA="","",UNJC0020_H_ATENA)</f>
        <v/>
      </c>
      <c r="H35" s="354"/>
      <c r="I35" s="354"/>
      <c r="J35" s="354"/>
      <c r="K35" s="354"/>
      <c r="L35" s="360"/>
      <c r="M35" s="358"/>
    </row>
    <row r="36" spans="1:13" s="970" customFormat="1" ht="16.5">
      <c r="A36" s="349"/>
      <c r="B36" s="299" t="s">
        <v>3</v>
      </c>
      <c r="C36" s="300" t="s">
        <v>3759</v>
      </c>
      <c r="D36" s="350"/>
      <c r="E36" s="350"/>
      <c r="F36" s="351"/>
      <c r="G36" s="352" t="str">
        <f>IF(UNJC0020_H_SEIKYUSAKI_CD="","",UNJC0020_H_SEIKYUSAKI_CD)</f>
        <v/>
      </c>
      <c r="H36" s="349"/>
      <c r="I36" s="349"/>
      <c r="J36" s="349"/>
      <c r="K36" s="349"/>
      <c r="L36" s="353" t="s">
        <v>807</v>
      </c>
      <c r="M36" s="351"/>
    </row>
    <row r="37" spans="1:13" s="361" customFormat="1" ht="16.5">
      <c r="A37" s="354"/>
      <c r="B37" s="355" t="s">
        <v>1114</v>
      </c>
      <c r="C37" s="356" t="s">
        <v>3760</v>
      </c>
      <c r="D37" s="357"/>
      <c r="E37" s="357"/>
      <c r="F37" s="358"/>
      <c r="G37" s="359" t="str">
        <f>IF(UNJC0020_H_BUNSEKI_CD="","",UNJC0020_H_BUNSEKI_CD)</f>
        <v/>
      </c>
      <c r="H37" s="354"/>
      <c r="I37" s="354"/>
      <c r="J37" s="354"/>
      <c r="K37" s="354"/>
      <c r="L37" s="360"/>
      <c r="M37" s="358"/>
    </row>
    <row r="38" spans="1:13" s="970" customFormat="1" ht="16.5">
      <c r="A38" s="349"/>
      <c r="B38" s="299" t="s">
        <v>1115</v>
      </c>
      <c r="C38" s="300" t="s">
        <v>3729</v>
      </c>
      <c r="D38" s="350"/>
      <c r="E38" s="350"/>
      <c r="F38" s="351"/>
      <c r="G38" s="352" t="str">
        <f>IF(UNJC0020_H_BUNSEKI_MEI="","",UNJC0020_H_BUNSEKI_MEI)</f>
        <v/>
      </c>
      <c r="H38" s="349"/>
      <c r="I38" s="349"/>
      <c r="J38" s="349"/>
      <c r="K38" s="349"/>
      <c r="L38" s="353"/>
      <c r="M38" s="351"/>
    </row>
    <row r="39" spans="1:13" s="361" customFormat="1" ht="16.5">
      <c r="A39" s="354"/>
      <c r="B39" s="355" t="s">
        <v>62</v>
      </c>
      <c r="C39" s="356" t="s">
        <v>921</v>
      </c>
      <c r="D39" s="357"/>
      <c r="E39" s="357"/>
      <c r="F39" s="358"/>
      <c r="G39" s="359" t="str">
        <f>IF(UNJC0020_H_SHIRYO_SHURUI="","",UNJC0020_H_SHIRYO_SHURUI)</f>
        <v/>
      </c>
      <c r="H39" s="354"/>
      <c r="I39" s="354"/>
      <c r="J39" s="354"/>
      <c r="K39" s="354"/>
      <c r="L39" s="360"/>
      <c r="M39" s="358"/>
    </row>
    <row r="40" spans="1:13" s="970" customFormat="1" ht="16.5">
      <c r="A40" s="349"/>
      <c r="B40" s="299" t="s">
        <v>805</v>
      </c>
      <c r="C40" s="300" t="s">
        <v>922</v>
      </c>
      <c r="D40" s="350"/>
      <c r="E40" s="350"/>
      <c r="F40" s="351"/>
      <c r="G40" s="352" t="str">
        <f>IF(UNJC0020_H_BUNSEKIKOMOKUGUN_MEI="","",UNJC0020_H_BUNSEKIKOMOKUGUN_KBN)</f>
        <v/>
      </c>
      <c r="H40" s="349"/>
      <c r="I40" s="349"/>
      <c r="J40" s="349"/>
      <c r="K40" s="349"/>
      <c r="L40" s="353"/>
      <c r="M40" s="351"/>
    </row>
    <row r="41" spans="1:13" s="361" customFormat="1" ht="16.5">
      <c r="A41" s="354"/>
      <c r="B41" s="355" t="s">
        <v>63</v>
      </c>
      <c r="C41" s="356" t="s">
        <v>923</v>
      </c>
      <c r="D41" s="357"/>
      <c r="E41" s="357"/>
      <c r="F41" s="358" t="s">
        <v>924</v>
      </c>
      <c r="G41" s="359" t="str">
        <f>IF(UNJC0020_H_SHIRYO_MEI="","",UNJC0020_H_SHIRYO_MEI)</f>
        <v/>
      </c>
      <c r="H41" s="354"/>
      <c r="I41" s="354"/>
      <c r="J41" s="354"/>
      <c r="K41" s="354"/>
      <c r="L41" s="360"/>
      <c r="M41" s="358"/>
    </row>
    <row r="42" spans="1:13" s="970" customFormat="1" ht="16.5">
      <c r="A42" s="349"/>
      <c r="B42" s="299" t="s">
        <v>1983</v>
      </c>
      <c r="C42" s="300" t="s">
        <v>925</v>
      </c>
      <c r="D42" s="350"/>
      <c r="E42" s="350"/>
      <c r="F42" s="351"/>
      <c r="G42" s="352" t="str">
        <f>IF(UNJC0020_H_FREEWD_1="","",UNJC0020_H_FREEWD_1)</f>
        <v/>
      </c>
      <c r="H42" s="349"/>
      <c r="I42" s="349"/>
      <c r="J42" s="349"/>
      <c r="K42" s="349"/>
      <c r="L42" s="353" t="s">
        <v>926</v>
      </c>
      <c r="M42" s="351"/>
    </row>
    <row r="43" spans="1:13" s="361" customFormat="1" ht="16.5">
      <c r="A43" s="354"/>
      <c r="B43" s="355"/>
      <c r="C43" s="356" t="s">
        <v>927</v>
      </c>
      <c r="D43" s="357"/>
      <c r="E43" s="357"/>
      <c r="F43" s="358"/>
      <c r="G43" s="359" t="str">
        <f>IF(UNJC0020_H_FREEWD_2="","",UNJC0020_H_FREEWD_2)</f>
        <v/>
      </c>
      <c r="H43" s="354"/>
      <c r="I43" s="354"/>
      <c r="J43" s="354"/>
      <c r="K43" s="354"/>
      <c r="L43" s="360" t="s">
        <v>928</v>
      </c>
      <c r="M43" s="358"/>
    </row>
    <row r="44" spans="1:13" s="970" customFormat="1" ht="16.5">
      <c r="A44" s="349"/>
      <c r="B44" s="299"/>
      <c r="C44" s="300" t="s">
        <v>929</v>
      </c>
      <c r="D44" s="350"/>
      <c r="E44" s="350"/>
      <c r="F44" s="351"/>
      <c r="G44" s="352" t="str">
        <f>IF(UNJC0020_H_FREEWD_3="","",UNJC0020_H_FREEWD_3)</f>
        <v/>
      </c>
      <c r="H44" s="349"/>
      <c r="I44" s="349"/>
      <c r="J44" s="349"/>
      <c r="K44" s="349"/>
      <c r="L44" s="353" t="s">
        <v>930</v>
      </c>
      <c r="M44" s="351"/>
    </row>
    <row r="45" spans="1:13" s="361" customFormat="1" ht="16.5">
      <c r="A45" s="354"/>
      <c r="B45" s="355" t="s">
        <v>788</v>
      </c>
      <c r="C45" s="356" t="s">
        <v>931</v>
      </c>
      <c r="D45" s="357"/>
      <c r="E45" s="357"/>
      <c r="F45" s="358">
        <v>1</v>
      </c>
      <c r="G45" s="359">
        <f>IF(UNJC0020_H_FREEWD_KBN="","",UNJC0020_H_FREEWD_KBN)</f>
        <v>1</v>
      </c>
      <c r="H45" s="354"/>
      <c r="I45" s="354"/>
      <c r="J45" s="354"/>
      <c r="K45" s="354"/>
      <c r="L45" s="360">
        <v>1</v>
      </c>
      <c r="M45" s="358">
        <v>1</v>
      </c>
    </row>
    <row r="46" spans="1:13" s="970" customFormat="1" ht="16.5">
      <c r="A46" s="349"/>
      <c r="B46" s="299" t="s">
        <v>790</v>
      </c>
      <c r="C46" s="300" t="s">
        <v>932</v>
      </c>
      <c r="D46" s="350"/>
      <c r="E46" s="350"/>
      <c r="F46" s="351" t="b">
        <v>0</v>
      </c>
      <c r="G46" s="352" t="b">
        <f>UNJC0020_H_DEL_HYOJI_FLG</f>
        <v>0</v>
      </c>
      <c r="H46" s="349"/>
      <c r="I46" s="349"/>
      <c r="J46" s="349"/>
      <c r="K46" s="349"/>
      <c r="L46" s="353" t="b">
        <v>0</v>
      </c>
      <c r="M46" s="351" t="b">
        <v>0</v>
      </c>
    </row>
    <row r="47" spans="1:13" s="282" customFormat="1" ht="19.5" thickBot="1">
      <c r="A47" s="349"/>
      <c r="B47" s="403"/>
      <c r="C47" s="377"/>
      <c r="D47" s="404"/>
      <c r="E47" s="404"/>
      <c r="F47" s="405"/>
      <c r="G47" s="406"/>
    </row>
    <row r="48" spans="1:13" ht="19.5" thickBot="1">
      <c r="A48" s="407"/>
      <c r="B48" s="408"/>
      <c r="C48" s="409"/>
      <c r="D48" s="410"/>
      <c r="E48" s="410"/>
      <c r="F48" s="411"/>
      <c r="G48" s="412"/>
      <c r="H48" s="412"/>
      <c r="I48" s="412"/>
      <c r="J48" s="412"/>
      <c r="K48" s="412"/>
    </row>
    <row r="49" spans="1:11" ht="18.75" customHeight="1">
      <c r="A49" s="349"/>
      <c r="B49" s="413" t="s">
        <v>933</v>
      </c>
      <c r="C49" s="414" t="s">
        <v>934</v>
      </c>
      <c r="D49" s="1316" t="str">
        <f>E53&amp;E57&amp;E58&amp;E59&amp;E72&amp;E73&amp;E74&amp;E75&amp;E76&amp;E77&amp;E78&amp;E79&amp;E80&amp;E84&amp;E85&amp;E86&amp;E87&amp;E88&amp;E89&amp;E90&amp;E91&amp;E92&amp;E93&amp;E94&amp;E98&amp;E99&amp;E102</f>
        <v>SELECT *
  FROM V_BUN_JUCHU_LIST
  WHERE 1=1
AND (1!=1 
)
    AND V_BUN_JUCHU_LIST.JURI_NO = '------------'  
    AND V_BUN_JUCHU_LIST.EIGYO_TANTO_CD = '------------'
    AND V_BUN_JUCHU_LIST.UKETSUKESHA_CD = '------------'
 AND V_BUN_JUCHU_LIST.JURI_NO = ANY
     (
       SELECT T_BUN_JUCHU_B.JURI_NO
         FROM T_BUN_JUCHU_B
        WHERE T_BUN_JUCHU_B.SHIRYO_MEI LIKE '%AAA%'
     )  
    AND(
        1=1
     )
  AND V_BUN_JUCHU_LIST.DEL_FLG IS NULL    
  ORDER BY V_BUN_JUCHU_LIST.JURI_NO ASC
  OFFSET 0*50 ROWS
 FETCH NEXT 50 ROWS ONLY</v>
      </c>
      <c r="E49" s="1316"/>
      <c r="F49" s="1316"/>
      <c r="G49" s="415"/>
      <c r="H49" s="415"/>
      <c r="I49" s="415"/>
      <c r="J49" s="415"/>
      <c r="K49" s="415"/>
    </row>
    <row r="50" spans="1:11" ht="18.75" customHeight="1">
      <c r="A50" s="254"/>
      <c r="B50" s="416" t="s">
        <v>935</v>
      </c>
      <c r="C50" s="417" t="s">
        <v>936</v>
      </c>
      <c r="D50" s="1317" t="str">
        <f>E54&amp;E57&amp;E58&amp;E59&amp;E72&amp;E73&amp;E74&amp;E75&amp;E76&amp;E77&amp;E78&amp;E79&amp;E80&amp;E84&amp;E85&amp;E86&amp;E87&amp;E88&amp;E89&amp;E90&amp;E91&amp;E92&amp;E93&amp;E94&amp;E98</f>
        <v xml:space="preserve">SELECT COUNT(*) AS CNT
  FROM V_BUN_JUCHU_LIST
  WHERE 1=1
AND (1!=1 
)
    AND V_BUN_JUCHU_LIST.JURI_NO = '------------'  
    AND V_BUN_JUCHU_LIST.EIGYO_TANTO_CD = '------------'
    AND V_BUN_JUCHU_LIST.UKETSUKESHA_CD = '------------'
 AND V_BUN_JUCHU_LIST.JURI_NO = ANY
     (
       SELECT T_BUN_JUCHU_B.JURI_NO
         FROM T_BUN_JUCHU_B
        WHERE T_BUN_JUCHU_B.SHIRYO_MEI LIKE '%AAA%'
     )  
    AND(
        1=1
     )
  AND V_BUN_JUCHU_LIST.DEL_FLG IS NULL    </v>
      </c>
      <c r="E50" s="1317"/>
      <c r="F50" s="1317"/>
      <c r="G50" s="418" t="s">
        <v>4448</v>
      </c>
      <c r="H50" s="418"/>
      <c r="I50" s="418"/>
      <c r="J50" s="418"/>
      <c r="K50" s="418"/>
    </row>
    <row r="51" spans="1:11" ht="18.75" customHeight="1">
      <c r="A51" s="254"/>
      <c r="B51" s="416" t="s">
        <v>1736</v>
      </c>
      <c r="C51" s="417" t="s">
        <v>937</v>
      </c>
      <c r="D51" s="1317" t="str">
        <f>E55&amp;E57&amp;E58&amp;E59&amp;E72&amp;E73&amp;E74&amp;E75&amp;E76&amp;E77&amp;E78&amp;E79&amp;E80&amp;E84&amp;E85&amp;E86&amp;E87&amp;E88&amp;E89&amp;E90&amp;E91&amp;E92&amp;E93&amp;E94&amp;E98&amp;UNJC0020_SQL_SORT_EXCEL</f>
        <v xml:space="preserve">SELECT V_BUN_JUCHU_EXCEL.*
  FROM V_BUN_JUCHU_LIST
  LEFT JOIN
       V_BUN_JUCHU_EXCEL
    ON V_BUN_JUCHU_EXCEL.JURI_NO = V_BUN_JUCHU_LIST.JURI_NO
 WHERE 1=1
AND (1!=1 
)
    AND V_BUN_JUCHU_LIST.JURI_NO = '------------'  
    AND V_BUN_JUCHU_LIST.EIGYO_TANTO_CD = '------------'
    AND V_BUN_JUCHU_LIST.UKETSUKESHA_CD = '------------'
 AND V_BUN_JUCHU_LIST.JURI_NO = ANY
     (
       SELECT T_BUN_JUCHU_B.JURI_NO
         FROM T_BUN_JUCHU_B
        WHERE T_BUN_JUCHU_B.SHIRYO_MEI LIKE '%AAA%'
     )  
    AND(
        1=1
     )
  AND V_BUN_JUCHU_LIST.DEL_FLG IS NULL    
  ORDER BY V_BUN_JUCHU_LIST.JURI_NO ASC
          ,V_BUN_JUCHU_EXCEL.JURI_EDA_NO ASC
          ,V_BUN_JUCHU_EXCEL.GYO_NO ASC
</v>
      </c>
      <c r="E51" s="1317"/>
      <c r="F51" s="1317"/>
      <c r="G51" s="418" t="s">
        <v>938</v>
      </c>
      <c r="H51" s="418"/>
      <c r="I51" s="418"/>
      <c r="J51" s="418"/>
      <c r="K51" s="418"/>
    </row>
    <row r="52" spans="1:11" s="970" customFormat="1" ht="18.75" customHeight="1">
      <c r="A52" s="254"/>
      <c r="B52" s="416" t="s">
        <v>3775</v>
      </c>
      <c r="C52" s="417" t="s">
        <v>3774</v>
      </c>
      <c r="D52" s="1317" t="str">
        <f>E56&amp;E57&amp;E58&amp;E59&amp;E72&amp;E73&amp;E74&amp;E75&amp;E76&amp;E77&amp;E78&amp;E79&amp;E80&amp;E84&amp;E85&amp;E86&amp;E87&amp;E88&amp;E89&amp;E90&amp;E91&amp;E92&amp;E93&amp;E94&amp;E98&amp;E101</f>
        <v xml:space="preserve">SELECT
      --ステータス履歴
       T_BUN_STS_R.JURI_NO
      ,T_BUN_STS_R.MOD_DATE_TIME
      ,T_BUN_STS_R.AFTER_STS
      ,M_AFTER_STS.DATA_1            AS  AFTER_STS_MEI
      ,T_BUN_STS_R.DBS_UPDATE_USER
      ,M_SHAIN.SHIMEI
      --ヘッダ
      ,T_BUN_JUCHU_H.BUNSEKI_STS
      ,T_BUN_JUCHU_H.JUCHU_KBN
      ,T_BUN_JUCHU_H.BUSHO_CD
      ,T_BUN_JUCHU_H.NYURYOKU_DATETIME
      ,T_BUN_JUCHU_H.NYURYOKUSHA_CD
      ,T_BUN_JUCHU_H.REF_JURI_NO
      ,T_BUN_JUCHU_H.MITSU_NO
      ,T_BUN_JUCHU_H.ATENA_CD
      ,T_BUN_JUCHU_H.ATENA
      ,T_BUN_JUCHU_H.SEIKYU_CD
      ,T_BUN_JUCHU_H.BUNSEKI_HOHO_CD
      ,T_BUN_JUCHU_H.KEISHIKI_KBN
      ,T_BUN_JUCHU_H.NOHIN_HOHO
      ,T_BUN_JUCHU_H.KOSU
      ,T_BUN_JUCHU_H.EIGYO_TANTO_CD
      ,T_BUN_JUCHU_H.IRAI_DATE
      ,T_BUN_JUCHU_H.KANRYO_DATE
      ,T_BUN_JUCHU_H.KANSEI_DATE
      ,T_BUN_JUCHU_H.SOKUHO_KBN
      ,T_BUN_JUCHU_H.HAKKO_DATE
      ,T_BUN_JUCHU_H.NOHIN_DATE
      ,T_BUN_JUCHU_H.KENMEI
      ,T_BUN_JUCHU_H.MOKUTEKI
      ,T_BUN_JUCHU_H.KISAI_JIKO
      ,T_BUN_JUCHU_H.EDA_SHIRYO_FLG
      ,T_BUN_JUCHU_H.SAISHU_KAISHA_MEI
      ,T_BUN_JUCHU_H.SAISHU_SHA
      ,T_BUN_JUCHU_H.SAISHU_HOHO
      ,T_BUN_JUCHU_H.SAISHU_BASHO
      ,T_BUN_JUCHU_H.TENKO
      ,T_BUN_JUCHU_H.KION
      ,T_BUN_JUCHU_H.SUION
      ,T_BUN_JUCHU_H.SAISHU_DATE
      ,T_BUN_JUCHU_H.SAISHU_TIME
      ,T_BUN_JUCHU_H.SHOKEN_FLG
      ,T_BUN_JUCHU_H.GAISO_KBN
      ,T_BUN_JUCHU_H.YOKI
      ,T_BUN_JUCHU_H.HENKYAKU
      ,T_BUN_JUCHU_H.HOKOKU_HOHO_KBN
      ,T_BUN_JUCHU_H.BUSU
      ,T_BUN_JUCHU_H.CHUKAN_DATE_1
      ,T_BUN_JUCHU_H.CHUKAN_NAIYO_1
      ,T_BUN_JUCHU_H.CHUKAN_DATE_2
      ,T_BUN_JUCHU_H.CHUKAN_NAIYO_2
      ,T_BUN_JUCHU_H.CHUKAN_DATE_3
      ,T_BUN_JUCHU_H.CHUKAN_NAIYO_3
      ,T_BUN_JUCHU_H.BIKO
      ,T_BUN_JUCHU_H.FUYO_FLG
      ,T_BUN_JUCHU_H.NEW_FLG
      ,T_BUN_JUCHU_H.HENKO_FLG
      ,T_BUN_JUCHU_H.HOKOKU_CD_1
      ,T_BUN_JUCHU_H.HOKOKU_MEI_1
      ,T_BUN_JUCHU_H.BUSHO_1
      ,T_BUN_JUCHU_H.TANTO_1
      ,T_BUN_JUCHU_H.TEL_1
      ,T_BUN_JUCHU_H.FAX_1
      ,T_BUN_JUCHU_H.MAIL_1
      ,T_BUN_JUCHU_H.YUBIN_NO_1
      ,T_BUN_JUCHU_H.ADDRESS_1
      ,T_BUN_JUCHU_H.CHUKAN_SOFU_FLG_1
      ,T_BUN_JUCHU_H.SOKUHO_SOFU_FLG_1
      ,T_BUN_JUCHU_H.HOKOKUSHO_SOFU_FLG_1
      ,T_BUN_JUCHU_H.HOKOKU_CD_2
      ,T_BUN_JUCHU_H.HOKOKU_MEI_2
      ,T_BUN_JUCHU_H.BUSHO_2
      ,T_BUN_JUCHU_H.TANTO_2
      ,T_BUN_JUCHU_H.TEL_2
      ,T_BUN_JUCHU_H.FAX_2
      ,T_BUN_JUCHU_H.MAIL_2
      ,T_BUN_JUCHU_H.YUBIN_NO_2
      ,T_BUN_JUCHU_H.ADDRESS_2
      ,T_BUN_JUCHU_H.CHUKAN_SOFU_FLG_2
      ,T_BUN_JUCHU_H.SOKUHO_SOFU_FLG_2
      ,T_BUN_JUCHU_H.HOKOKUSHO_SOFU_FLG_2
      ,T_BUN_JUCHU_H.HOKOKU_CD_3
      ,T_BUN_JUCHU_H.HOKOKU_MEI_3
      ,T_BUN_JUCHU_H.BUSHO_3
      ,T_BUN_JUCHU_H.TANTO_3
      ,T_BUN_JUCHU_H.TEL_3
      ,T_BUN_JUCHU_H.FAX_3
      ,T_BUN_JUCHU_H.MAIL_3
      ,T_BUN_JUCHU_H.YUBIN_NO_3
      ,T_BUN_JUCHU_H.ADDRESS_3
      ,T_BUN_JUCHU_H.CHUKAN_SOFU_FLG_3
      ,T_BUN_JUCHU_H.SOKUHO_SOFU_FLG_3
      ,T_BUN_JUCHU_H.HOKOKUSHO_SOFU_FLG_3
      ,T_BUN_JUCHU_H.DEMPYO_HAKKO_KBN
      ,T_BUN_JUCHU_H.DEL_FLG
  FROM V_BUN_JUCHU_LIST
  LEFT JOIN
       T_BUN_JUCHU_H
    ON T_BUN_JUCHU_H.JURI_NO = V_BUN_JUCHU_LIST.JURI_NO
  LEFT JOIN
       T_BUN_STS_R
    ON T_BUN_STS_R.JURI_NO   = V_BUN_JUCHU_LIST.JURI_NO
  LEFT JOIN                                                          -- 【分析ステータス用】
       M_MEISHO_B                      AS  M_AFTER_STS
    ON M_AFTER_STS.MEISHO_KBN        =   'S003'
   AND M_AFTER_STS.MEISHO_CD         =   T_BUN_STS_R.AFTER_STS
  LEFT JOIN
       M_SHAIN
    ON M_SHAIN.SHAIN_CD      = T_BUN_STS_R.DBS_UPDATE_USER
  WHERE 1=1AND (1!=1 
)
    AND V_BUN_JUCHU_LIST.JURI_NO = '------------'  
    AND V_BUN_JUCHU_LIST.EIGYO_TANTO_CD = '------------'
    AND V_BUN_JUCHU_LIST.UKETSUKESHA_CD = '------------'
 AND V_BUN_JUCHU_LIST.JURI_NO = ANY
     (
       SELECT T_BUN_JUCHU_B.JURI_NO
         FROM T_BUN_JUCHU_B
        WHERE T_BUN_JUCHU_B.SHIRYO_MEI LIKE '%AAA%'
     )  
    AND(
        1=1
     )
  AND V_BUN_JUCHU_LIST.DEL_FLG IS NULL    
  ORDER BY V_BUN_JUCHU_LIST.JURI_NO ASC
          ,T_BUN_STS_R.MOD_DATE_TIME ASC
</v>
      </c>
      <c r="E52" s="1317"/>
      <c r="F52" s="1317"/>
      <c r="G52" s="418"/>
      <c r="H52" s="418"/>
      <c r="I52" s="418"/>
      <c r="J52" s="418"/>
      <c r="K52" s="418"/>
    </row>
    <row r="53" spans="1:11" ht="18.75" customHeight="1">
      <c r="A53" s="254"/>
      <c r="B53" s="416" t="s">
        <v>939</v>
      </c>
      <c r="C53" s="417"/>
      <c r="D53" s="419"/>
      <c r="E53" s="1318" t="s">
        <v>940</v>
      </c>
      <c r="F53" s="1318"/>
      <c r="G53" s="418"/>
      <c r="H53" s="418"/>
      <c r="I53" s="418"/>
      <c r="J53" s="418"/>
      <c r="K53" s="418"/>
    </row>
    <row r="54" spans="1:11" ht="18.75" customHeight="1">
      <c r="A54" s="254"/>
      <c r="B54" s="420" t="s">
        <v>941</v>
      </c>
      <c r="C54" s="417"/>
      <c r="D54" s="419"/>
      <c r="E54" s="1318" t="s">
        <v>942</v>
      </c>
      <c r="F54" s="1318"/>
      <c r="G54" s="418"/>
      <c r="H54" s="418"/>
      <c r="I54" s="418"/>
      <c r="J54" s="418"/>
      <c r="K54" s="418"/>
    </row>
    <row r="55" spans="1:11" ht="18.75" customHeight="1">
      <c r="A55" s="254"/>
      <c r="B55" s="420" t="s">
        <v>1737</v>
      </c>
      <c r="C55" s="417"/>
      <c r="D55" s="419"/>
      <c r="E55" s="1318" t="s">
        <v>4383</v>
      </c>
      <c r="F55" s="1318"/>
      <c r="G55" s="418"/>
      <c r="H55" s="418"/>
      <c r="I55" s="418"/>
      <c r="J55" s="418"/>
      <c r="K55" s="418"/>
    </row>
    <row r="56" spans="1:11" s="970" customFormat="1" ht="18.75" customHeight="1">
      <c r="A56" s="254"/>
      <c r="B56" s="420" t="s">
        <v>3776</v>
      </c>
      <c r="C56" s="417"/>
      <c r="D56" s="419"/>
      <c r="E56" s="1318" t="s">
        <v>4478</v>
      </c>
      <c r="F56" s="1318"/>
      <c r="G56" s="418"/>
      <c r="H56" s="418"/>
      <c r="I56" s="418"/>
      <c r="J56" s="418"/>
      <c r="K56" s="418"/>
    </row>
    <row r="57" spans="1:11" s="970" customFormat="1" ht="18.75" customHeight="1">
      <c r="A57" s="254"/>
      <c r="B57" s="420" t="s">
        <v>3788</v>
      </c>
      <c r="C57" s="417"/>
      <c r="D57" s="419"/>
      <c r="E57" s="1312" t="str">
        <f>IF(UNJC0020_SQL_BUSHO_CD = "","","
    AND V_BUN_JUCHU_LIST.BUSHO_CD = " &amp;"'"
&amp;UNJC0020_SQL_BUSHO_CD&amp;"'")</f>
        <v/>
      </c>
      <c r="F57" s="1312"/>
      <c r="G57" s="418"/>
      <c r="H57" s="418"/>
      <c r="I57" s="418"/>
      <c r="J57" s="418"/>
      <c r="K57" s="418"/>
    </row>
    <row r="58" spans="1:11" ht="18.75" customHeight="1">
      <c r="A58" s="254"/>
      <c r="B58" s="421" t="s">
        <v>943</v>
      </c>
      <c r="C58" s="417"/>
      <c r="D58" s="422"/>
      <c r="E58" s="1318" t="str">
        <f>IF(UNJC0020_SQL_KEISHIKI_KBN = "","","
    AND V_BUN_JUCHU_LIST.KEISHIKI_CD = " &amp;"'"
&amp;UNJC0020_SQL_KEISHIKI_KBN&amp;"'")</f>
        <v/>
      </c>
      <c r="F58" s="1318"/>
      <c r="G58" s="418"/>
      <c r="H58" s="418"/>
      <c r="I58" s="418"/>
      <c r="J58" s="418"/>
      <c r="K58" s="418"/>
    </row>
    <row r="59" spans="1:11" ht="18.75" customHeight="1">
      <c r="A59" s="418"/>
      <c r="B59" s="421" t="s">
        <v>944</v>
      </c>
      <c r="C59" s="417"/>
      <c r="D59" s="419"/>
      <c r="E59" s="1318" t="str">
        <f>"AND (1!=1 "&amp;F60&amp;F61&amp;F62&amp;F63&amp;F64&amp;F65&amp;F66&amp;F67&amp;F68&amp;F69&amp;F70&amp;F71 &amp;"
)
"</f>
        <v xml:space="preserve">AND (1!=1 
)
</v>
      </c>
      <c r="F59" s="1318"/>
    </row>
    <row r="60" spans="1:11" ht="18.75" customHeight="1">
      <c r="A60" s="418"/>
      <c r="B60" s="423" t="s">
        <v>945</v>
      </c>
      <c r="C60" s="424"/>
      <c r="D60" s="425"/>
      <c r="E60" s="426"/>
      <c r="F60" s="427" t="str">
        <f xml:space="preserve"> IF(UNJC0020_SQL_KAKUTEIMI_STS=FALSE,"","
        OR V_BUN_JUCHU_LIST.BUN_STS_CD = '1'")</f>
        <v/>
      </c>
    </row>
    <row r="61" spans="1:11" ht="18.75" customHeight="1">
      <c r="A61" s="418"/>
      <c r="B61" s="423" t="s">
        <v>946</v>
      </c>
      <c r="C61" s="424"/>
      <c r="D61" s="425"/>
      <c r="E61" s="426"/>
      <c r="F61" s="427" t="str">
        <f xml:space="preserve"> IF(UNJC0020_SQL_UKETSUKE_STS=FALSE,"","
        OR V_BUN_JUCHU_LIST.BUN_STS_CD = '2'")</f>
        <v/>
      </c>
    </row>
    <row r="62" spans="1:11" ht="18.75" customHeight="1">
      <c r="A62" s="418"/>
      <c r="B62" s="428" t="s">
        <v>947</v>
      </c>
      <c r="C62" s="429"/>
      <c r="D62" s="430"/>
      <c r="E62" s="431"/>
      <c r="F62" s="427" t="str">
        <f xml:space="preserve"> IF(UNJC0020_SQL_CHUKAN_STS=FALSE,"","
        OR V_BUN_JUCHU_LIST.BUN_STS_CD = '3'")</f>
        <v/>
      </c>
    </row>
    <row r="63" spans="1:11" ht="18.75" customHeight="1">
      <c r="A63" s="418"/>
      <c r="B63" s="428" t="s">
        <v>948</v>
      </c>
      <c r="C63" s="432"/>
      <c r="D63" s="433"/>
      <c r="E63" s="434"/>
      <c r="F63" s="427" t="str">
        <f xml:space="preserve"> IF(UNJC0020_SQL_GIJUTSU_STS=FALSE,"","
        OR V_BUN_JUCHU_LIST.BUN_STS_CD = '4'")</f>
        <v/>
      </c>
    </row>
    <row r="64" spans="1:11" ht="18.75" customHeight="1">
      <c r="A64" s="418"/>
      <c r="B64" s="428" t="s">
        <v>949</v>
      </c>
      <c r="C64" s="432"/>
      <c r="D64" s="433"/>
      <c r="E64" s="434"/>
      <c r="F64" s="427" t="str">
        <f xml:space="preserve"> IF(UNJC0020_SQL_KAKUNIN2_STS=FALSE,"","
        OR V_BUN_JUCHU_LIST.BUN_STS_CD = '5'")</f>
        <v/>
      </c>
    </row>
    <row r="65" spans="1:11" ht="18.75" customHeight="1">
      <c r="A65" s="418"/>
      <c r="B65" s="428" t="s">
        <v>950</v>
      </c>
      <c r="C65" s="432"/>
      <c r="D65" s="433"/>
      <c r="E65" s="434"/>
      <c r="F65" s="427" t="str">
        <f xml:space="preserve"> IF(UNJC0020_SQL_SOKUHO_STS=FALSE,"","
        OR V_BUN_JUCHU_LIST.BUN_STS_CD = '6'")</f>
        <v/>
      </c>
    </row>
    <row r="66" spans="1:11" ht="18.75" customHeight="1">
      <c r="A66" s="418"/>
      <c r="B66" s="435" t="s">
        <v>951</v>
      </c>
      <c r="C66" s="436"/>
      <c r="D66" s="437"/>
      <c r="E66" s="438"/>
      <c r="F66" s="427" t="str">
        <f xml:space="preserve"> IF(UNJC0020_SQL_EIGYO_STS=FALSE,"","
        OR V_BUN_JUCHU_LIST.BUN_STS_CD = '7'")</f>
        <v/>
      </c>
    </row>
    <row r="67" spans="1:11" ht="18.75" customHeight="1">
      <c r="B67" s="439" t="s">
        <v>952</v>
      </c>
      <c r="D67" s="440"/>
      <c r="E67" s="441"/>
      <c r="F67" s="427" t="str">
        <f xml:space="preserve"> IF(UNJC0020_SQL_NOHIN_STS=FALSE,"","
        OR V_BUN_JUCHU_LIST.BUN_STS_CD = '8'")</f>
        <v/>
      </c>
    </row>
    <row r="68" spans="1:11" ht="18.75" customHeight="1">
      <c r="B68" s="439" t="s">
        <v>953</v>
      </c>
      <c r="D68" s="440"/>
      <c r="E68" s="441"/>
      <c r="F68" s="427" t="str">
        <f xml:space="preserve"> IF(UNJC0020_SQL_BUNSEKI_HOKAN_STS=FALSE,"","
        OR V_BUN_JUCHU_LIST.BUN_STS_CD = '9'")</f>
        <v/>
      </c>
    </row>
    <row r="69" spans="1:11" ht="18.75" customHeight="1">
      <c r="A69" s="278" t="s">
        <v>954</v>
      </c>
      <c r="B69" s="439" t="s">
        <v>955</v>
      </c>
      <c r="D69" s="440"/>
      <c r="E69" s="441"/>
      <c r="F69" s="427" t="str">
        <f xml:space="preserve"> IF(UNJC0020_SQL_TEISEI_STS=FALSE,"","
        OR V_BUN_JUCHU_LIST.BUN_STS_CD = '10'")</f>
        <v/>
      </c>
    </row>
    <row r="70" spans="1:11" ht="18.75" customHeight="1">
      <c r="B70" s="439" t="s">
        <v>956</v>
      </c>
      <c r="D70" s="440"/>
      <c r="E70" s="441"/>
      <c r="F70" s="427" t="str">
        <f xml:space="preserve"> IF(UNJC0020_SQL_CHUDAN_STS=FALSE,"","
        OR V_BUN_JUCHU_LIST.BUN_STS_CD = '11'")</f>
        <v/>
      </c>
    </row>
    <row r="71" spans="1:11" ht="18.75" customHeight="1">
      <c r="B71" s="439" t="s">
        <v>957</v>
      </c>
      <c r="D71" s="440"/>
      <c r="E71" s="441"/>
      <c r="F71" s="427" t="str">
        <f xml:space="preserve"> IF(UNJC0020_SQL_CHUSHI_STS=FALSE,"","
        OR V_BUN_JUCHU_LIST.BUN_STS_CD = '12'")</f>
        <v/>
      </c>
    </row>
    <row r="72" spans="1:11" ht="18.75" customHeight="1">
      <c r="B72" s="421" t="s">
        <v>958</v>
      </c>
      <c r="C72" s="417"/>
      <c r="D72" s="422"/>
      <c r="E72" s="1319" t="str">
        <f>IF(UNJC0020_SQL_JURI_NO="","",
  "    AND V_BUN_JUCHU_LIST.JURI_NO = " &amp;"'" &amp;UNJC0020_SQL_JURI_NO &amp;"'  ")</f>
        <v xml:space="preserve">    AND V_BUN_JUCHU_LIST.JURI_NO = '------------'  </v>
      </c>
      <c r="F72" s="1319"/>
    </row>
    <row r="73" spans="1:11" ht="18.75" customHeight="1">
      <c r="B73" s="421" t="s">
        <v>959</v>
      </c>
      <c r="C73" s="417"/>
      <c r="D73" s="422"/>
      <c r="E73" s="1319" t="str">
        <f>IF(UNJC0020_SQL_NYURYOKUSHA_CD = "","","
    AND V_BUN_JUCHU_LIST.NYURYOKUSHA_CD = " &amp;"'"
&amp;UNJC0020_SQL_NYURYOKUSHA_CD&amp;"'")</f>
        <v/>
      </c>
      <c r="F73" s="1319"/>
    </row>
    <row r="74" spans="1:11" ht="18.75" customHeight="1">
      <c r="B74" s="421" t="s">
        <v>960</v>
      </c>
      <c r="C74" s="417"/>
      <c r="D74" s="422"/>
      <c r="E74" s="1319" t="str">
        <f>IF(UNJC0020_SQL_EIGYO_TANTO_CD = "","","
    AND V_BUN_JUCHU_LIST.EIGYO_TANTO_CD = " &amp;"'"
&amp;UNJC0020_SQL_EIGYO_TANTO_CD&amp;"'")</f>
        <v xml:space="preserve">
    AND V_BUN_JUCHU_LIST.EIGYO_TANTO_CD = '------------'</v>
      </c>
      <c r="F74" s="1319"/>
    </row>
    <row r="75" spans="1:11" s="970" customFormat="1" ht="18.75" customHeight="1">
      <c r="B75" s="421" t="s">
        <v>4449</v>
      </c>
      <c r="C75" s="417"/>
      <c r="D75" s="422"/>
      <c r="E75" s="1319" t="str">
        <f>IF(UNJC0020_SQL_UKETSUKESHA_CD = "","","
    AND V_BUN_JUCHU_LIST.UKETSUKESHA_CD = " &amp;"'"
&amp;UNJC0020_SQL_UKETSUKESHA_CD&amp;"'")</f>
        <v xml:space="preserve">
    AND V_BUN_JUCHU_LIST.UKETSUKESHA_CD = '------------'</v>
      </c>
      <c r="F75" s="1319"/>
    </row>
    <row r="76" spans="1:11" ht="18.75" customHeight="1">
      <c r="B76" s="421" t="s">
        <v>961</v>
      </c>
      <c r="C76" s="417"/>
      <c r="D76" s="422"/>
      <c r="E76" s="1319" t="str">
        <f>IF(UNJC0020_SQL_MITSUMORI_NO="","",
  "    AND V_BUN_JUCHU_LIST.MITSU_NO = " &amp;"'" &amp;UNJC0020_SQL_MITSUMORI_NO &amp;"'  ")</f>
        <v/>
      </c>
      <c r="F76" s="1319"/>
    </row>
    <row r="77" spans="1:11" ht="18.75" customHeight="1">
      <c r="B77" s="442" t="s">
        <v>962</v>
      </c>
      <c r="C77" s="418"/>
      <c r="D77" s="419"/>
      <c r="E77" s="1315" t="str">
        <f>IF(UNJC0020_SQL_BUNSEKIKUBUN_KBN="","","
    AND V_BUN_JUCHU_LIST.JUCHU_KBN_CD = " &amp;"'"
&amp;UNJC0020_SQL_BUNSEKIKUBUN_KBN &amp;"'  ")</f>
        <v/>
      </c>
      <c r="F77" s="1315"/>
    </row>
    <row r="78" spans="1:11" ht="18.75" customHeight="1">
      <c r="B78" s="442" t="s">
        <v>963</v>
      </c>
      <c r="C78" s="418"/>
      <c r="D78" s="419"/>
      <c r="E78" s="1315" t="str">
        <f>IF(UNJC0020_SQL_NYURYOKU_DATE_START="","","
    AND V_BUN_JUCHU_LIST.NYURYOKU_DATE &gt;= "&amp;"'"
&amp;UNJC0020_SQL_NYURYOKU_DATE_START&amp;"'  ")
&amp;IF(UNJC0020_SQL_NYURYOKU_DATE_END="","","
    AND V_BUN_JUCHU_LIST.NYURYOKU_DATE &lt;= "&amp;"'"
&amp;UNJC0020_SQL_NYURYOKU_DATE_END &amp;"'  ")</f>
        <v/>
      </c>
      <c r="F78" s="1315"/>
    </row>
    <row r="79" spans="1:11" ht="18.75" customHeight="1">
      <c r="B79" s="442" t="s">
        <v>964</v>
      </c>
      <c r="C79" s="418"/>
      <c r="D79" s="419"/>
      <c r="E79" s="1319" t="str">
        <f>IF(UNJC0020_SQL_IRAI_DATE_START="","","
    AND V_BUN_JUCHU_LIST.IRAI_DATE &gt;= "&amp;"'"
&amp;UNJC0020_SQL_IRAI_DATE_START&amp;"'  ")
&amp;IF(UNJC0020_SQL_IRAI_DATE_END="","","
    AND V_BUN_JUCHU_LIST.IRAI_DATE &lt;= "&amp;"'"
&amp;UNJC0020_SQL_IRAI_DATE_END &amp;"'  ")</f>
        <v/>
      </c>
      <c r="F79" s="1319"/>
    </row>
    <row r="80" spans="1:11" ht="18.75" customHeight="1">
      <c r="A80" s="254"/>
      <c r="B80" s="442" t="s">
        <v>965</v>
      </c>
      <c r="C80" s="418"/>
      <c r="D80" s="419"/>
      <c r="E80" s="1319" t="str">
        <f>IF(AND(UNJC0020_SQL_CHUKAN_DATE_START="",UNJC0020_SQL_CHUKAN_DATE_END=""),"","
    AND ( 1!=1
"&amp;E$81
&amp;""&amp;E82
&amp;""&amp;E83
&amp;"    )")</f>
        <v/>
      </c>
      <c r="F80" s="1319"/>
      <c r="G80" s="443"/>
      <c r="H80" s="418"/>
      <c r="I80" s="418"/>
      <c r="J80" s="418"/>
      <c r="K80" s="418"/>
    </row>
    <row r="81" spans="1:11" ht="18.75" customHeight="1">
      <c r="A81" s="254"/>
      <c r="B81" s="442" t="s">
        <v>966</v>
      </c>
      <c r="C81" s="418"/>
      <c r="D81" s="419"/>
      <c r="E81" s="1313" t="str">
        <f>"         OR( 1=1
"
&amp;IF(UNJC0020_SQL_CHUKAN_DATE_START="","","               AND V_BUN_JUCHU_LIST.CHUKAN_DATE_1 &gt;= '"&amp;UNJC0020_SQL_CHUKAN_DATE_START&amp;"'
")
&amp;IF(UNJC0020_SQL_CHUKAN_DATE_END="","","               AND V_BUN_JUCHU_LIST.CHUKAN_DATE_1 &lt;= '"&amp;UNJC0020_SQL_CHUKAN_DATE_END&amp;"'
"
)&amp;"          )
"</f>
        <v xml:space="preserve">         OR( 1=1
          )
</v>
      </c>
      <c r="F81" s="1314"/>
      <c r="G81" s="443"/>
      <c r="H81" s="418"/>
      <c r="I81" s="418"/>
      <c r="J81" s="418"/>
      <c r="K81" s="418"/>
    </row>
    <row r="82" spans="1:11" ht="18.75" customHeight="1">
      <c r="A82" s="254"/>
      <c r="B82" s="442" t="s">
        <v>967</v>
      </c>
      <c r="C82" s="418"/>
      <c r="D82" s="419"/>
      <c r="E82" s="1313" t="str">
        <f>"         OR( 1=1
"
&amp;IF(UNJC0020_SQL_CHUKAN_DATE_START="","","               AND V_BUN_JUCHU_LIST.CHUKAN_DATE_2 &gt;= '"&amp;UNJC0020_SQL_CHUKAN_DATE_START&amp;"'
")
&amp;IF(UNJC0020_SQL_CHUKAN_DATE_END="","","               AND V_BUN_JUCHU_LIST.CHUKAN_DATE_2 &lt;= '"&amp;UNJC0020_SQL_CHUKAN_DATE_END&amp;"'
"
)&amp;"          )
"</f>
        <v xml:space="preserve">         OR( 1=1
          )
</v>
      </c>
      <c r="F82" s="1314"/>
      <c r="G82" s="443"/>
      <c r="H82" s="418"/>
      <c r="I82" s="418"/>
      <c r="J82" s="418"/>
      <c r="K82" s="418"/>
    </row>
    <row r="83" spans="1:11" ht="18.75" customHeight="1">
      <c r="A83" s="254"/>
      <c r="B83" s="442" t="s">
        <v>968</v>
      </c>
      <c r="C83" s="418"/>
      <c r="D83" s="419"/>
      <c r="E83" s="1313" t="str">
        <f>"         OR( 1=1
"
&amp;IF(UNJC0020_SQL_CHUKAN_DATE_START="","","               AND V_BUN_JUCHU_LIST.CHUKAN_DATE_3 &gt;= '"&amp;UNJC0020_SQL_CHUKAN_DATE_START&amp;"'
")
&amp;IF(UNJC0020_SQL_CHUKAN_DATE_END="","","               AND V_BUN_JUCHU_LIST.CHUKAN_DATE_3 &lt;= '"&amp;UNJC0020_SQL_CHUKAN_DATE_END&amp;"'
"
)&amp;"          )
"</f>
        <v xml:space="preserve">         OR( 1=1
          )
</v>
      </c>
      <c r="F83" s="1314"/>
      <c r="G83" s="443"/>
      <c r="H83" s="418"/>
      <c r="I83" s="418"/>
      <c r="J83" s="418"/>
      <c r="K83" s="418"/>
    </row>
    <row r="84" spans="1:11" ht="18.75" customHeight="1">
      <c r="B84" s="442" t="s">
        <v>969</v>
      </c>
      <c r="C84" s="418"/>
      <c r="D84" s="419"/>
      <c r="E84" s="1319" t="str">
        <f>IF(UNJC0020_SQL_KANSEI_DATE_START="","","
    AND V_BUN_JUCHU_LIST.KANSEI_DATE &gt;= "&amp;"'"
&amp;UNJC0020_SQL_KANSEI_DATE_START&amp;"'  ")
&amp;IF(UNJC0020_SQL_KANSEI_DATE_END="","","
    AND V_BUN_JUCHU_LIST.KANSEI_DATE &lt;= "&amp;"'"
&amp;UNJC0020_SQL_KANSEI_DATE_END &amp;"'  ")</f>
        <v/>
      </c>
      <c r="F84" s="1319"/>
      <c r="G84" s="418"/>
      <c r="H84" s="418"/>
      <c r="I84" s="418"/>
      <c r="J84" s="418"/>
      <c r="K84" s="418"/>
    </row>
    <row r="85" spans="1:11" ht="18.75" customHeight="1">
      <c r="A85" s="418"/>
      <c r="B85" s="442" t="s">
        <v>970</v>
      </c>
      <c r="C85" s="418"/>
      <c r="D85" s="419"/>
      <c r="E85" s="1319" t="str">
        <f>IF(UNJC0020_SQL_NOHIN_DATE_START="","","
    AND V_BUN_JUCHU_LIST.NOHIN_DATE &gt;= "&amp;"'"
&amp;UNJC0020_SQL_NOHIN_DATE_START&amp;"'  ")
&amp;IF(UNJC0020_SQL_NOHIN_DATE_END="","","
    AND V_BUN_JUCHU_LIST.NOHIN_DATE &lt;= "&amp;"'"
&amp;UNJC0020_SQL_NOHIN_DATE_END &amp;"'  ")</f>
        <v/>
      </c>
      <c r="F85" s="1319"/>
      <c r="G85" s="418"/>
      <c r="H85" s="418"/>
      <c r="I85" s="418"/>
      <c r="J85" s="418"/>
      <c r="K85" s="418"/>
    </row>
    <row r="86" spans="1:11" ht="18.75" customHeight="1">
      <c r="A86" s="418"/>
      <c r="B86" s="442" t="s">
        <v>232</v>
      </c>
      <c r="C86" s="418"/>
      <c r="D86" s="419"/>
      <c r="E86" s="1319" t="str">
        <f>IF(UNJC0020_SQL_DEMPYO_HAKKO_JOTAI_KBN = "","","
AND V_BUN_JUCHU_LIST.DEMPYO_HAKKO_CD = " &amp;"'"
&amp;UNJC0020_SQL_DEMPYO_HAKKO_JOTAI_KBN &amp;"'")</f>
        <v/>
      </c>
      <c r="F86" s="1319"/>
      <c r="G86" s="418"/>
      <c r="H86" s="418"/>
      <c r="I86" s="418"/>
      <c r="J86" s="418"/>
      <c r="K86" s="418"/>
    </row>
    <row r="87" spans="1:11" s="970" customFormat="1" ht="18.75" customHeight="1">
      <c r="A87" s="418"/>
      <c r="B87" s="442" t="s">
        <v>3762</v>
      </c>
      <c r="C87" s="418"/>
      <c r="D87" s="419"/>
      <c r="E87" s="1319" t="str">
        <f>IF(UNJC0020_SQL_BUNSEKI_HOHO = "","","
AND V_BUN_JUCHU_LIST.BUNSEKI_HOHO_CD = " &amp;"'"
&amp;UNJC0020_SQL_BUNSEKI_HOHO &amp;"'")</f>
        <v/>
      </c>
      <c r="F87" s="1319"/>
      <c r="G87" s="418"/>
      <c r="H87" s="418"/>
      <c r="I87" s="418"/>
      <c r="J87" s="418"/>
      <c r="K87" s="418"/>
    </row>
    <row r="88" spans="1:11" ht="18.75" customHeight="1">
      <c r="A88" s="418"/>
      <c r="B88" s="442" t="s">
        <v>971</v>
      </c>
      <c r="C88" s="418"/>
      <c r="D88" s="419"/>
      <c r="E88" s="1319" t="str">
        <f>IF(AND(UNJC0020_SQL_ATENA_CD="",UNJC0020_SQL_ATENA_MEI=""),"","
    AND (1!=1
"&amp;IF(UNJC0020_SQL_ATENA_CD="","","         OR  V_BUN_JUCHU_LIST.ATENA_CD = "&amp;"'"&amp;UNJC0020_SQL_ATENA_CD&amp;"'")&amp;"
"&amp;IF(UNJC0020_SQL_ATENA_MEI="","","         OR  V_BUN_JUCHU_LIST.ATENA LIKE "&amp;"'%"&amp;UNJC0020_SQL_ATENA_MEI&amp;"%'")&amp;"
    )")</f>
        <v/>
      </c>
      <c r="F88" s="1319"/>
      <c r="G88" s="418"/>
      <c r="H88" s="418"/>
      <c r="I88" s="418"/>
      <c r="J88" s="418"/>
      <c r="K88" s="418"/>
    </row>
    <row r="89" spans="1:11" ht="18.75" customHeight="1">
      <c r="A89" s="418"/>
      <c r="B89" s="421" t="s">
        <v>972</v>
      </c>
      <c r="C89" s="417"/>
      <c r="D89" s="422"/>
      <c r="E89" s="1319" t="str">
        <f>IF(UNJC0020_SQL_SEIKYUSAKI_CD = "","","
AND V_BUN_JUCHU_LIST.SEIKYU_CD = " &amp;"'"
&amp;UNJC0020_SQL_SEIKYUSAKI_CD &amp;"'")</f>
        <v/>
      </c>
      <c r="F89" s="1319"/>
      <c r="G89" s="418"/>
      <c r="H89" s="418"/>
      <c r="I89" s="418"/>
      <c r="J89" s="418"/>
      <c r="K89" s="418"/>
    </row>
    <row r="90" spans="1:11" s="970" customFormat="1" ht="18.75" customHeight="1">
      <c r="A90" s="418"/>
      <c r="B90" s="442" t="s">
        <v>3761</v>
      </c>
      <c r="C90" s="418"/>
      <c r="D90" s="419"/>
      <c r="E90" s="1319" t="str">
        <f>IF(AND(UNJC0020_SQL_BUNSEKI_CD="",UNJC0020_SQL_BUNSEKI_MEI=""),"","
    AND (1!=1
"&amp;IF(UNJC0020_SQL_BUNSEKI_CD="","","         OR  V_BUN_JUCHU_LIST.FREEWD LIKE "&amp;"'%|"&amp;UNJC0020_SQL_BUNSEKI_CD&amp;"|%'")&amp;"
"&amp;IF(UNJC0020_SQL_BUNSEKI_MEI="","","         OR  V_BUN_JUCHU_LIST.FREEWD LIKE "&amp;"'%|"&amp;UNJC0020_SQL_BUNSEKI_MEI&amp;"|%'")&amp;"
    )")</f>
        <v/>
      </c>
      <c r="F90" s="1319"/>
      <c r="G90" s="418"/>
      <c r="H90" s="418"/>
      <c r="I90" s="418"/>
      <c r="J90" s="418"/>
      <c r="K90" s="418"/>
    </row>
    <row r="91" spans="1:11" ht="18.75" customHeight="1">
      <c r="A91" s="418"/>
      <c r="B91" s="442" t="s">
        <v>973</v>
      </c>
      <c r="C91" s="418"/>
      <c r="D91" s="440"/>
      <c r="E91" s="1319" t="str">
        <f>IF(UNJC0020_SQL_SHIRYO_SHURUI = "","","
 AND V_BUN_JUCHU_LIST.JURI_NO = ANY
     (
       SELECT T_BUN_JUCHU_B.JURI_NO
         FROM T_BUN_JUCHU_B
        WHERE T_BUN_JUCHU_B.SHIRYO_SHURUI LIKE '%"
&amp;UNJC0020_SQL_SHIRYO_SHURUI &amp;"%'
     )  ")</f>
        <v/>
      </c>
      <c r="F91" s="1319"/>
      <c r="G91" s="418"/>
      <c r="H91" s="418"/>
      <c r="I91" s="418"/>
      <c r="J91" s="418"/>
      <c r="K91" s="418"/>
    </row>
    <row r="92" spans="1:11" ht="18.75" customHeight="1">
      <c r="A92" s="418"/>
      <c r="B92" s="444" t="s">
        <v>974</v>
      </c>
      <c r="D92" s="440"/>
      <c r="E92" s="1319" t="str">
        <f>IF(UNJC0020_SQL_BUNSEKIKOMOKUGUN_KBN = "","","
 AND V_BUN_JUCHU_LIST.JURI_NO = ANY
     (
       SELECT T_BUN_JUCHU_B.JURI_NO
         FROM T_BUN_JUCHU_B
        WHERE T_BUN_JUCHU_B.BUNSEKI_GUN_CD = " &amp;"'"
&amp;UNJC0020_SQL_BUNSEKIKOMOKUGUN_KBN &amp;"'
     )  ")</f>
        <v/>
      </c>
      <c r="F92" s="1319"/>
      <c r="G92" s="418"/>
      <c r="H92" s="418"/>
      <c r="I92" s="418"/>
      <c r="J92" s="418"/>
      <c r="K92" s="418"/>
    </row>
    <row r="93" spans="1:11" ht="18.75" customHeight="1">
      <c r="A93" s="418"/>
      <c r="B93" s="445" t="s">
        <v>975</v>
      </c>
      <c r="C93" s="415"/>
      <c r="D93" s="446"/>
      <c r="E93" s="1321" t="str">
        <f>IF(UNJC0020_SQL_SHIRYO_MEI = "","","
 AND V_BUN_JUCHU_LIST.JURI_NO = ANY
     (
       SELECT T_BUN_JUCHU_B.JURI_NO
         FROM T_BUN_JUCHU_B
        WHERE T_BUN_JUCHU_B.SHIRYO_MEI LIKE '%"
&amp;UNJC0020_SQL_SHIRYO_MEI &amp;"%'
     )  ")</f>
        <v xml:space="preserve">
 AND V_BUN_JUCHU_LIST.JURI_NO = ANY
     (
       SELECT T_BUN_JUCHU_B.JURI_NO
         FROM T_BUN_JUCHU_B
        WHERE T_BUN_JUCHU_B.SHIRYO_MEI LIKE '%AAA%'
     )  </v>
      </c>
      <c r="F93" s="1321"/>
      <c r="G93" s="418"/>
      <c r="H93" s="418"/>
      <c r="I93" s="418"/>
      <c r="J93" s="418"/>
      <c r="K93" s="418"/>
    </row>
    <row r="94" spans="1:11" ht="18.75" customHeight="1">
      <c r="A94" s="418"/>
      <c r="B94" s="447" t="s">
        <v>976</v>
      </c>
      <c r="C94" s="417"/>
      <c r="D94" s="422"/>
      <c r="E94" s="1322" t="str">
        <f>"
    AND(
        " &amp;IF(AND(UNJC0020_SQL_FREEWD_1="",
                      UNJC0020_SQL_FREEWD_2="",
                      UNJC0020_SQL_FREEWD_3=""), "1=1",
                IF(UNJC0020_SQL_FREEWD_KBN=1,"1=1","1!=1") ) &amp;"
"
                &amp;UNJC0020_SQL_FREEWORD1
                &amp;UNJC0020_SQL_FREEWORD2
                &amp;UNJC0020_SQL_FREEWORD3 &amp;"
     )"</f>
        <v xml:space="preserve">
    AND(
        1=1
     )</v>
      </c>
      <c r="F94" s="1322"/>
      <c r="G94" s="448" t="s">
        <v>977</v>
      </c>
      <c r="H94" s="449" t="str">
        <f>LOOKUP(UNJC0020_SQL_FREEWD_KBN,{1,2,3;"AND","OR","OR"})</f>
        <v>AND</v>
      </c>
      <c r="I94" s="418"/>
      <c r="J94" s="418"/>
      <c r="K94" s="418"/>
    </row>
    <row r="95" spans="1:11" ht="18.75" customHeight="1">
      <c r="A95" s="418"/>
      <c r="B95" s="447" t="s">
        <v>978</v>
      </c>
      <c r="C95" s="417" t="s">
        <v>979</v>
      </c>
      <c r="D95" s="422"/>
      <c r="E95" s="450"/>
      <c r="F95" s="451" t="str">
        <f xml:space="preserve">  IF(UNJC0020_SQL_FREEWD_1="", "",
  "      " &amp; $H$94&amp;"   V_BUN_JUCHU_LIST.FREEWD "
 &amp;IF(UNJC0020_SQL_FREEWD_KBN=3," NOT ", "") &amp;" LIKE " &amp;"'%" &amp;UNJC0020_SQL_FREEWD_1 &amp;"%'  
")</f>
        <v/>
      </c>
      <c r="G95" s="448"/>
      <c r="H95" s="452"/>
      <c r="I95" s="418"/>
      <c r="J95" s="418"/>
      <c r="K95" s="418"/>
    </row>
    <row r="96" spans="1:11" ht="18.75" customHeight="1">
      <c r="A96" s="453"/>
      <c r="B96" s="447" t="s">
        <v>980</v>
      </c>
      <c r="C96" s="417" t="s">
        <v>981</v>
      </c>
      <c r="D96" s="422"/>
      <c r="E96" s="450"/>
      <c r="F96" s="451" t="str">
        <f xml:space="preserve">  IF(UNJC0020_SQL_FREEWD_2="", "",
  "      " &amp; $H$94&amp;"   V_BUN_JUCHU_LIST.FREEWD "
 &amp;IF(UNJC0020_SQL_FREEWD_KBN=3," NOT ", "") &amp;" LIKE " &amp;"'%" &amp;UNJC0020_SQL_FREEWD_2 &amp;"%'  
")</f>
        <v/>
      </c>
      <c r="G96" s="418"/>
      <c r="H96" s="418"/>
      <c r="I96" s="418"/>
      <c r="J96" s="418"/>
      <c r="K96" s="418"/>
    </row>
    <row r="97" spans="1:11" ht="18.75" customHeight="1">
      <c r="A97" s="454"/>
      <c r="B97" s="447" t="s">
        <v>982</v>
      </c>
      <c r="C97" s="417" t="s">
        <v>983</v>
      </c>
      <c r="D97" s="422"/>
      <c r="E97" s="450"/>
      <c r="F97" s="451" t="str">
        <f xml:space="preserve">  IF(UNJC0020_SQL_FREEWD_3="", "",
  "      " &amp; $H$94&amp;"   V_BUN_JUCHU_LIST.FREEWD "
 &amp;IF(UNJC0020_SQL_FREEWD_KBN=3," NOT ", "") &amp;" LIKE " &amp;"'%" &amp;UNJC0020_SQL_FREEWD_3 &amp;"%'  
")</f>
        <v/>
      </c>
      <c r="G97" s="418"/>
      <c r="H97" s="418"/>
      <c r="I97" s="418"/>
      <c r="J97" s="418"/>
      <c r="K97" s="418"/>
    </row>
    <row r="98" spans="1:11" ht="18.75" customHeight="1">
      <c r="A98" s="454"/>
      <c r="B98" s="447" t="s">
        <v>984</v>
      </c>
      <c r="C98" s="417"/>
      <c r="D98" s="422"/>
      <c r="E98" s="1323" t="str">
        <f>IF(UNJC0020_SQL_DEL_HYOJI_FLG=TRUE,"","
  AND V_BUN_JUCHU_LIST.DEL_FLG IS NULL    ")</f>
        <v xml:space="preserve">
  AND V_BUN_JUCHU_LIST.DEL_FLG IS NULL    </v>
      </c>
      <c r="F98" s="1323"/>
      <c r="G98" s="418"/>
      <c r="H98" s="418"/>
      <c r="I98" s="418"/>
      <c r="J98" s="418"/>
      <c r="K98" s="418"/>
    </row>
    <row r="99" spans="1:11" ht="18.75" customHeight="1">
      <c r="A99" s="454"/>
      <c r="B99" s="455" t="s">
        <v>985</v>
      </c>
      <c r="C99" s="64" t="s">
        <v>3777</v>
      </c>
      <c r="D99" s="419"/>
      <c r="E99" s="1319" t="s">
        <v>986</v>
      </c>
      <c r="F99" s="1319"/>
      <c r="G99" s="418"/>
      <c r="H99" s="418"/>
      <c r="I99" s="418"/>
      <c r="J99" s="418"/>
      <c r="K99" s="418"/>
    </row>
    <row r="100" spans="1:11" ht="18.75" customHeight="1">
      <c r="A100" s="456"/>
      <c r="B100" s="457" t="s">
        <v>1734</v>
      </c>
      <c r="C100" s="64" t="s">
        <v>1735</v>
      </c>
      <c r="D100" s="425"/>
      <c r="E100" s="1319" t="s">
        <v>4399</v>
      </c>
      <c r="F100" s="1319"/>
      <c r="G100" s="459"/>
      <c r="H100" s="459"/>
      <c r="I100" s="459"/>
      <c r="J100" s="459"/>
      <c r="K100" s="459"/>
    </row>
    <row r="101" spans="1:11" s="970" customFormat="1" ht="18.75" customHeight="1">
      <c r="A101" s="456"/>
      <c r="B101" s="457" t="s">
        <v>3778</v>
      </c>
      <c r="C101" s="64"/>
      <c r="D101" s="425"/>
      <c r="E101" s="1319" t="s">
        <v>3779</v>
      </c>
      <c r="F101" s="1319"/>
      <c r="G101" s="459"/>
      <c r="H101" s="459"/>
      <c r="I101" s="459"/>
      <c r="J101" s="459"/>
      <c r="K101" s="459"/>
    </row>
    <row r="102" spans="1:11" ht="18.75" customHeight="1" thickBot="1">
      <c r="A102" s="456"/>
      <c r="B102" s="457" t="s">
        <v>987</v>
      </c>
      <c r="C102" s="458"/>
      <c r="D102" s="425"/>
      <c r="E102" s="1320" t="str">
        <f xml:space="preserve"> "
  OFFSET "&amp;(UNJC0020_B_PAGE_NO-1)&amp;"*"&amp;UNJC0020_B_CTRL_HYOJI_GYO_SU&amp;" ROWS
 FETCH NEXT "&amp;UNJC0020_B_CTRL_HYOJI_GYO_SU&amp;" ROWS ONLY"</f>
        <v xml:space="preserve">
  OFFSET 0*50 ROWS
 FETCH NEXT 50 ROWS ONLY</v>
      </c>
      <c r="F102" s="1320"/>
      <c r="G102" s="459"/>
      <c r="H102" s="459"/>
      <c r="I102" s="459"/>
      <c r="J102" s="459"/>
      <c r="K102" s="459"/>
    </row>
    <row r="103" spans="1:11" s="460" customFormat="1" ht="18.75" customHeight="1">
      <c r="B103" s="461" t="s">
        <v>988</v>
      </c>
      <c r="C103" s="462" t="s">
        <v>989</v>
      </c>
      <c r="D103" s="1326" t="s">
        <v>2762</v>
      </c>
      <c r="E103" s="1326"/>
      <c r="F103" s="1326"/>
    </row>
    <row r="104" spans="1:11" s="418" customFormat="1" ht="18.75" customHeight="1">
      <c r="A104" s="459"/>
      <c r="B104" s="463" t="s">
        <v>990</v>
      </c>
      <c r="C104" s="417" t="s">
        <v>991</v>
      </c>
      <c r="D104" s="1317" t="s">
        <v>992</v>
      </c>
      <c r="E104" s="1317"/>
      <c r="F104" s="1317"/>
    </row>
    <row r="105" spans="1:11" ht="18.75" customHeight="1">
      <c r="A105" s="464" t="s">
        <v>993</v>
      </c>
      <c r="B105" s="465"/>
      <c r="C105" s="466"/>
      <c r="D105" s="467"/>
      <c r="E105" s="467"/>
      <c r="F105" s="467"/>
      <c r="G105" s="282"/>
    </row>
    <row r="106" spans="1:11" ht="18.75" customHeight="1">
      <c r="B106" s="465" t="s">
        <v>994</v>
      </c>
      <c r="C106" s="468" t="s">
        <v>995</v>
      </c>
      <c r="D106" s="1324" t="s">
        <v>996</v>
      </c>
      <c r="E106" s="1325"/>
      <c r="F106" s="1325"/>
    </row>
    <row r="107" spans="1:11" ht="18.75" customHeight="1">
      <c r="B107" s="465" t="s">
        <v>997</v>
      </c>
      <c r="C107" s="468" t="s">
        <v>998</v>
      </c>
      <c r="D107" s="1324" t="s">
        <v>999</v>
      </c>
      <c r="E107" s="1325"/>
      <c r="F107" s="1325"/>
    </row>
    <row r="108" spans="1:11" ht="18.75" customHeight="1"/>
    <row r="109" spans="1:11" ht="18.75" customHeight="1">
      <c r="A109" s="464" t="s">
        <v>2766</v>
      </c>
    </row>
    <row r="110" spans="1:11" ht="18.75" customHeight="1">
      <c r="B110" s="539" t="s">
        <v>1458</v>
      </c>
      <c r="C110" s="289" t="s">
        <v>2767</v>
      </c>
      <c r="D110" s="1324" t="str">
        <f ca="1">"SELECT M_MEISHO_B.MEISHO_CD             AS ステータスCD
      ,M_MEISHO_B.DATA_1                AS ステータス名
      ,M_SHAIN.SHIMEI                   AS 更新者名
      ,MAX_BUN_STS_R.MOD_DATE_TIME      AS 更新日時
  FROM M_MEISHO_B"&amp;"
  LEFT JOIN
       (SELECT JURI_NO
              ,AFTER_STS
              ,MAX(MOD_DATE_TIME) AS MOD_DATE_TIME
          FROM T_BUN_STS_R
         GROUP BY"&amp;"
              JURI_NO
             ,AFTER_STS
       ) AS MAX_BUN_STS_R
    ON MAX_BUN_STS_R.AFTER_STS = M_MEISHO_B.MEISHO_CD
   AND MAX_BUN_STS_R.JURI_NO = '"&amp;UNJC0020_B_SELECT_JURI_NO&amp;"'
"&amp;"
  LEFT JOIN
       T_BUN_STS_R AS J_BUN_STS_R
    ON J_BUN_STS_R.JURI_NO        = MAX_BUN_STS_R.JURI_NO
   AND J_BUN_STS_R.AFTER_STS      = MAX_BUN_STS_R.AFTER_STS
   AND J_BUN_STS_R.MOD_DATE_TIME  = MAX_BUN_STS_R.MOD_DATE_TIME
"&amp;"
  LEFT JOIN
       M_SHAIN
    ON M_SHAIN.SHAIN_CD = J_BUN_STS_R.DBS_UPDATE_USER
  WHERE M_MEISHO_B.MEISHO_KBN = 'S003'
"&amp;"
  ORDER BY
        M_MEISHO_B.SORT_NO ASC
       ,CAST(M_MEISHO_B.MEISHO_CD AS INT) ASC
"</f>
        <v xml:space="preserve">SELECT M_MEISHO_B.MEISHO_CD             AS ステータスCD
      ,M_MEISHO_B.DATA_1                AS ステータス名
      ,M_SHAIN.SHIMEI                   AS 更新者名
      ,MAX_BUN_STS_R.MOD_DATE_TIME      AS 更新日時
  FROM M_MEISHO_B
  LEFT JOIN
       (SELECT JURI_NO
              ,AFTER_STS
              ,MAX(MOD_DATE_TIME) AS MOD_DATE_TIME
          FROM T_BUN_STS_R
         GROUP BY
              JURI_NO
             ,AFTER_STS
       ) AS MAX_BUN_STS_R
    ON MAX_BUN_STS_R.AFTER_STS = M_MEISHO_B.MEISHO_CD
   AND MAX_BUN_STS_R.JURI_NO = '0'
  LEFT JOIN
       T_BUN_STS_R AS J_BUN_STS_R
    ON J_BUN_STS_R.JURI_NO        = MAX_BUN_STS_R.JURI_NO
   AND J_BUN_STS_R.AFTER_STS      = MAX_BUN_STS_R.AFTER_STS
   AND J_BUN_STS_R.MOD_DATE_TIME  = MAX_BUN_STS_R.MOD_DATE_TIME
  LEFT JOIN
       M_SHAIN
    ON M_SHAIN.SHAIN_CD = J_BUN_STS_R.DBS_UPDATE_USER
  WHERE M_MEISHO_B.MEISHO_KBN = 'S003'
  ORDER BY
        M_MEISHO_B.SORT_NO ASC
       ,CAST(M_MEISHO_B.MEISHO_CD AS INT) ASC
</v>
      </c>
      <c r="E110" s="1325"/>
      <c r="F110" s="1325"/>
    </row>
    <row r="111" spans="1:11" ht="18.75" customHeight="1"/>
    <row r="112" spans="1:11"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row r="134" ht="18.75" customHeight="1"/>
    <row r="135" ht="18.75" customHeight="1"/>
    <row r="136" ht="18.75" customHeight="1"/>
    <row r="137" ht="18.75" customHeight="1"/>
    <row r="138" ht="18.75" customHeight="1"/>
    <row r="139" ht="18.75" customHeight="1"/>
    <row r="140" ht="18.75" customHeight="1"/>
    <row r="141" ht="18.75" customHeight="1"/>
    <row r="142" ht="18.75" customHeight="1"/>
    <row r="143" ht="18.75" customHeight="1"/>
    <row r="144" ht="18.75" customHeight="1"/>
    <row r="145" ht="18.75" customHeight="1"/>
    <row r="146" ht="18.75" customHeight="1"/>
    <row r="147" ht="18.75" customHeight="1"/>
    <row r="148" ht="18.75" customHeight="1"/>
    <row r="149" ht="18.75" customHeight="1"/>
    <row r="150" ht="18.75" customHeight="1"/>
    <row r="151" ht="18.75" customHeight="1"/>
    <row r="152" ht="18.75" customHeight="1"/>
    <row r="153" ht="18.75" customHeight="1"/>
    <row r="154" ht="18.75" customHeight="1"/>
    <row r="155" ht="18.75" customHeight="1"/>
    <row r="156" ht="18.75" customHeight="1"/>
    <row r="157" ht="18.75" customHeight="1"/>
    <row r="158" ht="18.75" customHeight="1"/>
    <row r="159" ht="18.75" customHeight="1"/>
    <row r="160" ht="18.75" customHeight="1"/>
    <row r="161" ht="18.75" customHeight="1"/>
    <row r="162" ht="18.75" customHeight="1"/>
    <row r="163" ht="18.75" customHeight="1"/>
    <row r="164" ht="18.75" customHeight="1"/>
    <row r="165" ht="18.75" customHeight="1"/>
    <row r="166" ht="18.75" customHeight="1"/>
    <row r="167" ht="18.75" customHeight="1"/>
  </sheetData>
  <mergeCells count="44">
    <mergeCell ref="E86:F86"/>
    <mergeCell ref="E88:F88"/>
    <mergeCell ref="E87:F87"/>
    <mergeCell ref="E78:F78"/>
    <mergeCell ref="E79:F79"/>
    <mergeCell ref="E80:F80"/>
    <mergeCell ref="E81:F81"/>
    <mergeCell ref="D110:F110"/>
    <mergeCell ref="D103:F103"/>
    <mergeCell ref="D104:F104"/>
    <mergeCell ref="D106:F106"/>
    <mergeCell ref="D107:F107"/>
    <mergeCell ref="D52:F52"/>
    <mergeCell ref="E102:F102"/>
    <mergeCell ref="E100:F100"/>
    <mergeCell ref="E92:F92"/>
    <mergeCell ref="E93:F93"/>
    <mergeCell ref="E91:F91"/>
    <mergeCell ref="E101:F101"/>
    <mergeCell ref="E75:F75"/>
    <mergeCell ref="E89:F89"/>
    <mergeCell ref="E94:F94"/>
    <mergeCell ref="E98:F98"/>
    <mergeCell ref="E99:F99"/>
    <mergeCell ref="E90:F90"/>
    <mergeCell ref="E83:F83"/>
    <mergeCell ref="E84:F84"/>
    <mergeCell ref="E85:F85"/>
    <mergeCell ref="E57:F57"/>
    <mergeCell ref="E82:F82"/>
    <mergeCell ref="E77:F77"/>
    <mergeCell ref="D49:F49"/>
    <mergeCell ref="D50:F50"/>
    <mergeCell ref="D51:F51"/>
    <mergeCell ref="E53:F53"/>
    <mergeCell ref="E54:F54"/>
    <mergeCell ref="E58:F58"/>
    <mergeCell ref="E59:F59"/>
    <mergeCell ref="E72:F72"/>
    <mergeCell ref="E73:F73"/>
    <mergeCell ref="E74:F74"/>
    <mergeCell ref="E76:F76"/>
    <mergeCell ref="E55:F55"/>
    <mergeCell ref="E56:F56"/>
  </mergeCells>
  <phoneticPr fontId="2"/>
  <conditionalFormatting sqref="B106:B107">
    <cfRule type="duplicateValues" dxfId="152"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AH44"/>
  <sheetViews>
    <sheetView showGridLines="0" showRowColHeaders="0" topLeftCell="I2" zoomScaleNormal="100" workbookViewId="0">
      <selection activeCell="K4" sqref="K4"/>
    </sheetView>
  </sheetViews>
  <sheetFormatPr defaultRowHeight="16.5"/>
  <cols>
    <col min="1" max="3" width="9" style="231" hidden="1" customWidth="1"/>
    <col min="4" max="4" width="19.25" style="231" hidden="1" customWidth="1"/>
    <col min="5" max="5" width="13.625" style="231" hidden="1" customWidth="1"/>
    <col min="6" max="8" width="9" style="231" hidden="1" customWidth="1"/>
    <col min="9" max="9" width="3.375" style="207" customWidth="1"/>
    <col min="10" max="10" width="18.625" style="207" customWidth="1"/>
    <col min="11" max="14" width="11.75" style="207" customWidth="1"/>
    <col min="15" max="15" width="11" style="207" customWidth="1"/>
    <col min="16" max="16" width="14.625" style="207" customWidth="1"/>
    <col min="17" max="17" width="16" style="207" customWidth="1"/>
    <col min="18" max="19" width="11.75" style="207" customWidth="1"/>
    <col min="20" max="20" width="11" style="207" customWidth="1"/>
    <col min="21" max="21" width="10.625" style="207" customWidth="1"/>
    <col min="22" max="24" width="10.375" style="207" customWidth="1"/>
    <col min="25" max="25" width="3.375" style="207" customWidth="1"/>
    <col min="26" max="28" width="9" style="207"/>
    <col min="29" max="31" width="9" style="207" hidden="1" customWidth="1"/>
    <col min="32" max="16384" width="9" style="207"/>
  </cols>
  <sheetData>
    <row r="1" spans="1:24" hidden="1"/>
    <row r="2" spans="1:24" s="73" customFormat="1" ht="19.5">
      <c r="A2" s="231"/>
      <c r="B2" s="469"/>
      <c r="C2" s="469"/>
      <c r="D2" s="231"/>
      <c r="E2" s="231"/>
      <c r="F2" s="231"/>
      <c r="G2" s="469"/>
      <c r="H2" s="469"/>
      <c r="I2" s="73" t="s">
        <v>1000</v>
      </c>
      <c r="L2" s="73" t="str">
        <f>"【"&amp;IF(UNJC0030_IF_MODE=1,"新規登録",IF(UNJC0030_IF_MODE=2,"修正","参照"))&amp;"モード】"</f>
        <v>【参照モード】</v>
      </c>
    </row>
    <row r="3" spans="1:24">
      <c r="D3" s="231" t="s">
        <v>1001</v>
      </c>
      <c r="E3" s="231" t="s">
        <v>1002</v>
      </c>
      <c r="F3" s="231" t="s">
        <v>1003</v>
      </c>
    </row>
    <row r="4" spans="1:24">
      <c r="D4" s="231" t="s">
        <v>1004</v>
      </c>
      <c r="E4" s="21" t="s">
        <v>1005</v>
      </c>
      <c r="F4" s="470"/>
      <c r="J4" s="210" t="s">
        <v>1713</v>
      </c>
      <c r="K4" s="471"/>
      <c r="M4" s="210" t="s">
        <v>1006</v>
      </c>
      <c r="N4" s="97"/>
      <c r="P4" s="208" t="s">
        <v>1007</v>
      </c>
      <c r="Q4" s="209"/>
      <c r="S4" s="208"/>
    </row>
    <row r="5" spans="1:24">
      <c r="D5" s="231" t="s">
        <v>1008</v>
      </c>
      <c r="E5" s="21" t="s">
        <v>1009</v>
      </c>
      <c r="F5" s="472"/>
      <c r="H5" s="473"/>
      <c r="J5" s="210" t="s">
        <v>1714</v>
      </c>
      <c r="K5" s="471"/>
      <c r="M5" s="208" t="s">
        <v>1011</v>
      </c>
      <c r="N5" s="1336"/>
      <c r="O5" s="1337"/>
      <c r="P5" s="208" t="s">
        <v>3550</v>
      </c>
      <c r="Q5" s="889"/>
      <c r="S5" s="208"/>
      <c r="X5" s="11"/>
    </row>
    <row r="6" spans="1:24">
      <c r="D6" s="231" t="s">
        <v>98</v>
      </c>
      <c r="E6" s="21" t="s">
        <v>1012</v>
      </c>
      <c r="F6" s="474"/>
      <c r="J6" s="210" t="s">
        <v>1715</v>
      </c>
      <c r="K6" s="471"/>
      <c r="L6" s="214"/>
      <c r="M6" s="208" t="s">
        <v>116</v>
      </c>
      <c r="N6" s="204"/>
      <c r="P6" s="208" t="s">
        <v>1013</v>
      </c>
      <c r="Q6" s="31"/>
      <c r="S6" s="208"/>
    </row>
    <row r="7" spans="1:24">
      <c r="D7" s="231" t="s">
        <v>1014</v>
      </c>
      <c r="E7" s="21" t="s">
        <v>1015</v>
      </c>
      <c r="F7" s="474" t="str">
        <f ca="1">IF(UNJC0030_H_BUNSEKI_KBN="","",VLOOKUP(UNJC0030_H_BUNSEKI_KBN,OFFSET(UNJC0030_IF_LIST_BUNSEKI_KBN_START,,,IF(UNJC0030_IF_LIST_BUNSEKI_KBN_KENSU=0,1,UNJC0030_IF_LIST_BUNSEKI_KBN_KENSU),2),2,0))</f>
        <v/>
      </c>
      <c r="J7" s="208" t="s">
        <v>1020</v>
      </c>
      <c r="K7" s="15"/>
      <c r="M7" s="208" t="s">
        <v>1018</v>
      </c>
      <c r="N7" s="1336"/>
      <c r="O7" s="1337"/>
    </row>
    <row r="8" spans="1:24">
      <c r="D8" s="231" t="s">
        <v>96</v>
      </c>
      <c r="E8" s="21" t="s">
        <v>1016</v>
      </c>
      <c r="F8" s="474">
        <f ca="1">IF(UNJC0030_H_BUNSEKI_KBN_CD&lt;&gt;"1",1,
IF(UNJC0030_H_DEMPYO_HAKKO_KBN="",2,
VLOOKUP(UNJC0030_H_DEMPYO_HAKKO_KBN,OFFSET(UNJC0030_IF_LIST_DEMPYO_HAKKO_KBN_START,,,IF(UNJC0030_IF_LIST_DEMPYO_HAKKO_KBN_KENSU=0,1,UNJC0030_IF_LIST_DEMPYO_HAKKO_KBN_KENSU),2),2,0)))</f>
        <v>1</v>
      </c>
    </row>
    <row r="9" spans="1:24">
      <c r="D9" s="231" t="s">
        <v>97</v>
      </c>
      <c r="E9" s="21" t="s">
        <v>1019</v>
      </c>
      <c r="F9" s="474"/>
      <c r="J9" s="210" t="s">
        <v>1716</v>
      </c>
      <c r="K9" s="475"/>
      <c r="L9" s="1338"/>
      <c r="M9" s="1339"/>
      <c r="N9" s="1340"/>
      <c r="P9" s="210" t="s">
        <v>4413</v>
      </c>
      <c r="Q9" s="1197"/>
      <c r="S9" s="208" t="s">
        <v>4487</v>
      </c>
      <c r="T9" s="1327" t="str">
        <f>IFERROR(IF(UNJC0030_H_BUNSEKIHOHO="","",INDEX(UNJC0030_IF_LIST_BUN_SORT_MEI,(SUMPRODUCT((UNJC0030_IF_LIST_BUN_SORT_CODE=UNJC0030_H_BUNSEKIHOHO)*(UNJC0030_IF_LIST_BUN_SORT_SEQ=UNJC0030_H_BUN_SORT_SEQ)*ROW(UNJC0030_IF_LIST_BUN_SORT_CODE)))-ROW(UNJC0030_IF_LIST_BUN_SORT_START)+1)),"")</f>
        <v/>
      </c>
      <c r="U9" s="1328"/>
      <c r="V9" s="1329"/>
    </row>
    <row r="10" spans="1:24">
      <c r="D10" s="231" t="s">
        <v>1021</v>
      </c>
      <c r="E10" s="21" t="s">
        <v>1022</v>
      </c>
      <c r="F10" s="474" t="str">
        <f ca="1">IF(UNJC0030_H_HOKOKUSHO_KEISHIKI="","",VLOOKUP(UNJC0030_H_HOKOKUSHO_KEISHIKI,OFFSET(UNJC0030_IF_LIST_HOKOKUSHO_KEISHIKI_KBN_START,,,IF(UNJC0030_IF_LIST_HOKOKUSHO_KEISHIKI_KBN_KENSU=0,1,UNJC0030_IF_LIST_HOKOKUSHO_KEISHIKI_KBN_KENSU),2),2,0))</f>
        <v/>
      </c>
      <c r="J10" s="210" t="s">
        <v>117</v>
      </c>
      <c r="K10" s="475"/>
      <c r="L10" s="1341"/>
      <c r="M10" s="1342"/>
      <c r="N10" s="1343"/>
      <c r="P10" s="208" t="s">
        <v>4414</v>
      </c>
      <c r="Q10" s="1197"/>
      <c r="U10" s="476"/>
    </row>
    <row r="11" spans="1:24">
      <c r="D11" s="231" t="s">
        <v>1024</v>
      </c>
      <c r="E11" s="21" t="s">
        <v>1025</v>
      </c>
      <c r="F11" s="474" t="str">
        <f ca="1">IF(UNJC0030_H_SOKUHO_KBN="","",VLOOKUP(UNJC0030_H_SOKUHO_KBN,OFFSET(UNJC0030_IF_LIST_SOKUHO_KBN_START,,,IF(UNJC0030_IF_LIST_SOKUHO_KBN_KENSU=0,1,UNJC0030_IF_LIST_SOKUHO_KBN_KENSU),2),2,0))</f>
        <v/>
      </c>
      <c r="J11" s="210" t="s">
        <v>4452</v>
      </c>
      <c r="K11" s="1202"/>
      <c r="L11" s="1352" t="str">
        <f>IFERROR(IF(UNJC0030_H_BUNSEKIHOHO="","",INDEX(UNJC_BUNSEKI_HOHO_IF_LIST,MATCH(UNJC0030_H_BUNSEKIHOHO,UNJC_BUNSEKI_HOHO_IF_LIST2,0),2)),"")</f>
        <v/>
      </c>
      <c r="M11" s="1353"/>
      <c r="N11" s="1353"/>
      <c r="P11" s="210" t="s">
        <v>1717</v>
      </c>
      <c r="Q11" s="72"/>
    </row>
    <row r="12" spans="1:24">
      <c r="D12" s="231" t="s">
        <v>1028</v>
      </c>
      <c r="E12" s="21" t="s">
        <v>1029</v>
      </c>
      <c r="F12" s="474" t="str">
        <f ca="1">IF(UNJC0030_H_HOKOKU_GAISO="","",VLOOKUP(UNJC0030_H_HOKOKU_GAISO,OFFSET(UNJC0030_IF_LIST_HOKOKU_GAISO_KBN_START,,,IF(UNJC0030_IF_LIST_HOKOKU_GAISO_KBN_KENSU=0,1,UNJC0030_IF_LIST_HOKOKU_GAISO_KBN_KENSU),2),2,0))</f>
        <v/>
      </c>
      <c r="J12" s="210" t="s">
        <v>1026</v>
      </c>
      <c r="K12" s="477"/>
      <c r="P12" s="210" t="s">
        <v>1718</v>
      </c>
      <c r="Q12" s="204"/>
    </row>
    <row r="13" spans="1:24">
      <c r="D13" s="231" t="s">
        <v>1031</v>
      </c>
      <c r="E13" s="21" t="s">
        <v>1032</v>
      </c>
      <c r="F13" s="474" t="str">
        <f ca="1">IF(UNJC0030_H_HOKOKU_HOHO="","",VLOOKUP(UNJC0030_H_HOKOKU_HOHO,OFFSET(UNJC0030_IF_LIST_HOKOKU_HOHO_KBN_START,,,IF(UNJC0030_IF_LIST_HOKOKU_HOHO_KBN_KENSU=0,1,UNJC0030_IF_LIST_HOKOKU_HOHO_KBN_KENSU),2),2,0))</f>
        <v/>
      </c>
      <c r="J13" s="208" t="s">
        <v>1030</v>
      </c>
      <c r="K13" s="478"/>
      <c r="M13" s="208" t="s">
        <v>118</v>
      </c>
      <c r="N13" s="471"/>
      <c r="P13" s="208" t="s">
        <v>4415</v>
      </c>
      <c r="Q13" s="1197"/>
    </row>
    <row r="14" spans="1:24">
      <c r="D14" s="231" t="s">
        <v>4490</v>
      </c>
      <c r="E14" s="21" t="s">
        <v>4491</v>
      </c>
      <c r="F14" s="474" t="str">
        <f>IFERROR(IF(UNJC0030_H_BUNSEKIHOHO="","",IF(UNJC0030_H_BUNSEKIHOHO="","",INDEX(UNJC0030_IF_LIST_BUN_SORT_SEQ,(SUMPRODUCT((UNJC0030_IF_LIST_BUN_SORT_CODE=UNJC0030_H_BUNSEKIHOHO)*(UNJC0030_IF_LIST_DEFAULT_FLG=TRUE)*ROW(UNJC0030_IF_LIST_BUN_SORT_CODE)))-ROW(UNJC0030_IF_LIST_BUN_SORT_START)+1))),"")</f>
        <v/>
      </c>
      <c r="J14" s="208" t="s">
        <v>3578</v>
      </c>
      <c r="K14" s="954"/>
      <c r="P14" s="208" t="s">
        <v>4416</v>
      </c>
      <c r="Q14" s="1197"/>
    </row>
    <row r="15" spans="1:24">
      <c r="F15" s="479"/>
      <c r="G15" s="231" t="s">
        <v>1035</v>
      </c>
    </row>
    <row r="16" spans="1:24">
      <c r="D16" s="231" t="s">
        <v>1033</v>
      </c>
      <c r="E16" s="21" t="s">
        <v>1034</v>
      </c>
      <c r="F16" s="480" t="b">
        <v>0</v>
      </c>
      <c r="G16" s="21" t="s">
        <v>1039</v>
      </c>
      <c r="J16" s="210" t="s">
        <v>1719</v>
      </c>
      <c r="K16" s="1344"/>
      <c r="L16" s="1345"/>
      <c r="M16" s="1345"/>
      <c r="N16" s="1345"/>
      <c r="O16" s="1345"/>
      <c r="P16" s="1345"/>
      <c r="Q16" s="1346"/>
    </row>
    <row r="17" spans="1:22">
      <c r="D17" s="231" t="s">
        <v>1037</v>
      </c>
      <c r="E17" s="21" t="s">
        <v>1038</v>
      </c>
      <c r="F17" s="480" t="b">
        <v>0</v>
      </c>
      <c r="J17" s="210" t="s">
        <v>1040</v>
      </c>
      <c r="K17" s="1344"/>
      <c r="L17" s="1345"/>
      <c r="M17" s="1345"/>
      <c r="N17" s="1345"/>
      <c r="O17" s="1345"/>
      <c r="P17" s="1345"/>
      <c r="Q17" s="1346"/>
    </row>
    <row r="18" spans="1:22">
      <c r="D18" s="231" t="s">
        <v>1041</v>
      </c>
      <c r="E18" s="21" t="s">
        <v>1042</v>
      </c>
      <c r="F18" s="480" t="b">
        <v>0</v>
      </c>
      <c r="J18" s="208" t="s">
        <v>1043</v>
      </c>
      <c r="K18" s="1344"/>
      <c r="L18" s="1345"/>
      <c r="M18" s="1345"/>
      <c r="N18" s="1345"/>
      <c r="O18" s="1345"/>
      <c r="P18" s="1345"/>
      <c r="Q18" s="1346"/>
    </row>
    <row r="19" spans="1:22">
      <c r="D19" s="231" t="s">
        <v>1044</v>
      </c>
      <c r="E19" s="21" t="s">
        <v>1045</v>
      </c>
      <c r="F19" s="480" t="b">
        <v>0</v>
      </c>
      <c r="V19" s="481"/>
    </row>
    <row r="20" spans="1:22">
      <c r="A20" s="483"/>
      <c r="B20" s="231" t="s">
        <v>1049</v>
      </c>
      <c r="D20" s="231" t="s">
        <v>1046</v>
      </c>
      <c r="E20" s="21" t="s">
        <v>1047</v>
      </c>
      <c r="F20" s="482" t="b">
        <v>0</v>
      </c>
      <c r="J20" s="207" t="s">
        <v>1048</v>
      </c>
    </row>
    <row r="21" spans="1:22">
      <c r="A21" s="485"/>
      <c r="B21" s="231" t="s">
        <v>1053</v>
      </c>
      <c r="E21" s="21"/>
      <c r="F21" s="231" t="s">
        <v>1050</v>
      </c>
      <c r="J21" s="208" t="s">
        <v>1051</v>
      </c>
      <c r="K21" s="1347"/>
      <c r="L21" s="1348"/>
      <c r="M21" s="1349"/>
      <c r="P21" s="208" t="s">
        <v>1052</v>
      </c>
      <c r="Q21" s="484"/>
    </row>
    <row r="22" spans="1:22">
      <c r="A22" s="485"/>
      <c r="E22" s="21"/>
      <c r="J22" s="208" t="s">
        <v>1054</v>
      </c>
      <c r="K22" s="1347"/>
      <c r="L22" s="1348"/>
      <c r="M22" s="1349"/>
      <c r="P22" s="208" t="s">
        <v>1055</v>
      </c>
      <c r="Q22" s="902"/>
    </row>
    <row r="23" spans="1:22">
      <c r="A23" s="485"/>
      <c r="D23" s="187" t="s">
        <v>276</v>
      </c>
      <c r="E23" s="252" t="s">
        <v>1056</v>
      </c>
      <c r="F23" s="232" t="str">
        <f>ROW(A1)&amp;":"&amp;ROW(A1)</f>
        <v>1:1</v>
      </c>
      <c r="J23" s="210" t="s">
        <v>1057</v>
      </c>
      <c r="K23" s="1350"/>
      <c r="L23" s="1351"/>
      <c r="P23" s="208" t="s">
        <v>1058</v>
      </c>
      <c r="Q23" s="902"/>
    </row>
    <row r="24" spans="1:22">
      <c r="A24" s="485"/>
      <c r="D24" s="187" t="s">
        <v>277</v>
      </c>
      <c r="E24" s="252" t="s">
        <v>1059</v>
      </c>
      <c r="F24" s="232" t="str">
        <f>ADDRESS(ROW(A1),COLUMN(A1))&amp;":"&amp;ADDRESS(ROW(H1),COLUMN(H1))&amp;","&amp;ADDRESS(ROW(UNJC0030_H_HOKOKU_CHUKAN_FLG_1),COLUMN(UNJC0030_H_HOKOKU_CHUKAN_FLG_1))&amp;":"&amp;ADDRESS(ROW(UNJC0030_H_HOKOKU_HOKOKUSOFU_FLG_1),COLUMN(UNJC0030_H_HOKOKU_HOKOKUSOFU_FLG_1))</f>
        <v>$A$1:$H$1,$AC$42:$AE$42</v>
      </c>
      <c r="J24" s="208" t="s">
        <v>1060</v>
      </c>
      <c r="K24" s="1330"/>
      <c r="L24" s="1331"/>
      <c r="M24" s="1331"/>
      <c r="N24" s="1331"/>
      <c r="O24" s="1332"/>
      <c r="P24" s="208" t="s">
        <v>4417</v>
      </c>
      <c r="Q24" s="1197"/>
    </row>
    <row r="25" spans="1:22">
      <c r="A25" s="487"/>
      <c r="B25" s="231" t="s">
        <v>1049</v>
      </c>
      <c r="E25" s="21"/>
      <c r="J25" s="208"/>
      <c r="K25" s="1333"/>
      <c r="L25" s="1334"/>
      <c r="M25" s="1334"/>
      <c r="N25" s="1334"/>
      <c r="O25" s="1335"/>
      <c r="P25" s="208" t="s">
        <v>1061</v>
      </c>
      <c r="Q25" s="486"/>
      <c r="R25" s="208"/>
      <c r="T25" s="11"/>
    </row>
    <row r="26" spans="1:22">
      <c r="E26" s="21"/>
      <c r="R26" s="208"/>
      <c r="T26" s="11"/>
    </row>
    <row r="27" spans="1:22">
      <c r="D27" s="231" t="s">
        <v>3551</v>
      </c>
      <c r="E27" s="21"/>
      <c r="J27" s="208" t="s">
        <v>1062</v>
      </c>
      <c r="K27" s="488"/>
      <c r="P27" s="208" t="s">
        <v>1063</v>
      </c>
      <c r="Q27" s="484"/>
    </row>
    <row r="28" spans="1:22">
      <c r="D28" s="894" t="s">
        <v>1073</v>
      </c>
      <c r="E28" s="21"/>
      <c r="J28" s="208" t="s">
        <v>1064</v>
      </c>
      <c r="K28" s="484"/>
      <c r="L28" s="11"/>
      <c r="P28" s="210" t="s">
        <v>4412</v>
      </c>
      <c r="Q28" s="489"/>
    </row>
    <row r="29" spans="1:22">
      <c r="D29" s="895"/>
      <c r="E29" s="21"/>
    </row>
    <row r="30" spans="1:22">
      <c r="D30" s="895"/>
      <c r="E30" s="21"/>
      <c r="J30" s="210" t="s">
        <v>1720</v>
      </c>
      <c r="K30" s="490"/>
      <c r="L30" s="208"/>
      <c r="M30" s="491" t="s">
        <v>1067</v>
      </c>
      <c r="N30" s="1354" t="s">
        <v>1068</v>
      </c>
      <c r="O30" s="1355"/>
      <c r="P30" s="1355"/>
      <c r="Q30" s="1356"/>
    </row>
    <row r="31" spans="1:22">
      <c r="D31" s="895"/>
      <c r="E31" s="21"/>
      <c r="J31" s="210" t="s">
        <v>1721</v>
      </c>
      <c r="K31" s="484"/>
      <c r="L31" s="208" t="s">
        <v>1070</v>
      </c>
      <c r="M31" s="72"/>
      <c r="N31" s="1357"/>
      <c r="O31" s="1358"/>
      <c r="P31" s="1358"/>
      <c r="Q31" s="1359"/>
    </row>
    <row r="32" spans="1:22">
      <c r="E32" s="21"/>
      <c r="L32" s="208" t="s">
        <v>4418</v>
      </c>
      <c r="M32" s="1197"/>
      <c r="N32" s="1357"/>
      <c r="O32" s="1358"/>
      <c r="P32" s="1358"/>
      <c r="Q32" s="1359"/>
    </row>
    <row r="33" spans="5:34">
      <c r="E33" s="21"/>
      <c r="L33" s="208" t="s">
        <v>4419</v>
      </c>
      <c r="M33" s="1197"/>
      <c r="N33" s="1357"/>
      <c r="O33" s="1358"/>
      <c r="P33" s="1358"/>
      <c r="Q33" s="1359"/>
    </row>
    <row r="34" spans="5:34">
      <c r="E34" s="21"/>
    </row>
    <row r="35" spans="5:34">
      <c r="J35" s="208" t="s">
        <v>1071</v>
      </c>
      <c r="K35" s="1330"/>
      <c r="L35" s="1331"/>
      <c r="M35" s="1331"/>
      <c r="N35" s="1331"/>
      <c r="O35" s="1331"/>
      <c r="P35" s="1331"/>
      <c r="Q35" s="1332"/>
    </row>
    <row r="36" spans="5:34">
      <c r="J36" s="208"/>
      <c r="K36" s="1360"/>
      <c r="L36" s="1361"/>
      <c r="M36" s="1361"/>
      <c r="N36" s="1361"/>
      <c r="O36" s="1361"/>
      <c r="P36" s="1361"/>
      <c r="Q36" s="1362"/>
    </row>
    <row r="37" spans="5:34">
      <c r="J37" s="208"/>
      <c r="K37" s="1360"/>
      <c r="L37" s="1361"/>
      <c r="M37" s="1361"/>
      <c r="N37" s="1361"/>
      <c r="O37" s="1361"/>
      <c r="P37" s="1361"/>
      <c r="Q37" s="1362"/>
    </row>
    <row r="38" spans="5:34">
      <c r="J38" s="208"/>
      <c r="K38" s="1360"/>
      <c r="L38" s="1361"/>
      <c r="M38" s="1361"/>
      <c r="N38" s="1361"/>
      <c r="O38" s="1361"/>
      <c r="P38" s="1361"/>
      <c r="Q38" s="1362"/>
    </row>
    <row r="39" spans="5:34">
      <c r="K39" s="1333"/>
      <c r="L39" s="1334"/>
      <c r="M39" s="1334"/>
      <c r="N39" s="1334"/>
      <c r="O39" s="1334"/>
      <c r="P39" s="1334"/>
      <c r="Q39" s="1335"/>
    </row>
    <row r="41" spans="5:34">
      <c r="J41" s="208" t="s">
        <v>1072</v>
      </c>
      <c r="K41" s="1368" t="s">
        <v>3572</v>
      </c>
      <c r="L41" s="1368"/>
      <c r="M41" s="1368"/>
      <c r="N41" s="1368"/>
      <c r="O41" s="1354" t="s">
        <v>1074</v>
      </c>
      <c r="P41" s="1356"/>
      <c r="Q41" s="492" t="s">
        <v>4382</v>
      </c>
      <c r="R41" s="491" t="s">
        <v>1686</v>
      </c>
      <c r="S41" s="491" t="s">
        <v>1075</v>
      </c>
      <c r="T41" s="1354" t="s">
        <v>1076</v>
      </c>
      <c r="U41" s="1355"/>
      <c r="V41" s="1356"/>
      <c r="W41" s="491" t="s">
        <v>1077</v>
      </c>
      <c r="X41" s="1354" t="s">
        <v>33</v>
      </c>
      <c r="Y41" s="1355"/>
      <c r="Z41" s="1355"/>
      <c r="AA41" s="1355"/>
      <c r="AB41" s="1356"/>
      <c r="AC41" s="172" t="s">
        <v>1078</v>
      </c>
      <c r="AD41" s="172" t="s">
        <v>1079</v>
      </c>
      <c r="AE41" s="172" t="s">
        <v>1080</v>
      </c>
      <c r="AF41" s="492" t="s">
        <v>1081</v>
      </c>
      <c r="AG41" s="492" t="s">
        <v>1082</v>
      </c>
      <c r="AH41" s="492" t="s">
        <v>1083</v>
      </c>
    </row>
    <row r="42" spans="5:34">
      <c r="J42" s="210" t="s">
        <v>1084</v>
      </c>
      <c r="K42" s="1367"/>
      <c r="L42" s="1367"/>
      <c r="M42" s="1367"/>
      <c r="N42" s="1367"/>
      <c r="O42" s="1369"/>
      <c r="P42" s="1370"/>
      <c r="Q42" s="493"/>
      <c r="R42" s="493"/>
      <c r="S42" s="493"/>
      <c r="T42" s="1371"/>
      <c r="U42" s="1372"/>
      <c r="V42" s="1373"/>
      <c r="W42" s="494"/>
      <c r="X42" s="1369"/>
      <c r="Y42" s="1374"/>
      <c r="Z42" s="1374"/>
      <c r="AA42" s="1374"/>
      <c r="AB42" s="1370"/>
      <c r="AC42" s="495"/>
      <c r="AD42" s="495"/>
      <c r="AE42" s="495"/>
      <c r="AF42" s="496"/>
      <c r="AG42" s="496"/>
      <c r="AH42" s="496"/>
    </row>
    <row r="43" spans="5:34">
      <c r="K43" s="1366"/>
      <c r="L43" s="1366"/>
      <c r="M43" s="1366"/>
      <c r="N43" s="1366"/>
      <c r="O43" s="1363"/>
      <c r="P43" s="1364"/>
      <c r="Q43" s="497"/>
      <c r="R43" s="497"/>
      <c r="S43" s="497"/>
      <c r="T43" s="1255"/>
      <c r="U43" s="1256"/>
      <c r="V43" s="1257"/>
      <c r="W43" s="498"/>
      <c r="X43" s="1363"/>
      <c r="Y43" s="1365"/>
      <c r="Z43" s="1365"/>
      <c r="AA43" s="1365"/>
      <c r="AB43" s="1364"/>
      <c r="AC43" s="499"/>
      <c r="AD43" s="499"/>
      <c r="AE43" s="499"/>
      <c r="AF43" s="500"/>
      <c r="AG43" s="500"/>
      <c r="AH43" s="500"/>
    </row>
    <row r="44" spans="5:34">
      <c r="K44" s="1366"/>
      <c r="L44" s="1366"/>
      <c r="M44" s="1366"/>
      <c r="N44" s="1366"/>
      <c r="O44" s="1363"/>
      <c r="P44" s="1364"/>
      <c r="Q44" s="497"/>
      <c r="R44" s="497"/>
      <c r="S44" s="497"/>
      <c r="T44" s="1255"/>
      <c r="U44" s="1256"/>
      <c r="V44" s="1257"/>
      <c r="W44" s="498"/>
      <c r="X44" s="1363"/>
      <c r="Y44" s="1365"/>
      <c r="Z44" s="1365"/>
      <c r="AA44" s="1365"/>
      <c r="AB44" s="1364"/>
      <c r="AC44" s="499"/>
      <c r="AD44" s="499"/>
      <c r="AE44" s="499"/>
      <c r="AF44" s="500"/>
      <c r="AG44" s="500"/>
      <c r="AH44" s="500"/>
    </row>
  </sheetData>
  <sheetProtection sheet="1" objects="1" scenarios="1" selectLockedCells="1"/>
  <dataConsolidate/>
  <mergeCells count="34">
    <mergeCell ref="K42:N42"/>
    <mergeCell ref="K41:N41"/>
    <mergeCell ref="O43:P43"/>
    <mergeCell ref="T43:V43"/>
    <mergeCell ref="X43:AB43"/>
    <mergeCell ref="T41:V41"/>
    <mergeCell ref="X41:AB41"/>
    <mergeCell ref="O42:P42"/>
    <mergeCell ref="T42:V42"/>
    <mergeCell ref="X42:AB42"/>
    <mergeCell ref="O41:P41"/>
    <mergeCell ref="O44:P44"/>
    <mergeCell ref="T44:V44"/>
    <mergeCell ref="X44:AB44"/>
    <mergeCell ref="K44:N44"/>
    <mergeCell ref="K43:N43"/>
    <mergeCell ref="N30:Q30"/>
    <mergeCell ref="N31:Q31"/>
    <mergeCell ref="N32:Q32"/>
    <mergeCell ref="N33:Q33"/>
    <mergeCell ref="K35:Q39"/>
    <mergeCell ref="T9:V9"/>
    <mergeCell ref="K24:O25"/>
    <mergeCell ref="N5:O5"/>
    <mergeCell ref="L9:N9"/>
    <mergeCell ref="N7:O7"/>
    <mergeCell ref="L10:N10"/>
    <mergeCell ref="K16:Q16"/>
    <mergeCell ref="K17:Q17"/>
    <mergeCell ref="K18:Q18"/>
    <mergeCell ref="K21:M21"/>
    <mergeCell ref="K22:M22"/>
    <mergeCell ref="K23:L23"/>
    <mergeCell ref="L11:N11"/>
  </mergeCells>
  <phoneticPr fontId="2"/>
  <conditionalFormatting sqref="I2:XFD2">
    <cfRule type="expression" dxfId="151" priority="1">
      <formula>UNJC0030_IF_MODE=2</formula>
    </cfRule>
  </conditionalFormatting>
  <dataValidations count="26">
    <dataValidation type="custom" allowBlank="1" showInputMessage="1" showErrorMessage="1" sqref="L9:N9 K42:K44">
      <formula1>LEN(K9)&lt;=50</formula1>
    </dataValidation>
    <dataValidation type="list" allowBlank="1" showInputMessage="1" sqref="K23:L23">
      <formula1>UNJC0030_IF_LIST_SAISHU_HOHO</formula1>
    </dataValidation>
    <dataValidation type="list" allowBlank="1" showInputMessage="1" sqref="Q28">
      <formula1>UNJC0030_IF_LIST_YOKI_HENKYAKU</formula1>
    </dataValidation>
    <dataValidation type="list" allowBlank="1" showInputMessage="1" showErrorMessage="1" sqref="K31">
      <formula1>UNJC0030_IF_LIST_HOKOKU_HOHO_KBN</formula1>
    </dataValidation>
    <dataValidation type="list" allowBlank="1" showInputMessage="1" showErrorMessage="1" sqref="K28">
      <formula1>UNJC0030_IF_LIST_HOKOKU_GAISO_KBN</formula1>
    </dataValidation>
    <dataValidation type="list" allowBlank="1" showInputMessage="1" showErrorMessage="1" sqref="Q12">
      <formula1>UNJC0030_IF_LIST_SOKUHO_KBN</formula1>
    </dataValidation>
    <dataValidation type="list" allowBlank="1" showInputMessage="1" showErrorMessage="1" sqref="K12">
      <formula1>UNJC0030_IF_LIST_HOKOKUSHO_KEISHIKI_KBN</formula1>
    </dataValidation>
    <dataValidation type="list" allowBlank="1" showInputMessage="1" showErrorMessage="1" sqref="N6">
      <formula1>UNJC0030_IF_LIST_DEMPYO_HAKKO_KBN</formula1>
    </dataValidation>
    <dataValidation type="list" allowBlank="1" showInputMessage="1" showErrorMessage="1" sqref="N4">
      <formula1>UNJC0030_IF_LIST_BUNSEKI_KBN</formula1>
    </dataValidation>
    <dataValidation type="custom" allowBlank="1" showInputMessage="1" showErrorMessage="1" sqref="Q42:Q44 O42:O44">
      <formula1>LENB(O42)&lt;=40</formula1>
    </dataValidation>
    <dataValidation type="custom" allowBlank="1" showInputMessage="1" showErrorMessage="1" sqref="X42:X44">
      <formula1>LENB(X42)&lt;=200</formula1>
    </dataValidation>
    <dataValidation type="custom" allowBlank="1" showInputMessage="1" showErrorMessage="1" sqref="W42:W44">
      <formula1>AND(LEN(W42)=LENB(W42),LEN(W42)&lt;=8)</formula1>
    </dataValidation>
    <dataValidation type="custom" allowBlank="1" showInputMessage="1" showErrorMessage="1" sqref="T42:T44">
      <formula1>AND(LEN(T42)=LENB(T42),LEN(T42)&lt;=320)</formula1>
    </dataValidation>
    <dataValidation type="custom" allowBlank="1" showInputMessage="1" showErrorMessage="1" sqref="R42:S44">
      <formula1>AND(LEN(R42)=LENB(R42),LEN(R42)&lt;=13)</formula1>
    </dataValidation>
    <dataValidation type="custom" allowBlank="1" showInputMessage="1" showErrorMessage="1" sqref="K35">
      <formula1>LENB(K35)&lt;=512</formula1>
    </dataValidation>
    <dataValidation type="custom" allowBlank="1" showInputMessage="1" showErrorMessage="1" sqref="N31:N33">
      <formula1>LENB(N31)&lt;=60</formula1>
    </dataValidation>
    <dataValidation type="whole" allowBlank="1" showInputMessage="1" showErrorMessage="1" sqref="K30">
      <formula1>0</formula1>
      <formula2>999</formula2>
    </dataValidation>
    <dataValidation type="time" allowBlank="1" showInputMessage="1" showErrorMessage="1" sqref="Q25">
      <formula1>0</formula1>
      <formula2>0.999305555555556</formula2>
    </dataValidation>
    <dataValidation type="custom" allowBlank="1" showInputMessage="1" showErrorMessage="1" sqref="Q27 Q21:Q23">
      <formula1>LENB(Q21)&lt;=20</formula1>
    </dataValidation>
    <dataValidation type="custom" allowBlank="1" showInputMessage="1" showErrorMessage="1" sqref="K24">
      <formula1>LENB(K24)&lt;=128</formula1>
    </dataValidation>
    <dataValidation type="custom" allowBlank="1" showInputMessage="1" showErrorMessage="1" sqref="K16:K18">
      <formula1>LENB(K16)&lt;=90</formula1>
    </dataValidation>
    <dataValidation type="custom" allowBlank="1" showInputMessage="1" showErrorMessage="1" sqref="K13">
      <formula1>LENB(K13)&lt;=10</formula1>
    </dataValidation>
    <dataValidation type="custom" allowBlank="1" showInputMessage="1" showErrorMessage="1" sqref="K21:K22">
      <formula1>LENB(K21)&lt;=50</formula1>
    </dataValidation>
    <dataValidation type="custom" allowBlank="1" showInputMessage="1" showErrorMessage="1" sqref="Q5">
      <formula1>AND(LEN(Q5)=LENB(Q5),LEN(Q5)=10)</formula1>
    </dataValidation>
    <dataValidation type="date" allowBlank="1" showInputMessage="1" showErrorMessage="1" sqref="Q9:Q10 Q13:Q14 Q24 M32:M33">
      <formula1>36526</formula1>
      <formula2>73415</formula2>
    </dataValidation>
    <dataValidation type="list" allowBlank="1" showDropDown="1" showInputMessage="1" showErrorMessage="1" sqref="K11">
      <formula1>UNJC_BUNSEKI_HOHO_IF_LIST2</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65057" r:id="rId4" name="UNJC0030_H_Shape_EIGYO_FUYO_FLG">
              <controlPr defaultSize="0" autoFill="0" autoLine="0" autoPict="0">
                <anchor moveWithCells="1">
                  <from>
                    <xdr:col>17</xdr:col>
                    <xdr:colOff>114300</xdr:colOff>
                    <xdr:row>2</xdr:row>
                    <xdr:rowOff>200025</xdr:rowOff>
                  </from>
                  <to>
                    <xdr:col>18</xdr:col>
                    <xdr:colOff>266700</xdr:colOff>
                    <xdr:row>3</xdr:row>
                    <xdr:rowOff>171450</xdr:rowOff>
                  </to>
                </anchor>
              </controlPr>
            </control>
          </mc:Choice>
        </mc:AlternateContent>
        <mc:AlternateContent xmlns:mc="http://schemas.openxmlformats.org/markup-compatibility/2006">
          <mc:Choice Requires="x14">
            <control shapeId="1965058" r:id="rId5" name="UNJC0030_H_Shape_SHINKI_FLG">
              <controlPr defaultSize="0" autoFill="0" autoLine="0" autoPict="0">
                <anchor moveWithCells="1">
                  <from>
                    <xdr:col>17</xdr:col>
                    <xdr:colOff>114300</xdr:colOff>
                    <xdr:row>4</xdr:row>
                    <xdr:rowOff>0</xdr:rowOff>
                  </from>
                  <to>
                    <xdr:col>17</xdr:col>
                    <xdr:colOff>657225</xdr:colOff>
                    <xdr:row>4</xdr:row>
                    <xdr:rowOff>180975</xdr:rowOff>
                  </to>
                </anchor>
              </controlPr>
            </control>
          </mc:Choice>
        </mc:AlternateContent>
        <mc:AlternateContent xmlns:mc="http://schemas.openxmlformats.org/markup-compatibility/2006">
          <mc:Choice Requires="x14">
            <control shapeId="1965059" r:id="rId6" name="UNJC0030_H_Shape_HENKOYOTEI_FLG">
              <controlPr defaultSize="0" autoFill="0" autoLine="0" autoPict="0">
                <anchor moveWithCells="1">
                  <from>
                    <xdr:col>17</xdr:col>
                    <xdr:colOff>114300</xdr:colOff>
                    <xdr:row>5</xdr:row>
                    <xdr:rowOff>9525</xdr:rowOff>
                  </from>
                  <to>
                    <xdr:col>18</xdr:col>
                    <xdr:colOff>476250</xdr:colOff>
                    <xdr:row>6</xdr:row>
                    <xdr:rowOff>0</xdr:rowOff>
                  </to>
                </anchor>
              </controlPr>
            </control>
          </mc:Choice>
        </mc:AlternateContent>
        <mc:AlternateContent xmlns:mc="http://schemas.openxmlformats.org/markup-compatibility/2006">
          <mc:Choice Requires="x14">
            <control shapeId="1965060" r:id="rId7" name="UNJC0030_H_Shape_HOKOKU_CHUKAN_FLG_1">
              <controlPr defaultSize="0" autoFill="0" autoLine="0" autoPict="0">
                <anchor moveWithCells="1">
                  <from>
                    <xdr:col>31</xdr:col>
                    <xdr:colOff>238125</xdr:colOff>
                    <xdr:row>41</xdr:row>
                    <xdr:rowOff>9525</xdr:rowOff>
                  </from>
                  <to>
                    <xdr:col>31</xdr:col>
                    <xdr:colOff>428625</xdr:colOff>
                    <xdr:row>41</xdr:row>
                    <xdr:rowOff>200025</xdr:rowOff>
                  </to>
                </anchor>
              </controlPr>
            </control>
          </mc:Choice>
        </mc:AlternateContent>
        <mc:AlternateContent xmlns:mc="http://schemas.openxmlformats.org/markup-compatibility/2006">
          <mc:Choice Requires="x14">
            <control shapeId="1965061" r:id="rId8" name="UNJC0030_H_Shape_HOKOKU_CHUKAN_FLG_2">
              <controlPr defaultSize="0" autoFill="0" autoLine="0" autoPict="0">
                <anchor moveWithCells="1">
                  <from>
                    <xdr:col>31</xdr:col>
                    <xdr:colOff>238125</xdr:colOff>
                    <xdr:row>42</xdr:row>
                    <xdr:rowOff>9525</xdr:rowOff>
                  </from>
                  <to>
                    <xdr:col>31</xdr:col>
                    <xdr:colOff>428625</xdr:colOff>
                    <xdr:row>42</xdr:row>
                    <xdr:rowOff>200025</xdr:rowOff>
                  </to>
                </anchor>
              </controlPr>
            </control>
          </mc:Choice>
        </mc:AlternateContent>
        <mc:AlternateContent xmlns:mc="http://schemas.openxmlformats.org/markup-compatibility/2006">
          <mc:Choice Requires="x14">
            <control shapeId="1965062" r:id="rId9" name="UNJC0030_H_Shape_HOKOKU_CHUKAN_FLG_3">
              <controlPr defaultSize="0" autoFill="0" autoLine="0" autoPict="0">
                <anchor moveWithCells="1">
                  <from>
                    <xdr:col>31</xdr:col>
                    <xdr:colOff>238125</xdr:colOff>
                    <xdr:row>43</xdr:row>
                    <xdr:rowOff>9525</xdr:rowOff>
                  </from>
                  <to>
                    <xdr:col>31</xdr:col>
                    <xdr:colOff>428625</xdr:colOff>
                    <xdr:row>43</xdr:row>
                    <xdr:rowOff>200025</xdr:rowOff>
                  </to>
                </anchor>
              </controlPr>
            </control>
          </mc:Choice>
        </mc:AlternateContent>
        <mc:AlternateContent xmlns:mc="http://schemas.openxmlformats.org/markup-compatibility/2006">
          <mc:Choice Requires="x14">
            <control shapeId="1965063" r:id="rId10" name="UNJC0030_H_Shape_HOKOKU_SOKUHO_FLG_1">
              <controlPr defaultSize="0" autoFill="0" autoLine="0" autoPict="0">
                <anchor moveWithCells="1">
                  <from>
                    <xdr:col>32</xdr:col>
                    <xdr:colOff>238125</xdr:colOff>
                    <xdr:row>41</xdr:row>
                    <xdr:rowOff>9525</xdr:rowOff>
                  </from>
                  <to>
                    <xdr:col>32</xdr:col>
                    <xdr:colOff>428625</xdr:colOff>
                    <xdr:row>41</xdr:row>
                    <xdr:rowOff>200025</xdr:rowOff>
                  </to>
                </anchor>
              </controlPr>
            </control>
          </mc:Choice>
        </mc:AlternateContent>
        <mc:AlternateContent xmlns:mc="http://schemas.openxmlformats.org/markup-compatibility/2006">
          <mc:Choice Requires="x14">
            <control shapeId="1965064" r:id="rId11" name="UNJC0030_H_Shape_HOKOKU_SOKUHO_FLG_2">
              <controlPr defaultSize="0" autoFill="0" autoLine="0" autoPict="0">
                <anchor moveWithCells="1">
                  <from>
                    <xdr:col>32</xdr:col>
                    <xdr:colOff>238125</xdr:colOff>
                    <xdr:row>42</xdr:row>
                    <xdr:rowOff>9525</xdr:rowOff>
                  </from>
                  <to>
                    <xdr:col>32</xdr:col>
                    <xdr:colOff>428625</xdr:colOff>
                    <xdr:row>42</xdr:row>
                    <xdr:rowOff>200025</xdr:rowOff>
                  </to>
                </anchor>
              </controlPr>
            </control>
          </mc:Choice>
        </mc:AlternateContent>
        <mc:AlternateContent xmlns:mc="http://schemas.openxmlformats.org/markup-compatibility/2006">
          <mc:Choice Requires="x14">
            <control shapeId="1965065" r:id="rId12" name="UNJC0030_H_Shape_HOKOKU_SOKUHO_FLG_3">
              <controlPr defaultSize="0" autoFill="0" autoLine="0" autoPict="0">
                <anchor moveWithCells="1">
                  <from>
                    <xdr:col>32</xdr:col>
                    <xdr:colOff>238125</xdr:colOff>
                    <xdr:row>43</xdr:row>
                    <xdr:rowOff>9525</xdr:rowOff>
                  </from>
                  <to>
                    <xdr:col>32</xdr:col>
                    <xdr:colOff>428625</xdr:colOff>
                    <xdr:row>43</xdr:row>
                    <xdr:rowOff>200025</xdr:rowOff>
                  </to>
                </anchor>
              </controlPr>
            </control>
          </mc:Choice>
        </mc:AlternateContent>
        <mc:AlternateContent xmlns:mc="http://schemas.openxmlformats.org/markup-compatibility/2006">
          <mc:Choice Requires="x14">
            <control shapeId="1965066" r:id="rId13" name="UNJC0030_H_Shape_HOKOKU_HOKOKUSOFU_FLG_1">
              <controlPr defaultSize="0" autoFill="0" autoLine="0" autoPict="0">
                <anchor moveWithCells="1">
                  <from>
                    <xdr:col>33</xdr:col>
                    <xdr:colOff>238125</xdr:colOff>
                    <xdr:row>41</xdr:row>
                    <xdr:rowOff>9525</xdr:rowOff>
                  </from>
                  <to>
                    <xdr:col>33</xdr:col>
                    <xdr:colOff>428625</xdr:colOff>
                    <xdr:row>41</xdr:row>
                    <xdr:rowOff>200025</xdr:rowOff>
                  </to>
                </anchor>
              </controlPr>
            </control>
          </mc:Choice>
        </mc:AlternateContent>
        <mc:AlternateContent xmlns:mc="http://schemas.openxmlformats.org/markup-compatibility/2006">
          <mc:Choice Requires="x14">
            <control shapeId="1965067" r:id="rId14" name="UNJC0030_H_Shape_HOKOKU_HOKOKUSOFU_FLG_2">
              <controlPr defaultSize="0" autoFill="0" autoLine="0" autoPict="0">
                <anchor moveWithCells="1">
                  <from>
                    <xdr:col>33</xdr:col>
                    <xdr:colOff>238125</xdr:colOff>
                    <xdr:row>42</xdr:row>
                    <xdr:rowOff>9525</xdr:rowOff>
                  </from>
                  <to>
                    <xdr:col>33</xdr:col>
                    <xdr:colOff>428625</xdr:colOff>
                    <xdr:row>42</xdr:row>
                    <xdr:rowOff>200025</xdr:rowOff>
                  </to>
                </anchor>
              </controlPr>
            </control>
          </mc:Choice>
        </mc:AlternateContent>
        <mc:AlternateContent xmlns:mc="http://schemas.openxmlformats.org/markup-compatibility/2006">
          <mc:Choice Requires="x14">
            <control shapeId="1965068" r:id="rId15" name="UNJC0030_H_Shape_HOKOKU_HOKOKUSOFU_FLG_3">
              <controlPr defaultSize="0" autoFill="0" autoLine="0" autoPict="0">
                <anchor moveWithCells="1">
                  <from>
                    <xdr:col>33</xdr:col>
                    <xdr:colOff>238125</xdr:colOff>
                    <xdr:row>43</xdr:row>
                    <xdr:rowOff>9525</xdr:rowOff>
                  </from>
                  <to>
                    <xdr:col>33</xdr:col>
                    <xdr:colOff>428625</xdr:colOff>
                    <xdr:row>43</xdr:row>
                    <xdr:rowOff>200025</xdr:rowOff>
                  </to>
                </anchor>
              </controlPr>
            </control>
          </mc:Choice>
        </mc:AlternateContent>
        <mc:AlternateContent xmlns:mc="http://schemas.openxmlformats.org/markup-compatibility/2006">
          <mc:Choice Requires="x14">
            <control shapeId="1965069" r:id="rId16" name="UNJC0030_H_Shape_HOKOKU_SHOKEN_FLG">
              <controlPr defaultSize="0" autoFill="0" autoLine="0" autoPict="0">
                <anchor moveWithCells="1">
                  <from>
                    <xdr:col>10</xdr:col>
                    <xdr:colOff>180975</xdr:colOff>
                    <xdr:row>26</xdr:row>
                    <xdr:rowOff>9525</xdr:rowOff>
                  </from>
                  <to>
                    <xdr:col>10</xdr:col>
                    <xdr:colOff>733425</xdr:colOff>
                    <xdr:row>26</xdr:row>
                    <xdr:rowOff>200025</xdr:rowOff>
                  </to>
                </anchor>
              </controlPr>
            </control>
          </mc:Choice>
        </mc:AlternateContent>
        <mc:AlternateContent xmlns:mc="http://schemas.openxmlformats.org/markup-compatibility/2006">
          <mc:Choice Requires="x14">
            <control shapeId="1965070" r:id="rId17" name="UNJC0030_H_Shape_EDA_FLG">
              <controlPr defaultSize="0" autoFill="0" autoLine="0" autoPict="0" macro="[0]!M_UNJC0030_EDA_SHIRYO_CHECK">
                <anchor moveWithCells="1">
                  <from>
                    <xdr:col>10</xdr:col>
                    <xdr:colOff>676275</xdr:colOff>
                    <xdr:row>19</xdr:row>
                    <xdr:rowOff>0</xdr:rowOff>
                  </from>
                  <to>
                    <xdr:col>10</xdr:col>
                    <xdr:colOff>866775</xdr:colOff>
                    <xdr:row>19</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sheetPr>
  <dimension ref="A1:AF60"/>
  <sheetViews>
    <sheetView showGridLines="0" showRowColHeaders="0" topLeftCell="H32" zoomScaleNormal="100" workbookViewId="0">
      <selection activeCell="K35" sqref="K35:L35"/>
    </sheetView>
  </sheetViews>
  <sheetFormatPr defaultRowHeight="16.5"/>
  <cols>
    <col min="1" max="3" width="9" style="231" hidden="1" customWidth="1"/>
    <col min="4" max="4" width="12.5" style="231" hidden="1" customWidth="1"/>
    <col min="5" max="5" width="22.875" style="231" hidden="1" customWidth="1"/>
    <col min="6" max="7" width="9" style="231" hidden="1" customWidth="1"/>
    <col min="8" max="8" width="3.375" style="207" customWidth="1"/>
    <col min="9" max="9" width="3.375" style="915" customWidth="1"/>
    <col min="10" max="10" width="11.875" style="915" customWidth="1"/>
    <col min="11" max="11" width="28.125" style="915" customWidth="1"/>
    <col min="12" max="12" width="9.625" style="915" bestFit="1" customWidth="1"/>
    <col min="13" max="13" width="6.125" style="915" customWidth="1"/>
    <col min="14" max="14" width="2.75" style="915" bestFit="1" customWidth="1"/>
    <col min="15" max="15" width="6.125" style="915" customWidth="1"/>
    <col min="16" max="16" width="4" style="915" customWidth="1"/>
    <col min="17" max="17" width="4.5" style="906" bestFit="1" customWidth="1"/>
    <col min="18" max="18" width="13.25" style="906" customWidth="1"/>
    <col min="19" max="26" width="3.5" style="915" hidden="1" customWidth="1"/>
    <col min="27" max="27" width="12.125" style="915" customWidth="1"/>
    <col min="28" max="28" width="11.125" style="915" customWidth="1"/>
    <col min="29" max="29" width="9" style="915" customWidth="1"/>
    <col min="30" max="30" width="9" style="915"/>
    <col min="31" max="31" width="3.125" style="915" customWidth="1"/>
    <col min="32" max="16384" width="9" style="915"/>
  </cols>
  <sheetData>
    <row r="1" spans="1:7" s="207" customFormat="1" ht="6.75" hidden="1" customHeight="1">
      <c r="A1" s="231"/>
      <c r="B1" s="231"/>
      <c r="C1" s="231"/>
      <c r="D1" s="231"/>
      <c r="E1" s="231"/>
      <c r="F1" s="231"/>
      <c r="G1" s="231"/>
    </row>
    <row r="2" spans="1:7" s="207" customFormat="1" ht="6.75" hidden="1" customHeight="1">
      <c r="A2" s="231"/>
      <c r="B2" s="231"/>
      <c r="C2" s="231"/>
      <c r="D2" s="187" t="s">
        <v>276</v>
      </c>
      <c r="E2" s="252" t="s">
        <v>1085</v>
      </c>
      <c r="F2" s="232" t="str">
        <f>ROW(A1)&amp;":"&amp;ROW(A31)</f>
        <v>1:31</v>
      </c>
      <c r="G2" s="231"/>
    </row>
    <row r="3" spans="1:7" s="207" customFormat="1" ht="6.75" hidden="1" customHeight="1">
      <c r="A3" s="231"/>
      <c r="B3" s="231"/>
      <c r="C3" s="231"/>
      <c r="D3" s="187" t="s">
        <v>277</v>
      </c>
      <c r="E3" s="252" t="s">
        <v>1086</v>
      </c>
      <c r="F3" s="232" t="str">
        <f>ADDRESS(ROW(A1),COLUMN(A1))&amp;":"&amp;ADDRESS(ROW(G1),COLUMN(G1))&amp;","&amp;ADDRESS(ROW(UNJC0030_B_LIST_SEQ),COLUMN(UNJC0030_B_LIST_SEQ))&amp;":"&amp;ADDRESS(ROW(UNJC0030_B_SERIAL),COLUMN(UNJC0030_B_SERIAL))</f>
        <v>$A$1:$G$1,$S$45:$Z$45</v>
      </c>
      <c r="G3" s="231"/>
    </row>
    <row r="4" spans="1:7" s="207" customFormat="1" ht="6.75" hidden="1" customHeight="1">
      <c r="A4" s="231"/>
      <c r="B4" s="231"/>
      <c r="C4" s="231"/>
      <c r="D4" s="231"/>
      <c r="E4" s="231"/>
      <c r="F4" s="231"/>
      <c r="G4" s="231"/>
    </row>
    <row r="5" spans="1:7" s="207" customFormat="1" ht="6.75" hidden="1" customHeight="1">
      <c r="A5" s="231"/>
      <c r="B5" s="231"/>
      <c r="C5" s="231"/>
      <c r="D5" s="231"/>
      <c r="E5" s="231"/>
      <c r="F5" s="231"/>
      <c r="G5" s="231"/>
    </row>
    <row r="6" spans="1:7" s="207" customFormat="1" ht="6.75" hidden="1" customHeight="1">
      <c r="A6" s="231"/>
      <c r="B6" s="231"/>
      <c r="C6" s="231"/>
      <c r="D6" s="231"/>
      <c r="E6" s="231"/>
      <c r="F6" s="231"/>
      <c r="G6" s="231"/>
    </row>
    <row r="7" spans="1:7" s="207" customFormat="1" ht="6.75" hidden="1" customHeight="1">
      <c r="A7" s="231"/>
      <c r="B7" s="231"/>
      <c r="C7" s="231"/>
      <c r="D7" s="231"/>
      <c r="E7" s="231"/>
      <c r="F7" s="231"/>
      <c r="G7" s="231"/>
    </row>
    <row r="8" spans="1:7" s="207" customFormat="1" ht="6.75" hidden="1" customHeight="1">
      <c r="A8" s="231"/>
      <c r="B8" s="231"/>
      <c r="C8" s="231"/>
      <c r="D8" s="231"/>
      <c r="E8" s="231"/>
      <c r="F8" s="231"/>
      <c r="G8" s="231"/>
    </row>
    <row r="9" spans="1:7" s="207" customFormat="1" ht="6.75" hidden="1" customHeight="1">
      <c r="A9" s="231"/>
      <c r="B9" s="231"/>
      <c r="C9" s="231"/>
      <c r="D9" s="231"/>
      <c r="E9" s="231"/>
      <c r="F9" s="231"/>
      <c r="G9" s="231"/>
    </row>
    <row r="10" spans="1:7" s="207" customFormat="1" ht="6.75" hidden="1" customHeight="1">
      <c r="A10" s="231"/>
      <c r="B10" s="231"/>
      <c r="C10" s="231"/>
      <c r="D10" s="231"/>
      <c r="E10" s="231"/>
      <c r="F10" s="231"/>
      <c r="G10" s="231"/>
    </row>
    <row r="11" spans="1:7" s="207" customFormat="1" ht="6.75" hidden="1" customHeight="1">
      <c r="A11" s="231"/>
      <c r="B11" s="231"/>
      <c r="C11" s="231"/>
      <c r="D11" s="231"/>
      <c r="E11" s="231"/>
      <c r="F11" s="231"/>
      <c r="G11" s="231"/>
    </row>
    <row r="12" spans="1:7" s="207" customFormat="1" ht="6.75" hidden="1" customHeight="1">
      <c r="A12" s="231"/>
      <c r="B12" s="231"/>
      <c r="C12" s="231"/>
      <c r="D12" s="231"/>
      <c r="E12" s="231"/>
      <c r="F12" s="231"/>
      <c r="G12" s="231"/>
    </row>
    <row r="13" spans="1:7" s="207" customFormat="1" ht="6.75" hidden="1" customHeight="1">
      <c r="A13" s="231"/>
      <c r="B13" s="231"/>
      <c r="C13" s="231"/>
      <c r="D13" s="231"/>
      <c r="E13" s="231"/>
      <c r="F13" s="231"/>
      <c r="G13" s="231"/>
    </row>
    <row r="14" spans="1:7" s="207" customFormat="1" ht="6.75" hidden="1" customHeight="1">
      <c r="A14" s="231"/>
      <c r="B14" s="231"/>
      <c r="C14" s="231"/>
      <c r="D14" s="231"/>
      <c r="E14" s="231"/>
      <c r="F14" s="231"/>
      <c r="G14" s="231"/>
    </row>
    <row r="15" spans="1:7" s="207" customFormat="1" ht="6.75" hidden="1" customHeight="1">
      <c r="A15" s="231"/>
      <c r="B15" s="231"/>
      <c r="C15" s="231"/>
      <c r="D15" s="231"/>
      <c r="E15" s="231"/>
      <c r="F15" s="231"/>
      <c r="G15" s="231"/>
    </row>
    <row r="16" spans="1:7" s="207" customFormat="1" ht="6.75" hidden="1" customHeight="1">
      <c r="A16" s="231"/>
      <c r="B16" s="231"/>
      <c r="C16" s="231"/>
      <c r="D16" s="231"/>
      <c r="E16" s="231"/>
      <c r="F16" s="231"/>
      <c r="G16" s="231"/>
    </row>
    <row r="17" spans="1:10" s="207" customFormat="1" ht="6.75" hidden="1" customHeight="1">
      <c r="A17" s="231"/>
      <c r="B17" s="231"/>
      <c r="C17" s="231"/>
      <c r="D17" s="231"/>
      <c r="E17" s="231"/>
      <c r="F17" s="231"/>
      <c r="G17" s="231"/>
    </row>
    <row r="18" spans="1:10" s="207" customFormat="1" ht="6.75" hidden="1" customHeight="1">
      <c r="A18" s="231"/>
      <c r="B18" s="231"/>
      <c r="C18" s="231"/>
      <c r="D18" s="231"/>
      <c r="E18" s="231"/>
      <c r="F18" s="231"/>
      <c r="G18" s="231"/>
    </row>
    <row r="19" spans="1:10" s="207" customFormat="1" ht="6.75" hidden="1" customHeight="1">
      <c r="A19" s="231"/>
      <c r="B19" s="231"/>
      <c r="C19" s="231"/>
      <c r="D19" s="231"/>
      <c r="E19" s="231"/>
      <c r="F19" s="231"/>
      <c r="G19" s="231"/>
    </row>
    <row r="20" spans="1:10" s="207" customFormat="1" ht="6.75" hidden="1" customHeight="1">
      <c r="A20" s="231"/>
      <c r="B20" s="231"/>
      <c r="C20" s="231"/>
      <c r="D20" s="231"/>
      <c r="E20" s="231"/>
      <c r="F20" s="231"/>
      <c r="G20" s="231"/>
    </row>
    <row r="21" spans="1:10" s="207" customFormat="1" ht="6.75" hidden="1" customHeight="1">
      <c r="A21" s="231"/>
      <c r="B21" s="231"/>
      <c r="C21" s="231"/>
      <c r="D21" s="231"/>
      <c r="E21" s="231"/>
      <c r="F21" s="231"/>
      <c r="G21" s="231"/>
    </row>
    <row r="22" spans="1:10" s="207" customFormat="1" ht="6.75" hidden="1" customHeight="1">
      <c r="A22" s="231"/>
      <c r="B22" s="231"/>
      <c r="C22" s="231"/>
      <c r="D22" s="231"/>
      <c r="E22" s="231"/>
      <c r="F22" s="231"/>
      <c r="G22" s="231"/>
    </row>
    <row r="23" spans="1:10" s="207" customFormat="1" ht="6.75" hidden="1" customHeight="1">
      <c r="A23" s="231"/>
      <c r="B23" s="231"/>
      <c r="C23" s="231"/>
      <c r="D23" s="231"/>
      <c r="E23" s="231"/>
      <c r="F23" s="231"/>
      <c r="G23" s="231"/>
    </row>
    <row r="24" spans="1:10" s="207" customFormat="1" ht="6.75" hidden="1" customHeight="1">
      <c r="A24" s="231"/>
      <c r="B24" s="231"/>
      <c r="C24" s="231"/>
      <c r="D24" s="231"/>
      <c r="E24" s="231"/>
      <c r="F24" s="231"/>
      <c r="G24" s="231"/>
    </row>
    <row r="25" spans="1:10" s="207" customFormat="1" ht="6.75" hidden="1" customHeight="1">
      <c r="A25" s="231"/>
      <c r="B25" s="231"/>
      <c r="C25" s="231"/>
      <c r="D25" s="231"/>
      <c r="E25" s="231"/>
      <c r="F25" s="231"/>
      <c r="G25" s="231"/>
    </row>
    <row r="26" spans="1:10" s="207" customFormat="1" ht="6.75" hidden="1" customHeight="1">
      <c r="A26" s="231"/>
      <c r="B26" s="231"/>
      <c r="C26" s="231"/>
      <c r="D26" s="231"/>
      <c r="E26" s="231"/>
      <c r="F26" s="231"/>
      <c r="G26" s="231"/>
    </row>
    <row r="27" spans="1:10" s="207" customFormat="1" ht="6.75" hidden="1" customHeight="1">
      <c r="A27" s="231"/>
      <c r="B27" s="231"/>
      <c r="C27" s="231"/>
      <c r="D27" s="231"/>
      <c r="E27" s="231"/>
      <c r="F27" s="231"/>
      <c r="G27" s="231"/>
    </row>
    <row r="28" spans="1:10" s="207" customFormat="1" ht="6.75" hidden="1" customHeight="1">
      <c r="A28" s="231"/>
      <c r="B28" s="231"/>
      <c r="C28" s="231"/>
      <c r="D28" s="231"/>
      <c r="E28" s="231"/>
      <c r="F28" s="231"/>
      <c r="G28" s="231"/>
    </row>
    <row r="29" spans="1:10" s="207" customFormat="1" ht="6.75" hidden="1" customHeight="1">
      <c r="A29" s="231"/>
      <c r="B29" s="231"/>
      <c r="C29" s="231"/>
      <c r="D29" s="231"/>
      <c r="E29" s="231"/>
      <c r="F29" s="231"/>
      <c r="G29" s="231"/>
    </row>
    <row r="30" spans="1:10" s="207" customFormat="1" ht="6.75" hidden="1" customHeight="1">
      <c r="A30" s="231"/>
      <c r="B30" s="231"/>
      <c r="C30" s="231"/>
      <c r="D30" s="231"/>
      <c r="E30" s="231"/>
      <c r="F30" s="231"/>
      <c r="G30" s="231"/>
    </row>
    <row r="31" spans="1:10" s="207" customFormat="1" ht="6.75" hidden="1" customHeight="1">
      <c r="A31" s="231"/>
      <c r="B31" s="231"/>
      <c r="C31" s="231"/>
      <c r="D31" s="231"/>
      <c r="E31" s="231"/>
      <c r="F31" s="231"/>
      <c r="G31" s="231"/>
    </row>
    <row r="32" spans="1:10" s="207" customFormat="1" ht="6.75" customHeight="1">
      <c r="A32" s="231"/>
      <c r="B32" s="231"/>
      <c r="C32" s="231"/>
      <c r="D32" s="231"/>
      <c r="E32" s="231"/>
      <c r="F32" s="231"/>
      <c r="G32" s="231"/>
      <c r="J32" s="208"/>
    </row>
    <row r="33" spans="1:32" s="207" customFormat="1" ht="19.5">
      <c r="A33" s="231"/>
      <c r="B33" s="231"/>
      <c r="C33" s="231"/>
      <c r="D33" s="231"/>
      <c r="E33" s="231"/>
      <c r="F33" s="231"/>
      <c r="G33" s="231"/>
      <c r="H33" s="501"/>
      <c r="I33" s="502" t="s">
        <v>1087</v>
      </c>
      <c r="J33" s="503">
        <v>1</v>
      </c>
      <c r="K33" s="824" t="str">
        <f>" / "&amp;IF(UNJC0030_IF_EDA_MAX&lt;UNJC0030_B_EDA,UNJC0030_B_EDA,UNJC0030_IF_EDA_MAX)</f>
        <v xml:space="preserve"> / 1</v>
      </c>
      <c r="L33" s="1235"/>
      <c r="M33" s="1235"/>
      <c r="N33" s="1235"/>
      <c r="O33" s="1235"/>
      <c r="P33" s="1235"/>
      <c r="Q33" s="1235"/>
      <c r="R33" s="1235"/>
      <c r="S33" s="1240"/>
      <c r="T33" s="1240"/>
      <c r="U33" s="1240"/>
      <c r="V33" s="1240"/>
      <c r="W33" s="1240"/>
      <c r="X33" s="1240"/>
      <c r="Y33" s="1240"/>
      <c r="Z33" s="1240"/>
      <c r="AA33" s="1240"/>
      <c r="AB33" s="1240"/>
      <c r="AC33" s="1240"/>
      <c r="AD33" s="1240"/>
      <c r="AE33" s="1235"/>
      <c r="AF33" s="1235"/>
    </row>
    <row r="34" spans="1:32" s="207" customFormat="1" ht="19.5">
      <c r="A34" s="483"/>
      <c r="B34" s="231" t="s">
        <v>1088</v>
      </c>
      <c r="C34" s="231"/>
      <c r="D34" s="231"/>
      <c r="E34" s="231"/>
      <c r="F34" s="231"/>
      <c r="G34" s="231"/>
      <c r="H34" s="501"/>
      <c r="I34" s="502"/>
      <c r="J34" s="1240"/>
      <c r="K34" s="1235"/>
      <c r="L34" s="1235"/>
      <c r="M34" s="1235"/>
      <c r="N34" s="1235"/>
      <c r="O34" s="1235"/>
      <c r="P34" s="1235"/>
      <c r="Q34" s="1235"/>
      <c r="R34" s="1235"/>
      <c r="S34" s="1240"/>
      <c r="T34" s="1240"/>
      <c r="U34" s="1240"/>
      <c r="V34" s="1240"/>
      <c r="W34" s="1240"/>
      <c r="X34" s="1240"/>
      <c r="Y34" s="1240"/>
      <c r="Z34" s="1240"/>
      <c r="AA34" s="1240"/>
      <c r="AB34" s="1240"/>
      <c r="AC34" s="1240"/>
      <c r="AD34" s="1240"/>
      <c r="AE34" s="1235"/>
      <c r="AF34" s="1235"/>
    </row>
    <row r="35" spans="1:32" s="207" customFormat="1" ht="19.5">
      <c r="A35" s="485"/>
      <c r="B35" s="231" t="s">
        <v>1089</v>
      </c>
      <c r="C35" s="231"/>
      <c r="D35" s="231"/>
      <c r="E35" s="231"/>
      <c r="F35" s="231"/>
      <c r="G35" s="231"/>
      <c r="H35" s="501"/>
      <c r="I35" s="502"/>
      <c r="J35" s="1236" t="s">
        <v>1090</v>
      </c>
      <c r="K35" s="1383"/>
      <c r="L35" s="1384"/>
      <c r="M35" s="1235"/>
      <c r="N35" s="1235"/>
      <c r="O35" s="1235"/>
      <c r="P35" s="1235"/>
      <c r="Q35" s="1235"/>
      <c r="R35" s="1235"/>
      <c r="S35" s="1240"/>
      <c r="T35" s="1240"/>
      <c r="U35" s="1240"/>
      <c r="V35" s="1240"/>
      <c r="W35" s="1240"/>
      <c r="X35" s="1240"/>
      <c r="Y35" s="1240"/>
      <c r="Z35" s="1240"/>
      <c r="AA35" s="1236" t="s">
        <v>1091</v>
      </c>
      <c r="AB35" s="97"/>
      <c r="AC35" s="1240"/>
      <c r="AD35" s="1240"/>
      <c r="AE35" s="1231"/>
      <c r="AF35" s="1231"/>
    </row>
    <row r="36" spans="1:32" s="207" customFormat="1" ht="19.5">
      <c r="A36" s="485"/>
      <c r="B36" s="231"/>
      <c r="C36" s="231"/>
      <c r="D36" s="231"/>
      <c r="E36" s="231"/>
      <c r="F36" s="231"/>
      <c r="G36" s="231"/>
      <c r="H36" s="501"/>
      <c r="I36" s="502"/>
      <c r="J36" s="1236" t="s">
        <v>1092</v>
      </c>
      <c r="K36" s="1383"/>
      <c r="L36" s="1384"/>
      <c r="M36" s="1235"/>
      <c r="N36" s="1235"/>
      <c r="O36" s="1235"/>
      <c r="P36" s="1235"/>
      <c r="Q36" s="1235"/>
      <c r="R36" s="1235"/>
      <c r="S36" s="1240"/>
      <c r="T36" s="1240"/>
      <c r="U36" s="1240"/>
      <c r="V36" s="1240"/>
      <c r="W36" s="1240"/>
      <c r="X36" s="1240"/>
      <c r="Y36" s="1240"/>
      <c r="Z36" s="1240"/>
      <c r="AA36" s="1236" t="s">
        <v>1093</v>
      </c>
      <c r="AB36" s="903"/>
      <c r="AC36" s="1240"/>
      <c r="AD36" s="1240"/>
      <c r="AE36" s="1231"/>
      <c r="AF36" s="1231"/>
    </row>
    <row r="37" spans="1:32" s="207" customFormat="1" ht="19.5">
      <c r="A37" s="485"/>
      <c r="B37" s="231"/>
      <c r="C37" s="231"/>
      <c r="D37" s="231" t="s">
        <v>1094</v>
      </c>
      <c r="E37" s="231" t="s">
        <v>1095</v>
      </c>
      <c r="F37" s="232">
        <f>UNJC0030_B_EDA+1</f>
        <v>2</v>
      </c>
      <c r="G37" s="231"/>
      <c r="H37" s="501"/>
      <c r="I37" s="502"/>
      <c r="J37" s="210" t="s">
        <v>1096</v>
      </c>
      <c r="K37" s="514"/>
      <c r="L37" s="1235"/>
      <c r="M37" s="1235"/>
      <c r="N37" s="1235"/>
      <c r="O37" s="1235"/>
      <c r="P37" s="1235"/>
      <c r="Q37" s="1235"/>
      <c r="R37" s="1235"/>
      <c r="S37" s="1240"/>
      <c r="T37" s="1240"/>
      <c r="U37" s="1240"/>
      <c r="V37" s="1240"/>
      <c r="W37" s="1240"/>
      <c r="X37" s="1240"/>
      <c r="Y37" s="1240"/>
      <c r="Z37" s="1240"/>
      <c r="AA37" s="1236" t="s">
        <v>1097</v>
      </c>
      <c r="AB37" s="903"/>
      <c r="AC37" s="1240"/>
      <c r="AD37" s="1240"/>
      <c r="AE37" s="1231"/>
      <c r="AF37" s="1231"/>
    </row>
    <row r="38" spans="1:32" s="207" customFormat="1" ht="19.5">
      <c r="A38" s="485"/>
      <c r="B38" s="231"/>
      <c r="C38" s="231"/>
      <c r="D38" s="231" t="s">
        <v>1098</v>
      </c>
      <c r="E38" s="231" t="s">
        <v>1099</v>
      </c>
      <c r="F38" s="232">
        <f>UNJC0030_B_EDA-1</f>
        <v>0</v>
      </c>
      <c r="G38" s="231"/>
      <c r="H38" s="501"/>
      <c r="I38" s="502"/>
      <c r="J38" s="1236" t="s">
        <v>1100</v>
      </c>
      <c r="K38" s="1330"/>
      <c r="L38" s="1385"/>
      <c r="M38" s="1385"/>
      <c r="N38" s="1385"/>
      <c r="O38" s="1385"/>
      <c r="P38" s="1385"/>
      <c r="Q38" s="1385"/>
      <c r="R38" s="1386"/>
      <c r="S38" s="1240"/>
      <c r="T38" s="1240"/>
      <c r="U38" s="1240"/>
      <c r="V38" s="1240"/>
      <c r="W38" s="1240"/>
      <c r="X38" s="1240"/>
      <c r="Y38" s="1240"/>
      <c r="Z38" s="1240"/>
      <c r="AA38" s="1236" t="s">
        <v>4420</v>
      </c>
      <c r="AB38" s="1197"/>
      <c r="AC38" s="1240"/>
      <c r="AD38" s="1240"/>
      <c r="AE38" s="1231"/>
      <c r="AF38" s="1231"/>
    </row>
    <row r="39" spans="1:32" s="207" customFormat="1" ht="19.5">
      <c r="A39" s="487"/>
      <c r="B39" s="231" t="s">
        <v>1088</v>
      </c>
      <c r="C39" s="231"/>
      <c r="D39" s="231" t="s">
        <v>4480</v>
      </c>
      <c r="E39" s="231" t="s">
        <v>4481</v>
      </c>
      <c r="F39" s="232"/>
      <c r="G39" s="231"/>
      <c r="H39" s="501"/>
      <c r="I39" s="502"/>
      <c r="J39" s="1236"/>
      <c r="K39" s="1387"/>
      <c r="L39" s="1388"/>
      <c r="M39" s="1388"/>
      <c r="N39" s="1388"/>
      <c r="O39" s="1388"/>
      <c r="P39" s="1388"/>
      <c r="Q39" s="1388"/>
      <c r="R39" s="1389"/>
      <c r="S39" s="1240"/>
      <c r="T39" s="1240"/>
      <c r="U39" s="1240"/>
      <c r="V39" s="1240"/>
      <c r="W39" s="1240"/>
      <c r="X39" s="1240"/>
      <c r="Y39" s="1240"/>
      <c r="Z39" s="1240"/>
      <c r="AA39" s="1236" t="s">
        <v>1101</v>
      </c>
      <c r="AB39" s="486"/>
      <c r="AC39" s="1240"/>
      <c r="AD39" s="1240"/>
      <c r="AE39" s="1231"/>
      <c r="AF39" s="1231"/>
    </row>
    <row r="40" spans="1:32" s="207" customFormat="1" ht="19.5">
      <c r="A40" s="231"/>
      <c r="B40" s="231"/>
      <c r="C40" s="231"/>
      <c r="D40" s="231"/>
      <c r="E40" s="231"/>
      <c r="F40" s="231"/>
      <c r="G40" s="231"/>
      <c r="H40" s="501"/>
      <c r="I40" s="502"/>
      <c r="J40" s="12"/>
      <c r="K40" s="12"/>
      <c r="L40" s="12"/>
      <c r="M40" s="12"/>
      <c r="N40" s="12"/>
      <c r="O40" s="12"/>
      <c r="P40" s="12"/>
      <c r="Q40" s="12"/>
      <c r="R40" s="12"/>
      <c r="S40" s="1240"/>
      <c r="T40" s="1240"/>
      <c r="U40" s="1240"/>
      <c r="V40" s="1240"/>
      <c r="W40" s="1240"/>
      <c r="X40" s="1240"/>
      <c r="Y40" s="1240"/>
      <c r="Z40" s="1240"/>
      <c r="AA40" s="1240"/>
      <c r="AB40" s="1240"/>
      <c r="AC40" s="1240"/>
      <c r="AD40" s="1240"/>
      <c r="AE40" s="12"/>
      <c r="AF40" s="1235"/>
    </row>
    <row r="41" spans="1:32" s="207" customFormat="1">
      <c r="A41" s="231"/>
      <c r="B41" s="231"/>
      <c r="C41" s="231"/>
      <c r="D41" s="231" t="s">
        <v>1102</v>
      </c>
      <c r="E41" s="231" t="s">
        <v>1103</v>
      </c>
      <c r="F41" s="232" t="b">
        <f>IF(UNJC0030_B_SHIRYO_MEI="一括記載",TRUE,FALSE)</f>
        <v>0</v>
      </c>
      <c r="G41" s="231"/>
      <c r="J41" s="1236" t="s">
        <v>1104</v>
      </c>
      <c r="K41" s="478"/>
      <c r="L41" s="1236" t="s">
        <v>793</v>
      </c>
      <c r="M41" s="1390"/>
      <c r="N41" s="1391"/>
      <c r="O41" s="1391"/>
      <c r="P41" s="1391"/>
      <c r="Q41" s="1391"/>
      <c r="R41" s="1392"/>
      <c r="S41" s="1235"/>
      <c r="T41" s="1235"/>
      <c r="U41" s="1235"/>
      <c r="V41" s="1235"/>
      <c r="W41" s="1235"/>
      <c r="X41" s="1235"/>
      <c r="Y41" s="1235"/>
      <c r="Z41" s="1235"/>
      <c r="AA41" s="1235"/>
      <c r="AB41" s="1235"/>
      <c r="AC41" s="1235"/>
      <c r="AD41" s="1235"/>
      <c r="AE41" s="1235"/>
      <c r="AF41" s="1235"/>
    </row>
    <row r="42" spans="1:32" s="207" customFormat="1">
      <c r="A42" s="231"/>
      <c r="B42" s="231"/>
      <c r="C42" s="231"/>
      <c r="D42" s="231" t="s">
        <v>1105</v>
      </c>
      <c r="E42" s="231" t="s">
        <v>1106</v>
      </c>
      <c r="F42" s="232"/>
      <c r="G42" s="231"/>
      <c r="J42" s="12"/>
      <c r="K42" s="12"/>
      <c r="L42" s="1236" t="str">
        <f>IF(UNJC0030_B_IKKATSU_FLG=TRUE,"一括記載：","")</f>
        <v/>
      </c>
      <c r="M42" s="504">
        <v>1</v>
      </c>
      <c r="N42" s="1393" t="str">
        <f>IF(UNJC0030_B_IKKATSU_FLG=TRUE,"試料・単位","")</f>
        <v/>
      </c>
      <c r="O42" s="1393"/>
      <c r="P42" s="1230" t="str">
        <f>IF(UNJC0030_B_IKKATSU_FLG=TRUE,"×","")</f>
        <v/>
      </c>
      <c r="Q42" s="504">
        <v>1</v>
      </c>
      <c r="R42" s="83" t="str">
        <f>IF(UNJC0030_B_IKKATSU_FLG=TRUE,"ヶ所・点　＝","")</f>
        <v/>
      </c>
      <c r="S42" s="1235"/>
      <c r="T42" s="1235"/>
      <c r="U42" s="1235"/>
      <c r="V42" s="1235"/>
      <c r="W42" s="1235"/>
      <c r="X42" s="1235"/>
      <c r="Y42" s="1235"/>
      <c r="Z42" s="1235"/>
      <c r="AA42" s="1235"/>
      <c r="AB42" s="1235"/>
      <c r="AC42" s="1235"/>
      <c r="AD42" s="1235"/>
      <c r="AE42" s="1235"/>
      <c r="AF42" s="1235"/>
    </row>
    <row r="43" spans="1:32" s="207" customFormat="1">
      <c r="A43" s="231"/>
      <c r="B43" s="231"/>
      <c r="C43" s="231"/>
      <c r="D43" s="231" t="s">
        <v>1107</v>
      </c>
      <c r="E43" s="231" t="s">
        <v>1108</v>
      </c>
      <c r="F43" s="232">
        <f>UNJC0030_B_GYO_NO+1</f>
        <v>1</v>
      </c>
      <c r="G43" s="231"/>
      <c r="J43" s="1236" t="s">
        <v>1109</v>
      </c>
      <c r="K43" s="31"/>
      <c r="L43" s="1394"/>
      <c r="M43" s="1395"/>
      <c r="N43" s="1395"/>
      <c r="O43" s="1395"/>
      <c r="P43" s="1395"/>
      <c r="Q43" s="1395"/>
      <c r="R43" s="1396"/>
      <c r="S43" s="1235"/>
      <c r="T43" s="1235"/>
      <c r="U43" s="1235"/>
      <c r="V43" s="1235"/>
      <c r="W43" s="1235"/>
      <c r="X43" s="1235"/>
      <c r="Y43" s="1235"/>
      <c r="Z43" s="1235"/>
      <c r="AA43" s="1236" t="s">
        <v>4537</v>
      </c>
      <c r="AB43" s="1375"/>
      <c r="AC43" s="1376"/>
      <c r="AD43" s="1376"/>
      <c r="AE43" s="1376"/>
      <c r="AF43" s="1377"/>
    </row>
    <row r="44" spans="1:32" s="207" customFormat="1">
      <c r="A44" s="231"/>
      <c r="B44" s="231"/>
      <c r="C44" s="231"/>
      <c r="D44" s="231" t="s">
        <v>1110</v>
      </c>
      <c r="E44" s="231" t="s">
        <v>1111</v>
      </c>
      <c r="F44" s="232">
        <f>UNJC0030_B_GYO_NO-1</f>
        <v>-1</v>
      </c>
      <c r="G44" s="231"/>
      <c r="J44" s="1231"/>
      <c r="K44" s="1231"/>
      <c r="L44" s="1231"/>
      <c r="M44" s="1231"/>
      <c r="N44" s="1231"/>
      <c r="O44" s="1231"/>
      <c r="P44" s="1231"/>
      <c r="Q44" s="1231"/>
      <c r="R44" s="1231"/>
      <c r="S44" s="1231"/>
      <c r="T44" s="1231"/>
      <c r="U44" s="1231"/>
      <c r="V44" s="1231"/>
      <c r="W44" s="1231"/>
      <c r="X44" s="1231"/>
      <c r="Y44" s="1231"/>
      <c r="Z44" s="1231"/>
      <c r="AA44" s="1235"/>
      <c r="AB44" s="1378"/>
      <c r="AC44" s="1379"/>
      <c r="AD44" s="1379"/>
      <c r="AE44" s="1379"/>
      <c r="AF44" s="1380"/>
    </row>
    <row r="45" spans="1:32" s="207" customFormat="1">
      <c r="A45" s="231"/>
      <c r="B45" s="231"/>
      <c r="C45" s="231"/>
      <c r="D45" s="231" t="s">
        <v>1112</v>
      </c>
      <c r="E45" s="231" t="s">
        <v>1113</v>
      </c>
      <c r="F45" s="232" t="str">
        <f>IF(UNJC0030_B_GYO_NO&lt;1,"",(ADDRESS(ROW(UNJC0030_B_GYO)+1,COLUMN(UNJC0030_B_GYO))&amp;":"&amp;
ADDRESS(ROW(UNJC0030_B_GYO)+1+UNJC0030_B_GYO_NO-1,COLUMN(UNJC0030_B_GYO)+COLUMNS(UNJC0030_IF_SHINKI_LIST_COPY_MOTO)-1)))</f>
        <v/>
      </c>
      <c r="G45" s="231"/>
      <c r="H45" s="114"/>
      <c r="I45" s="267" t="s">
        <v>17</v>
      </c>
      <c r="J45" s="23" t="s">
        <v>1114</v>
      </c>
      <c r="K45" s="267" t="s">
        <v>1115</v>
      </c>
      <c r="L45" s="267" t="s">
        <v>19</v>
      </c>
      <c r="M45" s="1381" t="s">
        <v>1116</v>
      </c>
      <c r="N45" s="1381"/>
      <c r="O45" s="1381"/>
      <c r="P45" s="1381"/>
      <c r="Q45" s="1382" t="s">
        <v>1117</v>
      </c>
      <c r="R45" s="1382"/>
      <c r="S45" s="172" t="s">
        <v>1118</v>
      </c>
      <c r="T45" s="172" t="s">
        <v>28</v>
      </c>
      <c r="U45" s="172" t="s">
        <v>1119</v>
      </c>
      <c r="V45" s="172" t="s">
        <v>1835</v>
      </c>
      <c r="W45" s="172" t="s">
        <v>1120</v>
      </c>
      <c r="X45" s="172" t="s">
        <v>1121</v>
      </c>
      <c r="Y45" s="172" t="s">
        <v>1122</v>
      </c>
      <c r="Z45" s="172" t="s">
        <v>1123</v>
      </c>
    </row>
    <row r="46" spans="1:32">
      <c r="D46" s="231" t="s">
        <v>125</v>
      </c>
      <c r="E46" s="231" t="s">
        <v>1124</v>
      </c>
      <c r="F46" s="232" t="str">
        <f>ADDRESS(ROW(UNJC0030_B_GYO)+1,COLUMN(UNJC0030_B_GYO))</f>
        <v>$I$46</v>
      </c>
    </row>
    <row r="47" spans="1:32">
      <c r="D47" s="231" t="s">
        <v>203</v>
      </c>
      <c r="E47" s="231" t="s">
        <v>1125</v>
      </c>
      <c r="F47" s="232" t="str">
        <f>IF(UNJC0030_B_GYO_NO&lt;=0,"",ADDRESS(ROW(UNJC0030_B_GYO)+1,COLUMN(UNJC0030_B_GYO))&amp;":"&amp;ADDRESS(ROW(UNJC0030_B_GYO)+1+UNJC0030_B_GYO_NO-1,COLUMN(UNJC0030_B_GYO)+COLUMNS(UNJC0030_IF_SHINKI_LIST_COPY_MOTO)-1))</f>
        <v/>
      </c>
    </row>
    <row r="48" spans="1:32">
      <c r="D48" s="231" t="s">
        <v>542</v>
      </c>
      <c r="E48" s="231" t="s">
        <v>1126</v>
      </c>
      <c r="F48" s="232" t="str">
        <f>IF(UNJC0030_B_GYO_NO&lt;=0,"",ADDRESS(ROW(UNJC0030_B_GYO)+1,COLUMN(UNJC0030_B_GYO))&amp;":"&amp;ADDRESS(ROW(UNJC0030_B_GYO)+1+UNJC0030_B_GYO_NO-1,COLUMN(UNJC0030_B_GYO)))</f>
        <v/>
      </c>
    </row>
    <row r="49" spans="4:6">
      <c r="D49" s="231" t="s">
        <v>204</v>
      </c>
      <c r="E49" s="231" t="s">
        <v>1127</v>
      </c>
      <c r="F49" s="232" t="str">
        <f>"UNJC0030_B!"&amp;ADDRESS(ROW(UNJC0030_B_GYO)+1,COLUMN(UNJC0030_B_GYO))&amp;":"&amp;ADDRESS(ROW(UNJC0030_B_GYO)+UNJC0030_B_GYO_INSERT_NO,COLUMN(UNJC0030_B_URAGAKI_FLG))</f>
        <v>UNJC0030_B!$I$46:$X$46</v>
      </c>
    </row>
    <row r="51" spans="4:6">
      <c r="D51" s="231" t="s">
        <v>1128</v>
      </c>
      <c r="E51" s="231" t="s">
        <v>1129</v>
      </c>
      <c r="F51" s="232" t="str">
        <f>IF(OR(UNJC0030_IF_ACTIVE_SHEET&lt;&gt;"UNJC0030_B",UNJC0030_B_GYO_NO=0,UNJC0030_IF_ACTIVE_ROW&lt;=ROW(UNJC0030_B_GYO)),
"UNJC0030_B!"&amp;ADDRESS(ROW(UNJC0030_B_GYO)+1,COLUMN(UNJC0030_B_GYO))&amp;":"&amp;ADDRESS(ROW(UNJC0030_B_GYO)+1,COLUMN(UNJC0030_B_GYO)+COLUMNS(UNJC0030_IF_GYO_COPY_MOTO)-1),
"UNJC0030_B!"&amp;ADDRESS(UNJC0030_IF_ACTIVE_ROW+1,COLUMN(UNJC0030_B_GYO))&amp;":"&amp;ADDRESS(UNJC0030_IF_ACTIVE_ROW+1,COLUMN(UNJC0030_B_GYO)+COLUMNS(UNJC0030_IF_GYO_COPY_MOTO)-1))</f>
        <v>UNJC0030_B!$I$46:$Z$46</v>
      </c>
    </row>
    <row r="52" spans="4:6">
      <c r="D52" s="231" t="s">
        <v>1130</v>
      </c>
      <c r="E52" s="231" t="s">
        <v>1131</v>
      </c>
      <c r="F52" s="232" t="str">
        <f>"UNJC0030_B!"&amp;ADDRESS(UNJC0030_IF_ACTIVE_ROW,COLUMN(UNJC0030_B_GYO))&amp;":"&amp;ADDRESS(UNJC0030_IF_ACTIVE_ROW,COLUMN(UNJC0030_B_GYO)+COLUMNS(UNJC0030_IF_GYO_COPY_MOTO)-1)</f>
        <v>UNJC0030_B!$I$16:$Z$16</v>
      </c>
    </row>
    <row r="53" spans="4:6">
      <c r="D53" s="231" t="s">
        <v>2778</v>
      </c>
      <c r="E53" s="231" t="s">
        <v>2779</v>
      </c>
      <c r="F53" s="232" t="str">
        <f ca="1">"UNJC0030_B!"&amp;ADDRESS(ROW(INDIRECT(UNJC0030_B_GYO_INSERT)),COLUMN(UNJC0030_B_LIST_BUNSEKI_CD))</f>
        <v>UNJC0030_B!$J$46</v>
      </c>
    </row>
    <row r="55" spans="4:6">
      <c r="D55" s="82" t="s">
        <v>1132</v>
      </c>
      <c r="E55" s="82" t="s">
        <v>1133</v>
      </c>
      <c r="F55" s="81" t="str">
        <f>"UNJC0030_B!"&amp;ADDRESS(UNJC0030_IF_ACTIVE_ROW,COLUMN(UNJC0030_B_LIST_BUNSEKI_CD))</f>
        <v>UNJC0030_B!$J$16</v>
      </c>
    </row>
    <row r="56" spans="4:6">
      <c r="D56" s="82" t="s">
        <v>1134</v>
      </c>
      <c r="E56" s="82" t="s">
        <v>1135</v>
      </c>
      <c r="F56" s="81" t="str">
        <f>"UNJC0030_B!"&amp;ADDRESS(UNJC0030_IF_ACTIVE_ROW,COLUMN(UNJC0030_B_LIST_BUNSEKI_MEI))</f>
        <v>UNJC0030_B!$K$16</v>
      </c>
    </row>
    <row r="57" spans="4:6">
      <c r="D57" s="82" t="s">
        <v>1136</v>
      </c>
      <c r="E57" s="82" t="s">
        <v>1137</v>
      </c>
      <c r="F57" s="81" t="str">
        <f>"UNJC0030_B!"&amp;ADDRESS(UNJC0030_IF_ACTIVE_ROW,COLUMN(UNJC0030_B_LIST_TANI))</f>
        <v>UNJC0030_B!$L$16</v>
      </c>
    </row>
    <row r="58" spans="4:6">
      <c r="D58" s="82" t="s">
        <v>1138</v>
      </c>
      <c r="E58" s="82" t="s">
        <v>1139</v>
      </c>
      <c r="F58" s="81" t="str">
        <f>"UNJC0030_B!"&amp;ADDRESS(UNJC0030_IF_ACTIVE_ROW,COLUMN(UNJC0030_B_LIST_BUNSEKI_NO))</f>
        <v>UNJC0030_B!$Q$16</v>
      </c>
    </row>
    <row r="60" spans="4:6">
      <c r="D60" s="231" t="s">
        <v>695</v>
      </c>
      <c r="E60" s="252" t="s">
        <v>1140</v>
      </c>
      <c r="F60" s="232" t="str">
        <f ca="1">"UNJC0030_B!"&amp;
ADDRESS(ROW(INDIRECT(UNJC0030_B_LIST_START))+UNJC0030_B_GYO_NO,COLUMN(UNJC0030_B_GYO))
&amp;":"&amp;ADDRESS(ROW(INDIRECT(UNJC0030_B_LIST_START))+UNJC0030_B_GYO_NO+UNJC0030_IF_MULTI_SELECT_TENKAI_KENSU-1,COLUMN(UNJC0030_B_GYO)+COLUMNS(UNJC0030_IF_GYO_COPY_MOTO)-1)</f>
        <v>UNJC0030_B!$I$46:$Z$45</v>
      </c>
    </row>
  </sheetData>
  <sheetProtection sheet="1" objects="1" scenarios="1" selectLockedCells="1"/>
  <mergeCells count="9">
    <mergeCell ref="AB43:AF44"/>
    <mergeCell ref="M45:P45"/>
    <mergeCell ref="Q45:R45"/>
    <mergeCell ref="K35:L35"/>
    <mergeCell ref="K36:L36"/>
    <mergeCell ref="K38:R39"/>
    <mergeCell ref="M41:R41"/>
    <mergeCell ref="N42:O42"/>
    <mergeCell ref="L43:R43"/>
  </mergeCells>
  <phoneticPr fontId="2"/>
  <conditionalFormatting sqref="Q42 M42">
    <cfRule type="expression" dxfId="150" priority="1">
      <formula>UNJC0030_B_IKKATSU_FLG=TRUE</formula>
    </cfRule>
  </conditionalFormatting>
  <dataValidations count="8">
    <dataValidation type="list" allowBlank="1" showInputMessage="1" sqref="K37">
      <formula1>UNJC0030_IF_LIST_SAISHU_HOHO</formula1>
    </dataValidation>
    <dataValidation type="whole" allowBlank="1" showInputMessage="1" showErrorMessage="1" sqref="M42 Q42">
      <formula1>0</formula1>
      <formula2>999</formula2>
    </dataValidation>
    <dataValidation type="time" allowBlank="1" showInputMessage="1" showErrorMessage="1" sqref="AB39">
      <formula1>0</formula1>
      <formula2>0.999305555555556</formula2>
    </dataValidation>
    <dataValidation type="custom" allowBlank="1" showInputMessage="1" showErrorMessage="1" sqref="AB35:AB37">
      <formula1>LENB(AB35)&lt;=20</formula1>
    </dataValidation>
    <dataValidation type="custom" allowBlank="1" showInputMessage="1" showErrorMessage="1" sqref="M41:R41 K41">
      <formula1>LENB(K41)&lt;=40</formula1>
    </dataValidation>
    <dataValidation type="custom" allowBlank="1" showInputMessage="1" showErrorMessage="1" sqref="K38:R39">
      <formula1>LENB(K38)&lt;=128</formula1>
    </dataValidation>
    <dataValidation type="custom" allowBlank="1" showInputMessage="1" showErrorMessage="1" sqref="K35:L36">
      <formula1>LENB(K35)&lt;=50</formula1>
    </dataValidation>
    <dataValidation type="date" allowBlank="1" showInputMessage="1" showErrorMessage="1" sqref="AB38">
      <formula1>36526</formula1>
      <formula2>73415</formula2>
    </dataValidation>
  </dataValidations>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LH131"/>
  <sheetViews>
    <sheetView zoomScaleNormal="100" zoomScaleSheetLayoutView="130" workbookViewId="0">
      <selection activeCell="LB2" sqref="LB2"/>
    </sheetView>
  </sheetViews>
  <sheetFormatPr defaultRowHeight="13.5"/>
  <cols>
    <col min="1" max="2" width="9" style="280"/>
    <col min="3" max="3" width="16.75" style="280" customWidth="1"/>
    <col min="4" max="4" width="14.875" style="280" customWidth="1"/>
    <col min="5" max="5" width="14.5" style="280" customWidth="1"/>
    <col min="6" max="6" width="13.25" style="280" customWidth="1"/>
    <col min="7" max="10" width="9" style="280"/>
    <col min="11" max="11" width="21.625" style="280" customWidth="1"/>
    <col min="12" max="12" width="14.75" style="280" customWidth="1"/>
    <col min="13" max="13" width="19.25" style="280" customWidth="1"/>
    <col min="14" max="15" width="9" style="280"/>
    <col min="16" max="17" width="23.75" style="280" customWidth="1"/>
    <col min="18" max="18" width="22.125" style="280" customWidth="1"/>
    <col min="19" max="21" width="9" style="280"/>
    <col min="22" max="22" width="17.375" style="280" customWidth="1"/>
    <col min="23" max="33" width="9" style="280"/>
    <col min="34" max="34" width="16.875" style="280" customWidth="1"/>
    <col min="35" max="130" width="9" style="280"/>
    <col min="131" max="131" width="9" style="1234"/>
    <col min="132" max="139" width="9" style="280"/>
    <col min="140" max="144" width="3.5" style="280" customWidth="1"/>
    <col min="145" max="156" width="9" style="280"/>
    <col min="157" max="157" width="11.75" style="280" bestFit="1" customWidth="1"/>
    <col min="158" max="177" width="9" style="280"/>
    <col min="178" max="178" width="11.125" style="280" bestFit="1" customWidth="1"/>
    <col min="179" max="195" width="9" style="280"/>
    <col min="196" max="199" width="9" style="1234"/>
    <col min="200" max="205" width="9" style="280"/>
    <col min="206" max="206" width="3.375" style="280" customWidth="1"/>
    <col min="207" max="207" width="11.875" style="280" customWidth="1"/>
    <col min="208" max="208" width="28.125" style="280" customWidth="1"/>
    <col min="209" max="209" width="9.625" style="280" bestFit="1" customWidth="1"/>
    <col min="210" max="210" width="6.125" style="280" customWidth="1"/>
    <col min="211" max="211" width="2.75" style="280" bestFit="1" customWidth="1"/>
    <col min="212" max="212" width="6.125" style="280" customWidth="1"/>
    <col min="213" max="213" width="4" style="280" customWidth="1"/>
    <col min="214" max="214" width="4.5" style="280" bestFit="1" customWidth="1"/>
    <col min="215" max="215" width="13.25" style="280" customWidth="1"/>
    <col min="216" max="222" width="3.375" style="280" hidden="1" customWidth="1"/>
    <col min="223" max="223" width="6.25" style="280" hidden="1" customWidth="1"/>
    <col min="224" max="224" width="18.375" style="280" customWidth="1"/>
    <col min="225" max="226" width="9" style="280"/>
    <col min="227" max="227" width="21.625" style="280" bestFit="1" customWidth="1"/>
    <col min="228" max="228" width="40.75" style="280" customWidth="1"/>
    <col min="229" max="232" width="9" style="280"/>
    <col min="233" max="249" width="4" style="280" customWidth="1"/>
    <col min="250" max="259" width="9" style="280"/>
    <col min="260" max="260" width="9" style="505"/>
    <col min="261" max="283" width="9" style="280"/>
    <col min="284" max="284" width="9" style="505"/>
    <col min="285" max="285" width="9" style="280"/>
    <col min="286" max="286" width="9" style="505"/>
    <col min="287" max="303" width="9" style="280"/>
    <col min="304" max="305" width="9" style="505"/>
    <col min="306" max="313" width="9" style="280"/>
    <col min="314" max="314" width="9" style="1234"/>
    <col min="315" max="318" width="9" style="280"/>
    <col min="319" max="320" width="9" style="505"/>
    <col min="321" max="16384" width="9" style="280"/>
  </cols>
  <sheetData>
    <row r="1" spans="1:320" ht="18.75">
      <c r="A1" s="505"/>
      <c r="J1" s="280" t="s">
        <v>1141</v>
      </c>
      <c r="ES1" s="280" t="s">
        <v>1142</v>
      </c>
      <c r="ET1" s="210" t="s">
        <v>67</v>
      </c>
      <c r="EU1" s="259"/>
      <c r="EV1" s="207"/>
      <c r="EW1" s="210" t="s">
        <v>1006</v>
      </c>
      <c r="EX1" s="97"/>
      <c r="EY1" s="207"/>
      <c r="EZ1" s="208" t="s">
        <v>1007</v>
      </c>
      <c r="FA1" s="209"/>
      <c r="FB1" s="207"/>
      <c r="FC1" s="208"/>
      <c r="FD1" s="207"/>
      <c r="FE1" s="207"/>
      <c r="FF1" s="207"/>
      <c r="FG1" s="207"/>
      <c r="FH1" s="207"/>
      <c r="FI1" s="207"/>
      <c r="FJ1" s="207"/>
      <c r="FK1" s="207"/>
      <c r="FL1" s="207"/>
      <c r="FM1" s="207"/>
      <c r="FN1" s="207"/>
      <c r="FO1" s="207"/>
      <c r="FP1" s="207"/>
      <c r="FQ1" s="207"/>
      <c r="FR1" s="207"/>
      <c r="FU1" s="280" t="s">
        <v>1143</v>
      </c>
      <c r="FV1" s="510"/>
      <c r="FX1" s="280" t="s">
        <v>1144</v>
      </c>
      <c r="FY1" s="503">
        <v>1</v>
      </c>
      <c r="FZ1" s="824" t="str">
        <f>" / "&amp;IF(UNJC0030_IF_EDA_MAX&lt;UNJC0030_B_EDA,UNJC0030_B_EDA,UNJC0030_IF_EDA_MAX)</f>
        <v xml:space="preserve"> / 1</v>
      </c>
      <c r="GA1" s="207"/>
      <c r="GB1" s="207"/>
      <c r="GC1" s="207"/>
      <c r="GD1" s="207"/>
      <c r="GE1" s="207"/>
      <c r="GF1" s="207"/>
      <c r="GG1" s="207"/>
      <c r="GH1" s="502"/>
      <c r="GI1" s="502"/>
      <c r="GJ1" s="502"/>
      <c r="GK1" s="502"/>
      <c r="GL1" s="502"/>
      <c r="GM1" s="502"/>
      <c r="GN1" s="1240"/>
      <c r="GO1" s="1240"/>
      <c r="GP1" s="1240"/>
      <c r="GQ1" s="1240"/>
      <c r="GR1" s="502"/>
      <c r="GS1" s="502"/>
      <c r="GT1" s="207"/>
      <c r="GU1" s="207"/>
      <c r="GW1" s="280" t="s">
        <v>1145</v>
      </c>
      <c r="GX1" s="915"/>
      <c r="GY1" s="915"/>
      <c r="GZ1" s="906"/>
      <c r="HA1" s="915"/>
      <c r="HB1" s="906"/>
      <c r="HC1" s="906"/>
      <c r="HD1" s="906"/>
      <c r="HE1" s="906"/>
      <c r="HF1" s="906"/>
      <c r="HG1" s="906"/>
      <c r="HH1" s="207"/>
      <c r="HI1" s="207"/>
      <c r="HJ1" s="207"/>
      <c r="HK1" s="207"/>
      <c r="HL1" s="207"/>
      <c r="HM1" s="207"/>
      <c r="HN1" s="207"/>
      <c r="HO1" s="207"/>
      <c r="HP1" s="506" t="s">
        <v>1146</v>
      </c>
      <c r="HR1" s="239" t="s">
        <v>1147</v>
      </c>
      <c r="IY1" s="280" t="s">
        <v>1148</v>
      </c>
      <c r="IZ1" s="280"/>
      <c r="JX1" s="280"/>
      <c r="JZ1" s="280"/>
      <c r="KF1" s="280" t="s">
        <v>1149</v>
      </c>
      <c r="KK1" s="280" t="s">
        <v>1154</v>
      </c>
      <c r="KL1" s="280" t="s">
        <v>1155</v>
      </c>
    </row>
    <row r="2" spans="1:320" ht="18.75">
      <c r="U2" s="280" t="s">
        <v>521</v>
      </c>
      <c r="V2" s="280" t="s">
        <v>1150</v>
      </c>
      <c r="W2" s="281">
        <f>UNJC0030_IF_W_USER_ID</f>
        <v>0</v>
      </c>
      <c r="X2" s="281">
        <f>UNJC0030_IF_W_SERIAL</f>
        <v>0</v>
      </c>
      <c r="Y2" s="281">
        <f>UNJC0030_B_EDA</f>
        <v>1</v>
      </c>
      <c r="Z2" s="281">
        <f>ROW()-ROW(UNJC0030_IF_SAVE_LIST_W_USER_ID)</f>
        <v>-2</v>
      </c>
      <c r="AA2" s="281">
        <f>UNJC0030_IF_MODE</f>
        <v>0</v>
      </c>
      <c r="AB2" s="281" t="str">
        <f>IF(UNJC0030_H_JURI_NO=0,"",UNJC0030_H_JURI_NO)</f>
        <v/>
      </c>
      <c r="AC2" s="27" t="str">
        <f>IF(OR(UNJC0030_H_STS="",UNJC0030_H_STS_CD=0),"1",UNJC0030_H_STS_CD)</f>
        <v>1</v>
      </c>
      <c r="AD2" s="281" t="str">
        <f ca="1">IF(UNJC0030_H_BUNSEKI_KBN_CD=0,"",UNJC0030_H_BUNSEKI_KBN_CD)</f>
        <v/>
      </c>
      <c r="AE2" s="281" t="str">
        <f>IF(UNJC0030_H_BUNSEKI_TANTO_BUSHO_CD=0,"",UNJC0030_H_BUNSEKI_TANTO_BUSHO_CD)</f>
        <v/>
      </c>
      <c r="AF2" s="507">
        <f ca="1">IF(UNJC0030_H_NYURYOKU_DATE&lt;&gt;"",UNJC0030_H_NYURYOKU_DATE,IF(UNJC0030_SAVE_TEMP_FLG=1,"",NOW()))</f>
        <v>43005.636301273102</v>
      </c>
      <c r="AG2" s="281" t="str">
        <f>IF(UNJC0030_H_NYURYOKUSHA_CD=0,"",UNJC0030_H_NYURYOKUSHA_CD)</f>
        <v/>
      </c>
      <c r="AH2" s="281" t="str">
        <f>IF(UNJC0030_H_REF_JURI_NO=0,"",UNJC0030_H_REF_JURI_NO)</f>
        <v/>
      </c>
      <c r="AI2" s="281" t="str">
        <f>IF(UNJC0030_H_MITSUMORI_NO=0,"",UNJC0030_H_MITSUMORI_NO)</f>
        <v/>
      </c>
      <c r="AJ2" s="281" t="str">
        <f>IF(UNJC0030_H_ATENA_CD=0,"",UNJC0030_H_ATENA_CD)</f>
        <v/>
      </c>
      <c r="AK2" s="281" t="str">
        <f>IF(UNJC0030_H_ATENA_MEI=0,"",UNJC0030_H_ATENA_MEI)</f>
        <v/>
      </c>
      <c r="AL2" s="281" t="str">
        <f>IF(UNJC0030_H_SEIKYUSAKI_CD=0,"",UNJC0030_H_SEIKYUSAKI_CD)</f>
        <v/>
      </c>
      <c r="AM2" s="281" t="str">
        <f>IF(UNJC0030_H_BUNSEKIHOHO=0,"",UNJC0030_H_BUNSEKIHOHO)</f>
        <v/>
      </c>
      <c r="AN2" s="281" t="str">
        <f ca="1">IF(UNJC0030_H_HOKOKUSHO_KEISHIKI_KBN_CD=0,"",UNJC0030_H_HOKOKUSHO_KEISHIKI_KBN_CD)</f>
        <v/>
      </c>
      <c r="AO2" s="281" t="str">
        <f>IF(UNJC0030_H_NOHIN_HOHO=0,"",UNJC0030_H_NOHIN_HOHO)</f>
        <v/>
      </c>
      <c r="AP2" s="281" t="str">
        <f>IF(UNJC0030_H_KOSU=0,"",UNJC0030_H_KOSU)</f>
        <v/>
      </c>
      <c r="AQ2" s="281" t="str">
        <f>IF(UNJC0030_H_EIGYO_TANTO_CD=0,"",UNJC0030_H_EIGYO_TANTO_CD)</f>
        <v/>
      </c>
      <c r="AR2" s="107" t="str">
        <f>IF(UNJC0030_H_IRAI_DATE=0,"",UNJC0030_H_IRAI_DATE)</f>
        <v/>
      </c>
      <c r="AS2" s="107" t="str">
        <f>IF(UNJC0030_H_BUNSEKIKANRYO_DATE=0,"",UNJC0030_H_BUNSEKIKANRYO_DATE)</f>
        <v/>
      </c>
      <c r="AT2" s="107" t="str">
        <f>IF(UNJC0030_H_HOKOKU_KANSEI_DATE=0,"",UNJC0030_H_HOKOKU_KANSEI_DATE)</f>
        <v/>
      </c>
      <c r="AU2" s="281" t="str">
        <f ca="1">IF(UNJC0030_H_SOKUHO_KBN_CD=0,"",UNJC0030_H_SOKUHO_KBN_CD)</f>
        <v/>
      </c>
      <c r="AV2" s="107" t="str">
        <f>IF(UNJC0030_H_HOKOKU_HAKKO_DATE=0,"",UNJC0030_H_HOKOKU_HAKKO_DATE)</f>
        <v/>
      </c>
      <c r="AW2" s="107" t="str">
        <f>IF(UNJC0030_H_NOHIN_DATE=0,"",UNJC0030_H_NOHIN_DATE)</f>
        <v/>
      </c>
      <c r="AX2" s="281" t="str">
        <f>IF(UNJC0030_H_KENMEI=0,"",UNJC0030_H_KENMEI)</f>
        <v/>
      </c>
      <c r="AY2" s="281" t="str">
        <f>IF(UNJC0030_H_MOKUTEKI=0,"",UNJC0030_H_MOKUTEKI)</f>
        <v/>
      </c>
      <c r="AZ2" s="281" t="str">
        <f>IF(UNJC0030_H_HOKOKU_JIKO=0,"",UNJC0030_H_HOKOKU_JIKO)</f>
        <v/>
      </c>
      <c r="BA2" s="281" t="b">
        <f>IF(UNJC0030_H_EDA_FLG=TRUE,TRUE,FALSE)</f>
        <v>0</v>
      </c>
      <c r="BB2" s="281" t="str">
        <f>IF(UNJC0030_H_SAISHUKAISHA_MEI=0,"",UNJC0030_H_SAISHUKAISHA_MEI)</f>
        <v/>
      </c>
      <c r="BC2" s="281" t="str">
        <f>IF(UNJC0030_H_SAISHUSHA_MEI=0,"",UNJC0030_H_SAISHUSHA_MEI)</f>
        <v/>
      </c>
      <c r="BD2" s="281" t="str">
        <f>IF(UNJC0030_H_SAISHU_HOHO=0,"",UNJC0030_H_SAISHU_HOHO)</f>
        <v/>
      </c>
      <c r="BE2" s="281" t="str">
        <f>IF(UNJC0030_H_SAISHU_BASHO=0,"",UNJC0030_H_SAISHU_BASHO)</f>
        <v/>
      </c>
      <c r="BF2" s="281" t="str">
        <f>IF(UNJC0030_H_TENKO=0,"",UNJC0030_H_TENKO)</f>
        <v/>
      </c>
      <c r="BG2" s="281" t="str">
        <f>IF(UNJC0030_H_KION=0,"",UNJC0030_H_KION)</f>
        <v/>
      </c>
      <c r="BH2" s="281" t="str">
        <f>IF(UNJC0030_H_SUION=0,"",UNJC0030_H_SUION)</f>
        <v/>
      </c>
      <c r="BI2" s="107" t="str">
        <f>IF(UNJC0030_H_SAISHU_DATE=0,"",UNJC0030_H_SAISHU_DATE)</f>
        <v/>
      </c>
      <c r="BJ2" s="900" t="str">
        <f>IF(UNJC0030_H_SAISHU_TIME=0,"",TEXT(UNJC0030_H_SAISHU_TIME,"hh:mm"))</f>
        <v/>
      </c>
      <c r="BK2" s="281" t="b">
        <f>IF(UNJC0030_H_HOKOKU_SHOKEN_FLG=TRUE,TRUE,FALSE)</f>
        <v>0</v>
      </c>
      <c r="BL2" s="281" t="str">
        <f ca="1">IF(UNJC0030_H_HOKOKU_GAISO_KBN_CD=0,"",UNJC0030_H_HOKOKU_GAISO_KBN_CD)</f>
        <v/>
      </c>
      <c r="BM2" s="281" t="str">
        <f>IF(UNJC0030_H_YOKI_SHURUI=0,"",UNJC0030_H_YOKI_SHURUI)</f>
        <v/>
      </c>
      <c r="BN2" s="281" t="str">
        <f>IF(UNJC0030_H_YOKI_HENKYAKU=0,"",UNJC0030_H_YOKI_HENKYAKU)</f>
        <v/>
      </c>
      <c r="BO2" s="281" t="str">
        <f ca="1">IF(UNJC0030_H_HOKOKU_HOHO_KBN_CD=0,"",UNJC0030_H_HOKOKU_HOHO_KBN_CD)</f>
        <v/>
      </c>
      <c r="BP2" s="281" t="str">
        <f>IF(UNJC0030_H_BUSU=0,"",UNJC0030_H_BUSU)</f>
        <v/>
      </c>
      <c r="BQ2" s="107" t="str">
        <f>IF(UNJC0030_H_CHUKAN_DATE_1=0,"",UNJC0030_H_CHUKAN_DATE_1)</f>
        <v/>
      </c>
      <c r="BR2" s="281" t="str">
        <f>IF(UNJC0030_H_CHUKAN_NAIYO_1=0,"",UNJC0030_H_CHUKAN_NAIYO_1)</f>
        <v/>
      </c>
      <c r="BS2" s="107" t="str">
        <f>IF(UNJC0030_H_CHUKAN_DATE_2=0,"",UNJC0030_H_CHUKAN_DATE_2)</f>
        <v/>
      </c>
      <c r="BT2" s="281" t="str">
        <f>IF(UNJC0030_H_CHUKAN_NAIYO_2=0,"",UNJC0030_H_CHUKAN_NAIYO_2)</f>
        <v/>
      </c>
      <c r="BU2" s="107" t="str">
        <f>IF(UNJC0030_H_CHUKAN_DATE_3=0,"",UNJC0030_H_CHUKAN_DATE_3)</f>
        <v/>
      </c>
      <c r="BV2" s="281" t="str">
        <f>IF(UNJC0030_H_CHUKAN_NAIYO_3=0,"",UNJC0030_H_CHUKAN_NAIYO_3)</f>
        <v/>
      </c>
      <c r="BW2" s="281" t="str">
        <f>IF(UNJC0030_H_BIKO=0,"",UNJC0030_H_BIKO)</f>
        <v/>
      </c>
      <c r="BX2" s="281" t="b">
        <f>IF(UNJC0030_H_EIGYO_FUYO_FLG=TRUE,TRUE,FALSE)</f>
        <v>0</v>
      </c>
      <c r="BY2" s="281" t="b">
        <f>IF(UNJC0030_H_SHINKI_FLG=TRUE,TRUE,FALSE)</f>
        <v>0</v>
      </c>
      <c r="BZ2" s="281" t="b">
        <f>IF(UNJC0030_H_HENKOYOTEI_FLG=TRUE,TRUE,FALSE)</f>
        <v>0</v>
      </c>
      <c r="CA2" s="281" t="str">
        <f>IF(UNJC0030_H_HOKOKU_CD_1=0,"",UNJC0030_H_HOKOKU_CD_1)</f>
        <v/>
      </c>
      <c r="CB2" s="281" t="str">
        <f>IF(UNJC0030_H_HOKOKU_MEI_1=0,"",UNJC0030_H_HOKOKU_MEI_1)</f>
        <v/>
      </c>
      <c r="CC2" s="281" t="str">
        <f>IF(UNJC0030_H_HOKOKU_BUSHO_1=0,"",UNJC0030_H_HOKOKU_BUSHO_1)</f>
        <v/>
      </c>
      <c r="CD2" s="281" t="str">
        <f>IF(UNJC0030_H_HOKOKU_TANTOSHA_1=0,"",UNJC0030_H_HOKOKU_TANTOSHA_1)</f>
        <v/>
      </c>
      <c r="CE2" s="281" t="str">
        <f>IF(UNJC0030_H_HOKOKU_TEL_1=0,"",UNJC0030_H_HOKOKU_TEL_1)</f>
        <v/>
      </c>
      <c r="CF2" s="281" t="str">
        <f>IF(UNJC0030_H_HOKOKU_FAX_1=0,"",UNJC0030_H_HOKOKU_FAX_1)</f>
        <v/>
      </c>
      <c r="CG2" s="281" t="str">
        <f>IF(UNJC0030_H_HOKOKU_MAIL_1=0,"",UNJC0030_H_HOKOKU_MAIL_1)</f>
        <v/>
      </c>
      <c r="CH2" s="281" t="str">
        <f>IF(UNJC0030_H_HOKOKU_YUBIN_1=0,"",UNJC0030_H_HOKOKU_YUBIN_1)</f>
        <v/>
      </c>
      <c r="CI2" s="281" t="str">
        <f>IF(UNJC0030_H_HOKOKU_JUSHO_1=0,"",UNJC0030_H_HOKOKU_JUSHO_1)</f>
        <v/>
      </c>
      <c r="CJ2" s="281" t="str">
        <f>IF(UNJC0030_H_HOKOKU_CHUKAN_FLG_1=0,"",UNJC0030_H_HOKOKU_CHUKAN_FLG_1)</f>
        <v/>
      </c>
      <c r="CK2" s="281" t="str">
        <f>IF(UNJC0030_H_HOKOKU_SOKUHO_FLG_1=0,"",UNJC0030_H_HOKOKU_SOKUHO_FLG_1)</f>
        <v/>
      </c>
      <c r="CL2" s="281" t="str">
        <f>IF(UNJC0030_H_HOKOKU_HOKOKUSOFU_FLG_1=0,"",UNJC0030_H_HOKOKU_HOKOKUSOFU_FLG_1)</f>
        <v/>
      </c>
      <c r="CM2" s="281" t="str">
        <f>IF(UNJC0030_H_HOKOKU_CD_2=0,"",UNJC0030_H_HOKOKU_CD_2)</f>
        <v/>
      </c>
      <c r="CN2" s="281" t="str">
        <f>IF(UNJC0030_H_HOKOKU_MEI_2=0,"",UNJC0030_H_HOKOKU_MEI_2)</f>
        <v/>
      </c>
      <c r="CO2" s="281" t="str">
        <f>IF(UNJC0030_H_HOKOKU_BUSHO_2=0,"",UNJC0030_H_HOKOKU_BUSHO_2)</f>
        <v/>
      </c>
      <c r="CP2" s="281" t="str">
        <f>IF(UNJC0030_H_HOKOKU_TANTOSHA_2=0,"",UNJC0030_H_HOKOKU_TANTOSHA_2)</f>
        <v/>
      </c>
      <c r="CQ2" s="281" t="str">
        <f>IF(UNJC0030_H_HOKOKU_TEL_2=0,"",UNJC0030_H_HOKOKU_TEL_2)</f>
        <v/>
      </c>
      <c r="CR2" s="281" t="str">
        <f>IF(UNJC0030_H_HOKOKU_FAX_2=0,"",UNJC0030_H_HOKOKU_FAX_2)</f>
        <v/>
      </c>
      <c r="CS2" s="281" t="str">
        <f>IF(UNJC0030_H_HOKOKU_MAIL_2=0,"",UNJC0030_H_HOKOKU_MAIL_2)</f>
        <v/>
      </c>
      <c r="CT2" s="281" t="str">
        <f>IF(UNJC0030_H_HOKOKU_YUBIN_2=0,"",UNJC0030_H_HOKOKU_YUBIN_2)</f>
        <v/>
      </c>
      <c r="CU2" s="281" t="str">
        <f>IF(UNJC0030_H_HOKOKU_JUSHO_2=0,"",UNJC0030_H_HOKOKU_JUSHO_2)</f>
        <v/>
      </c>
      <c r="CV2" s="281" t="str">
        <f>IF(UNJC0030_H_HOKOKU_CHUKAN_FLG_2=0,"",UNJC0030_H_HOKOKU_CHUKAN_FLG_2)</f>
        <v/>
      </c>
      <c r="CW2" s="281" t="str">
        <f>IF(UNJC0030_H_HOKOKU_SOKUHO_FLG_2=0,"",UNJC0030_H_HOKOKU_SOKUHO_FLG_2)</f>
        <v/>
      </c>
      <c r="CX2" s="281" t="str">
        <f>IF(UNJC0030_H_HOKOKU_HOKOKUSOFU_FLG_2=0,"",UNJC0030_H_HOKOKU_HOKOKUSOFU_FLG_2)</f>
        <v/>
      </c>
      <c r="CY2" s="281" t="str">
        <f>IF(UNJC0030_H_HOKOKU_CD_3=0,"",UNJC0030_H_HOKOKU_CD_3)</f>
        <v/>
      </c>
      <c r="CZ2" s="281" t="str">
        <f>IF(UNJC0030_H_HOKOKU_MEI_3=0,"",UNJC0030_H_HOKOKU_MEI_3)</f>
        <v/>
      </c>
      <c r="DA2" s="281" t="str">
        <f>IF(UNJC0030_H_HOKOKU_BUSHO_3=0,"",UNJC0030_H_HOKOKU_BUSHO_3)</f>
        <v/>
      </c>
      <c r="DB2" s="281" t="str">
        <f>IF(UNJC0030_H_HOKOKU_TANTOSHA_3=0,"",UNJC0030_H_HOKOKU_TANTOSHA_3)</f>
        <v/>
      </c>
      <c r="DC2" s="281" t="str">
        <f>IF(UNJC0030_H_HOKOKU_TEL_3=0,"",UNJC0030_H_HOKOKU_TEL_3)</f>
        <v/>
      </c>
      <c r="DD2" s="281" t="str">
        <f>IF(UNJC0030_H_HOKOKU_FAX_3=0,"",UNJC0030_H_HOKOKU_FAX_3)</f>
        <v/>
      </c>
      <c r="DE2" s="281" t="str">
        <f>IF(UNJC0030_H_HOKOKU_MAIL_3=0,"",UNJC0030_H_HOKOKU_MAIL_3)</f>
        <v/>
      </c>
      <c r="DF2" s="281" t="str">
        <f>IF(UNJC0030_H_HOKOKU_YUBIN_3=0,"",UNJC0030_H_HOKOKU_YUBIN_3)</f>
        <v/>
      </c>
      <c r="DG2" s="281" t="str">
        <f>IF(UNJC0030_H_HOKOKU_JUSHO_3=0,"",UNJC0030_H_HOKOKU_JUSHO_3)</f>
        <v/>
      </c>
      <c r="DH2" s="281" t="str">
        <f>IF(UNJC0030_H_HOKOKU_CHUKAN_FLG_3=0,"",UNJC0030_H_HOKOKU_CHUKAN_FLG_3)</f>
        <v/>
      </c>
      <c r="DI2" s="281" t="str">
        <f>IF(UNJC0030_H_HOKOKU_SOKUHO_FLG_3=0,"",UNJC0030_H_HOKOKU_SOKUHO_FLG_3)</f>
        <v/>
      </c>
      <c r="DJ2" s="281" t="str">
        <f>IF(UNJC0030_H_HOKOKU_HOKOKUSOFU_FLG_3=0,"",UNJC0030_H_HOKOKU_HOKOKUSOFU_FLG_3)</f>
        <v/>
      </c>
      <c r="DK2" s="281">
        <f ca="1">IF(UNJC0030_H_DEMPYO_HAKKO_KBN_CD=0,"",UNJC0030_H_DEMPYO_HAKKO_KBN_CD)</f>
        <v>1</v>
      </c>
      <c r="DL2" s="281" t="str">
        <f>IF(UNJC0030_H_BUN_SORT_SEQ=0,"",UNJC0030_H_BUN_SORT_SEQ)</f>
        <v/>
      </c>
      <c r="DM2" s="281" t="str">
        <f>IF(OR(UNJC0030_H_EDA_FLG=FALSE,UNJC0030_B_SAISHU_KAISHA_MEI=0),"",UNJC0030_B_SAISHU_KAISHA_MEI)</f>
        <v/>
      </c>
      <c r="DN2" s="281" t="str">
        <f>IF(OR(UNJC0030_H_EDA_FLG=FALSE,UNJC0030_B_SAISHUSHA_MEI=0),"",UNJC0030_B_SAISHUSHA_MEI)</f>
        <v/>
      </c>
      <c r="DO2" s="281" t="str">
        <f>IF(OR(UNJC0030_H_EDA_FLG=FALSE,UNJC0030_B_SAISHU_HOHO=0),"",UNJC0030_B_SAISHU_HOHO)</f>
        <v/>
      </c>
      <c r="DP2" s="281" t="str">
        <f>IF(OR(UNJC0030_H_EDA_FLG=FALSE,UNJC0030_B_SAISHU_BASHO=0),"",UNJC0030_B_SAISHU_BASHO)</f>
        <v/>
      </c>
      <c r="DQ2" s="281" t="str">
        <f>IF(OR(UNJC0030_H_EDA_FLG=FALSE,UNJC0030_B_TENKO=0),"",UNJC0030_B_TENKO)</f>
        <v/>
      </c>
      <c r="DR2" s="281" t="str">
        <f>IF(OR(UNJC0030_H_EDA_FLG=FALSE,UNJC0030_B_KION=0),"",UNJC0030_B_KION)</f>
        <v/>
      </c>
      <c r="DS2" s="281" t="str">
        <f>IF(OR(UNJC0030_H_EDA_FLG=FALSE,UNJC0030_B_SUION=0),"",UNJC0030_B_SUION)</f>
        <v/>
      </c>
      <c r="DT2" s="107" t="str">
        <f>IF(OR(UNJC0030_H_EDA_FLG=FALSE,UNJC0030_B_SAISHU_DATE=0),"",UNJC0030_B_SAISHU_DATE)</f>
        <v/>
      </c>
      <c r="DU2" s="900" t="str">
        <f>IF(OR(UNJC0030_H_EDA_FLG=FALSE,UNJC0030_B_SAISHU_TIME=0),"",TEXT(UNJC0030_B_SAISHU_TIME,"hh:mm"))</f>
        <v/>
      </c>
      <c r="DV2" s="281" t="str">
        <f>IF(UNJC0030_B_SHIRYO_SHURUI=0,"",UNJC0030_B_SHIRYO_SHURUI)</f>
        <v/>
      </c>
      <c r="DW2" s="281" t="str">
        <f>IF(UNJC0030_B_SHIRYO_MEI=0,"",UNJC0030_B_SHIRYO_MEI)</f>
        <v/>
      </c>
      <c r="DX2" s="281" t="str">
        <f>IF(OR(UNJC0030_B_IKKATSU_1="",UNJC0030_B_SHIRYO_MEI&lt;&gt;"一括記載"),"",UNJC0030_B_IKKATSU_1)</f>
        <v/>
      </c>
      <c r="DY2" s="281" t="str">
        <f>IF(OR(UNJC0030_B_IKKATSU_2="",UNJC0030_B_SHIRYO_MEI&lt;&gt;"一括記載"),"",UNJC0030_B_IKKATSU_2)</f>
        <v/>
      </c>
      <c r="DZ2" s="281" t="str">
        <f>IF(UNJC0030_B_BUNSEKI_GUN_CD=0,"",UNJC0030_B_BUNSEKI_GUN_CD)</f>
        <v/>
      </c>
      <c r="EA2" s="1233" t="str">
        <f>IF(UNJC0030_B_EBIKO=0,"",UNJC0030_B_EBIKO)</f>
        <v/>
      </c>
      <c r="EB2" s="281" t="str">
        <f ca="1">IF(EC2="","",
IF(OFFSET(UNJC0030_B_LIST_SEQ,ROW()-ROW(UNJC0030_IF_SAVE_LIST_W_USER_ID),0)&gt;0,
OFFSET(UNJC0030_B_LIST_SEQ,ROW()-ROW(UNJC0030_IF_SAVE_LIST_W_USER_ID),0),""))</f>
        <v/>
      </c>
      <c r="EC2" s="281" t="str">
        <f ca="1">IF(OFFSET(UNJC0030_B_GYO,ROW()-ROW(UNJC0030_IF_SAVE_LIST_W_USER_ID),0)="","",OFFSET(UNJC0030_B_GYO,ROW()-ROW(UNJC0030_IF_SAVE_LIST_W_USER_ID),0))</f>
        <v/>
      </c>
      <c r="ED2" s="281" t="str">
        <f ca="1">IF(OFFSET(UNJC0030_B_LIST_BUNSEKI_CD,ROW()-ROW(UNJC0030_IF_SAVE_LIST_W_USER_ID),0)="","",OFFSET(UNJC0030_B_LIST_BUNSEKI_CD,ROW()-ROW(UNJC0030_IF_SAVE_LIST_W_USER_ID),0))</f>
        <v>分析項目群▼</v>
      </c>
      <c r="EE2" s="281" t="str">
        <f ca="1">IF(OFFSET(UNJC0030_B_LIST_BUNSEKI_MEI,ROW()-ROW(UNJC0030_IF_SAVE_LIST_W_USER_ID),0)="","",OFFSET(UNJC0030_B_LIST_BUNSEKI_MEI,ROW()-ROW(UNJC0030_IF_SAVE_LIST_W_USER_ID),0))</f>
        <v/>
      </c>
      <c r="EF2" s="281" t="str">
        <f ca="1">IF(OFFSET(UNJC0030_B_LIST_TANI,ROW()-ROW(UNJC0030_IF_SAVE_LIST_W_USER_ID),0)="","",OFFSET(UNJC0030_B_LIST_TANI,ROW()-ROW(UNJC0030_IF_SAVE_LIST_W_USER_ID),0))</f>
        <v/>
      </c>
      <c r="EG2" s="281" t="str">
        <f ca="1">IF(OFFSET(UNJC0030_B_LIST_DATA,ROW()-ROW(UNJC0030_IF_SAVE_LIST_W_USER_ID),0)="","",OFFSET(UNJC0030_B_LIST_DATA,ROW()-ROW(UNJC0030_IF_SAVE_LIST_W_USER_ID),0))</f>
        <v/>
      </c>
      <c r="EH2" s="281" t="str">
        <f ca="1">IF(OFFSET(UNJC0030_B_LIST_BUNSEKI_NO,ROW()-ROW(UNJC0030_IF_SAVE_LIST_W_USER_ID),0)="","",OFFSET(UNJC0030_B_LIST_BUNSEKI_NO,ROW()-ROW(UNJC0030_IF_SAVE_LIST_W_USER_ID),0))</f>
        <v/>
      </c>
      <c r="EI2" s="281" t="str">
        <f ca="1">IF(EC2="","",IF(OFFSET(UNJC0030_B_URAGAKI_FLG,ROW()-ROW(UNJC0030_IF_SAVE_LIST_W_USER_ID),0)=TRUE,TRUE,FALSE))</f>
        <v/>
      </c>
      <c r="EJ2" s="281"/>
      <c r="EK2" s="281"/>
      <c r="EL2" s="281"/>
      <c r="EM2" s="281"/>
      <c r="EN2" s="281"/>
      <c r="ES2" s="280" t="s">
        <v>1151</v>
      </c>
      <c r="ET2" s="210" t="s">
        <v>1010</v>
      </c>
      <c r="EU2" s="259"/>
      <c r="EV2" s="207"/>
      <c r="EW2" s="208" t="s">
        <v>1011</v>
      </c>
      <c r="EX2" s="1336"/>
      <c r="EY2" s="1337"/>
      <c r="EZ2" s="208" t="s">
        <v>3550</v>
      </c>
      <c r="FA2" s="889"/>
      <c r="FB2" s="207"/>
      <c r="FC2" s="208"/>
      <c r="FD2" s="207"/>
      <c r="FE2" s="207"/>
      <c r="FF2" s="207"/>
      <c r="FG2" s="207"/>
      <c r="FH2" s="11"/>
      <c r="FI2" s="207"/>
      <c r="FJ2" s="207"/>
      <c r="FK2" s="207"/>
      <c r="FL2" s="207"/>
      <c r="FM2" s="207"/>
      <c r="FN2" s="207"/>
      <c r="FO2" s="207"/>
      <c r="FP2" s="207"/>
      <c r="FQ2" s="207"/>
      <c r="FR2" s="207"/>
      <c r="FV2" s="586"/>
      <c r="FY2" s="502"/>
      <c r="FZ2" s="207"/>
      <c r="GA2" s="207"/>
      <c r="GB2" s="207"/>
      <c r="GC2" s="207"/>
      <c r="GD2" s="207"/>
      <c r="GE2" s="207"/>
      <c r="GF2" s="207"/>
      <c r="GG2" s="207"/>
      <c r="GH2" s="502"/>
      <c r="GI2" s="502"/>
      <c r="GJ2" s="502"/>
      <c r="GK2" s="502"/>
      <c r="GL2" s="502"/>
      <c r="GM2" s="502"/>
      <c r="GN2" s="1240"/>
      <c r="GO2" s="1240"/>
      <c r="GP2" s="1240"/>
      <c r="GQ2" s="1240"/>
      <c r="GR2" s="502"/>
      <c r="GS2" s="502"/>
      <c r="GT2" s="207"/>
      <c r="GU2" s="207"/>
      <c r="GW2" s="280" t="s">
        <v>1152</v>
      </c>
      <c r="GX2" s="172">
        <f>ROW()-ROW(UNJC0030_B_GYO)</f>
        <v>-43</v>
      </c>
      <c r="GY2" s="259"/>
      <c r="GZ2" s="1169"/>
      <c r="HA2" s="509"/>
      <c r="HB2" s="1403"/>
      <c r="HC2" s="1403"/>
      <c r="HD2" s="1403"/>
      <c r="HE2" s="1403"/>
      <c r="HF2" s="1403"/>
      <c r="HG2" s="1403"/>
      <c r="HH2" s="10"/>
      <c r="HI2" s="10"/>
      <c r="HJ2" s="10"/>
      <c r="HK2" s="10"/>
      <c r="HL2" s="10"/>
      <c r="HM2" s="10"/>
      <c r="HN2" s="10"/>
      <c r="HO2" s="10"/>
      <c r="HY2" s="273" t="s">
        <v>1153</v>
      </c>
      <c r="IZ2" s="280"/>
      <c r="JW2" s="280" t="s">
        <v>3630</v>
      </c>
      <c r="JX2" s="280" t="s">
        <v>4467</v>
      </c>
      <c r="JZ2" s="280"/>
      <c r="KI2" s="278" t="s">
        <v>1825</v>
      </c>
      <c r="KJ2" s="278" t="s">
        <v>2204</v>
      </c>
      <c r="KK2" s="681"/>
      <c r="KL2" s="681"/>
      <c r="KM2" s="681"/>
      <c r="KN2" s="681"/>
      <c r="KO2" s="681"/>
      <c r="KP2" s="681"/>
      <c r="KQ2" s="681"/>
      <c r="KR2" s="961"/>
      <c r="KS2" s="961"/>
      <c r="KT2" s="681"/>
      <c r="KU2" s="899"/>
      <c r="KV2" s="681"/>
      <c r="KW2" s="681"/>
      <c r="KX2" s="681"/>
      <c r="KY2" s="681"/>
      <c r="KZ2" s="681"/>
      <c r="LA2" s="681"/>
      <c r="LB2" s="961"/>
      <c r="LC2" s="681"/>
      <c r="LD2" s="681"/>
      <c r="LE2" s="681"/>
      <c r="LF2" s="681"/>
      <c r="LG2" s="961"/>
      <c r="LH2" s="961"/>
    </row>
    <row r="3" spans="1:320" ht="18.75">
      <c r="C3" s="239" t="s">
        <v>103</v>
      </c>
      <c r="K3" s="239" t="s">
        <v>111</v>
      </c>
      <c r="P3" s="231" t="s">
        <v>1687</v>
      </c>
      <c r="Q3" s="231"/>
      <c r="U3" s="278"/>
      <c r="V3" s="278"/>
      <c r="AB3" s="280" t="s">
        <v>1156</v>
      </c>
      <c r="DM3" s="280" t="s">
        <v>520</v>
      </c>
      <c r="EB3" s="280" t="s">
        <v>1157</v>
      </c>
      <c r="ET3" s="210" t="s">
        <v>114</v>
      </c>
      <c r="EU3" s="259"/>
      <c r="EV3" s="214"/>
      <c r="EW3" s="208" t="s">
        <v>116</v>
      </c>
      <c r="EX3" s="204"/>
      <c r="EY3" s="207"/>
      <c r="EZ3" s="208" t="s">
        <v>1013</v>
      </c>
      <c r="FA3" s="31"/>
      <c r="FB3" s="207"/>
      <c r="FC3" s="208"/>
      <c r="FD3" s="207"/>
      <c r="FE3" s="207"/>
      <c r="FF3" s="207"/>
      <c r="FG3" s="207"/>
      <c r="FH3" s="207"/>
      <c r="FI3" s="207"/>
      <c r="FJ3" s="207"/>
      <c r="FK3" s="207"/>
      <c r="FL3" s="207"/>
      <c r="FM3" s="207"/>
      <c r="FN3" s="207"/>
      <c r="FO3" s="207"/>
      <c r="FP3" s="207"/>
      <c r="FQ3" s="207"/>
      <c r="FR3" s="207"/>
      <c r="FV3" s="510"/>
      <c r="FY3" s="208" t="s">
        <v>1090</v>
      </c>
      <c r="FZ3" s="1383"/>
      <c r="GA3" s="1384"/>
      <c r="GB3" s="207"/>
      <c r="GC3" s="207"/>
      <c r="GD3" s="207"/>
      <c r="GE3" s="207"/>
      <c r="GF3" s="207"/>
      <c r="GG3" s="207"/>
      <c r="GH3" s="502"/>
      <c r="GI3" s="502"/>
      <c r="GJ3" s="502"/>
      <c r="GK3" s="502"/>
      <c r="GL3" s="502"/>
      <c r="GM3" s="502"/>
      <c r="GN3" s="1240"/>
      <c r="GO3" s="1240"/>
      <c r="GP3" s="208" t="s">
        <v>1091</v>
      </c>
      <c r="GQ3" s="97"/>
      <c r="GR3" s="502"/>
      <c r="GS3" s="502"/>
      <c r="GT3" s="1231"/>
      <c r="GU3" s="1231"/>
      <c r="GW3" s="280" t="s">
        <v>1158</v>
      </c>
      <c r="GX3" s="172">
        <f>ROW()-ROW(UNJC0030_B_GYO)</f>
        <v>-42</v>
      </c>
      <c r="HS3" s="278" t="s">
        <v>1159</v>
      </c>
      <c r="HT3" s="278" t="s">
        <v>1160</v>
      </c>
      <c r="HU3" s="273">
        <v>0</v>
      </c>
      <c r="HY3" s="267" t="s">
        <v>17</v>
      </c>
      <c r="HZ3" s="23" t="s">
        <v>1114</v>
      </c>
      <c r="IA3" s="267" t="s">
        <v>1115</v>
      </c>
      <c r="IB3" s="267" t="s">
        <v>19</v>
      </c>
      <c r="IC3" s="1381" t="s">
        <v>1116</v>
      </c>
      <c r="ID3" s="1381"/>
      <c r="IE3" s="1381"/>
      <c r="IF3" s="1381"/>
      <c r="IG3" s="1381" t="s">
        <v>1117</v>
      </c>
      <c r="IH3" s="1381"/>
      <c r="II3" s="172" t="s">
        <v>1118</v>
      </c>
      <c r="IJ3" s="172" t="s">
        <v>28</v>
      </c>
      <c r="IK3" s="172" t="s">
        <v>1119</v>
      </c>
      <c r="IL3" s="172" t="s">
        <v>1120</v>
      </c>
      <c r="IM3" s="172" t="s">
        <v>1121</v>
      </c>
      <c r="IN3" s="172" t="s">
        <v>1122</v>
      </c>
      <c r="IO3" s="172" t="s">
        <v>1123</v>
      </c>
      <c r="IY3" s="101" t="s">
        <v>99</v>
      </c>
      <c r="IZ3" s="101" t="s">
        <v>1161</v>
      </c>
      <c r="JB3" s="101" t="s">
        <v>99</v>
      </c>
      <c r="JC3" s="101" t="s">
        <v>1162</v>
      </c>
      <c r="JE3" s="101" t="s">
        <v>99</v>
      </c>
      <c r="JF3" s="101" t="s">
        <v>1163</v>
      </c>
      <c r="JH3" s="101" t="s">
        <v>99</v>
      </c>
      <c r="JI3" s="101" t="s">
        <v>1164</v>
      </c>
      <c r="JK3" s="101" t="s">
        <v>99</v>
      </c>
      <c r="JL3" s="101" t="s">
        <v>1165</v>
      </c>
      <c r="JM3" s="278"/>
      <c r="JN3" s="101" t="s">
        <v>99</v>
      </c>
      <c r="JO3" s="101" t="s">
        <v>130</v>
      </c>
      <c r="JP3" s="278"/>
      <c r="JQ3" s="101" t="s">
        <v>99</v>
      </c>
      <c r="JR3" s="101" t="s">
        <v>1166</v>
      </c>
      <c r="JS3" s="278"/>
      <c r="JT3" s="101" t="s">
        <v>99</v>
      </c>
      <c r="JU3" s="101" t="s">
        <v>1167</v>
      </c>
      <c r="JW3" s="1200" t="s">
        <v>99</v>
      </c>
      <c r="JX3" s="1200" t="s">
        <v>3625</v>
      </c>
      <c r="JZ3" s="1207" t="s">
        <v>99</v>
      </c>
      <c r="KA3" s="1207" t="s">
        <v>4488</v>
      </c>
      <c r="KB3" s="44"/>
      <c r="KF3" s="280" t="s">
        <v>1168</v>
      </c>
      <c r="KG3" s="280" t="s">
        <v>1169</v>
      </c>
      <c r="KH3" s="281"/>
      <c r="KK3" s="3" t="s">
        <v>1170</v>
      </c>
      <c r="KL3" s="3" t="s">
        <v>1171</v>
      </c>
      <c r="KM3" s="3" t="s">
        <v>1172</v>
      </c>
      <c r="KN3" s="3" t="s">
        <v>1173</v>
      </c>
      <c r="KO3" s="3" t="s">
        <v>1174</v>
      </c>
      <c r="KP3" s="3" t="s">
        <v>1175</v>
      </c>
      <c r="KQ3" s="3" t="s">
        <v>1176</v>
      </c>
      <c r="KR3" s="962" t="s">
        <v>1177</v>
      </c>
      <c r="KS3" s="962" t="s">
        <v>1178</v>
      </c>
      <c r="KT3" s="3" t="s">
        <v>1179</v>
      </c>
      <c r="KU3" s="3" t="s">
        <v>1180</v>
      </c>
      <c r="KV3" s="3" t="s">
        <v>1181</v>
      </c>
      <c r="KW3" s="3" t="s">
        <v>1182</v>
      </c>
      <c r="KX3" s="3" t="s">
        <v>1183</v>
      </c>
      <c r="KY3" s="3" t="s">
        <v>1184</v>
      </c>
      <c r="KZ3" s="3" t="s">
        <v>4545</v>
      </c>
      <c r="LA3" s="3" t="s">
        <v>4546</v>
      </c>
      <c r="LB3" s="3" t="s">
        <v>4547</v>
      </c>
      <c r="LC3" s="3" t="s">
        <v>1185</v>
      </c>
      <c r="LD3" s="3" t="s">
        <v>1186</v>
      </c>
      <c r="LE3" s="3" t="s">
        <v>1187</v>
      </c>
      <c r="LF3" s="3" t="s">
        <v>1188</v>
      </c>
      <c r="LG3" s="962" t="s">
        <v>1189</v>
      </c>
      <c r="LH3" s="962" t="s">
        <v>1190</v>
      </c>
    </row>
    <row r="4" spans="1:320" ht="18.75">
      <c r="D4" s="280" t="s">
        <v>104</v>
      </c>
      <c r="E4" s="280" t="s">
        <v>1191</v>
      </c>
      <c r="F4" s="281"/>
      <c r="G4" s="280" t="s">
        <v>105</v>
      </c>
      <c r="H4" s="280" t="s">
        <v>106</v>
      </c>
      <c r="K4" s="280" t="s">
        <v>1192</v>
      </c>
      <c r="L4" s="280" t="s">
        <v>1193</v>
      </c>
      <c r="M4" s="281"/>
      <c r="P4" s="579" t="s">
        <v>1688</v>
      </c>
      <c r="Q4" s="579"/>
      <c r="U4" s="278"/>
      <c r="V4" s="278"/>
      <c r="W4" s="511" t="s">
        <v>1194</v>
      </c>
      <c r="X4" s="155" t="s">
        <v>358</v>
      </c>
      <c r="Y4" s="155" t="s">
        <v>1195</v>
      </c>
      <c r="Z4" s="155" t="s">
        <v>359</v>
      </c>
      <c r="AA4" s="155" t="s">
        <v>360</v>
      </c>
      <c r="AB4" s="155" t="s">
        <v>266</v>
      </c>
      <c r="AC4" s="106" t="s">
        <v>1196</v>
      </c>
      <c r="AD4" s="106" t="s">
        <v>1165</v>
      </c>
      <c r="AE4" s="106" t="s">
        <v>1197</v>
      </c>
      <c r="AF4" s="155" t="s">
        <v>584</v>
      </c>
      <c r="AG4" s="106" t="s">
        <v>1198</v>
      </c>
      <c r="AH4" s="155" t="s">
        <v>382</v>
      </c>
      <c r="AI4" s="155" t="s">
        <v>275</v>
      </c>
      <c r="AJ4" s="155" t="s">
        <v>1199</v>
      </c>
      <c r="AK4" s="155" t="s">
        <v>1200</v>
      </c>
      <c r="AL4" s="155" t="s">
        <v>271</v>
      </c>
      <c r="AM4" s="155" t="s">
        <v>1201</v>
      </c>
      <c r="AN4" s="155" t="s">
        <v>1202</v>
      </c>
      <c r="AO4" s="155" t="s">
        <v>1203</v>
      </c>
      <c r="AP4" s="155" t="s">
        <v>3579</v>
      </c>
      <c r="AQ4" s="155" t="s">
        <v>349</v>
      </c>
      <c r="AR4" s="155" t="s">
        <v>1204</v>
      </c>
      <c r="AS4" s="155" t="s">
        <v>1205</v>
      </c>
      <c r="AT4" s="155" t="s">
        <v>1206</v>
      </c>
      <c r="AU4" s="155" t="s">
        <v>1167</v>
      </c>
      <c r="AV4" s="155" t="s">
        <v>1207</v>
      </c>
      <c r="AW4" s="155" t="s">
        <v>270</v>
      </c>
      <c r="AX4" s="106" t="s">
        <v>267</v>
      </c>
      <c r="AY4" s="155" t="s">
        <v>1208</v>
      </c>
      <c r="AZ4" s="155" t="s">
        <v>1209</v>
      </c>
      <c r="BA4" s="155" t="s">
        <v>1210</v>
      </c>
      <c r="BB4" s="155" t="s">
        <v>1211</v>
      </c>
      <c r="BC4" s="155" t="s">
        <v>1212</v>
      </c>
      <c r="BD4" s="155" t="s">
        <v>1213</v>
      </c>
      <c r="BE4" s="155" t="s">
        <v>1214</v>
      </c>
      <c r="BF4" s="155" t="s">
        <v>1215</v>
      </c>
      <c r="BG4" s="155" t="s">
        <v>1216</v>
      </c>
      <c r="BH4" s="155" t="s">
        <v>1217</v>
      </c>
      <c r="BI4" s="155" t="s">
        <v>1218</v>
      </c>
      <c r="BJ4" s="155" t="s">
        <v>1219</v>
      </c>
      <c r="BK4" s="155" t="s">
        <v>1220</v>
      </c>
      <c r="BL4" s="155" t="s">
        <v>1221</v>
      </c>
      <c r="BM4" s="155" t="s">
        <v>1222</v>
      </c>
      <c r="BN4" s="155" t="s">
        <v>1223</v>
      </c>
      <c r="BO4" s="155" t="s">
        <v>1224</v>
      </c>
      <c r="BP4" s="155" t="s">
        <v>1225</v>
      </c>
      <c r="BQ4" s="155" t="s">
        <v>1226</v>
      </c>
      <c r="BR4" s="155" t="s">
        <v>1227</v>
      </c>
      <c r="BS4" s="155" t="s">
        <v>1228</v>
      </c>
      <c r="BT4" s="155" t="s">
        <v>1229</v>
      </c>
      <c r="BU4" s="155" t="s">
        <v>1230</v>
      </c>
      <c r="BV4" s="155" t="s">
        <v>1231</v>
      </c>
      <c r="BW4" s="155" t="s">
        <v>675</v>
      </c>
      <c r="BX4" s="155" t="s">
        <v>1232</v>
      </c>
      <c r="BY4" s="155" t="s">
        <v>1233</v>
      </c>
      <c r="BZ4" s="155" t="s">
        <v>1234</v>
      </c>
      <c r="CA4" s="155" t="s">
        <v>1235</v>
      </c>
      <c r="CB4" s="155" t="s">
        <v>1236</v>
      </c>
      <c r="CC4" s="155" t="s">
        <v>1237</v>
      </c>
      <c r="CD4" s="155" t="s">
        <v>1238</v>
      </c>
      <c r="CE4" s="155" t="s">
        <v>1239</v>
      </c>
      <c r="CF4" s="155" t="s">
        <v>1240</v>
      </c>
      <c r="CG4" s="155" t="s">
        <v>1241</v>
      </c>
      <c r="CH4" s="155" t="s">
        <v>1242</v>
      </c>
      <c r="CI4" s="155" t="s">
        <v>1243</v>
      </c>
      <c r="CJ4" s="155" t="s">
        <v>1244</v>
      </c>
      <c r="CK4" s="155" t="s">
        <v>1245</v>
      </c>
      <c r="CL4" s="155" t="s">
        <v>1246</v>
      </c>
      <c r="CM4" s="155" t="s">
        <v>1247</v>
      </c>
      <c r="CN4" s="155" t="s">
        <v>1248</v>
      </c>
      <c r="CO4" s="155" t="s">
        <v>1249</v>
      </c>
      <c r="CP4" s="155" t="s">
        <v>1250</v>
      </c>
      <c r="CQ4" s="155" t="s">
        <v>1251</v>
      </c>
      <c r="CR4" s="155" t="s">
        <v>1252</v>
      </c>
      <c r="CS4" s="155" t="s">
        <v>1253</v>
      </c>
      <c r="CT4" s="155" t="s">
        <v>1254</v>
      </c>
      <c r="CU4" s="155" t="s">
        <v>1255</v>
      </c>
      <c r="CV4" s="155" t="s">
        <v>1256</v>
      </c>
      <c r="CW4" s="155" t="s">
        <v>1257</v>
      </c>
      <c r="CX4" s="155" t="s">
        <v>1258</v>
      </c>
      <c r="CY4" s="155" t="s">
        <v>1259</v>
      </c>
      <c r="CZ4" s="155" t="s">
        <v>1260</v>
      </c>
      <c r="DA4" s="155" t="s">
        <v>1261</v>
      </c>
      <c r="DB4" s="155" t="s">
        <v>1262</v>
      </c>
      <c r="DC4" s="155" t="s">
        <v>1263</v>
      </c>
      <c r="DD4" s="155" t="s">
        <v>1264</v>
      </c>
      <c r="DE4" s="155" t="s">
        <v>1265</v>
      </c>
      <c r="DF4" s="155" t="s">
        <v>1266</v>
      </c>
      <c r="DG4" s="155" t="s">
        <v>1267</v>
      </c>
      <c r="DH4" s="155" t="s">
        <v>1268</v>
      </c>
      <c r="DI4" s="155" t="s">
        <v>1269</v>
      </c>
      <c r="DJ4" s="155" t="s">
        <v>1270</v>
      </c>
      <c r="DK4" s="155" t="s">
        <v>1271</v>
      </c>
      <c r="DL4" s="155" t="s">
        <v>4488</v>
      </c>
      <c r="DM4" s="155" t="s">
        <v>1272</v>
      </c>
      <c r="DN4" s="155" t="s">
        <v>1273</v>
      </c>
      <c r="DO4" s="155" t="s">
        <v>1274</v>
      </c>
      <c r="DP4" s="155" t="s">
        <v>1275</v>
      </c>
      <c r="DQ4" s="155" t="s">
        <v>1276</v>
      </c>
      <c r="DR4" s="155" t="s">
        <v>1277</v>
      </c>
      <c r="DS4" s="155" t="s">
        <v>1278</v>
      </c>
      <c r="DT4" s="155" t="s">
        <v>1279</v>
      </c>
      <c r="DU4" s="155" t="s">
        <v>1280</v>
      </c>
      <c r="DV4" s="155" t="s">
        <v>1281</v>
      </c>
      <c r="DW4" s="155" t="s">
        <v>1282</v>
      </c>
      <c r="DX4" s="155" t="s">
        <v>1283</v>
      </c>
      <c r="DY4" s="155" t="s">
        <v>1284</v>
      </c>
      <c r="DZ4" s="155" t="s">
        <v>4538</v>
      </c>
      <c r="EA4" s="1238" t="s">
        <v>4539</v>
      </c>
      <c r="EB4" s="155" t="s">
        <v>1285</v>
      </c>
      <c r="EC4" s="155" t="s">
        <v>367</v>
      </c>
      <c r="ED4" s="155" t="s">
        <v>1286</v>
      </c>
      <c r="EE4" s="155" t="s">
        <v>3580</v>
      </c>
      <c r="EF4" s="155" t="s">
        <v>1287</v>
      </c>
      <c r="EG4" s="155" t="s">
        <v>1288</v>
      </c>
      <c r="EH4" s="155" t="s">
        <v>1289</v>
      </c>
      <c r="EI4" s="155" t="s">
        <v>1290</v>
      </c>
      <c r="EJ4" s="155" t="s">
        <v>375</v>
      </c>
      <c r="EK4" s="155" t="s">
        <v>376</v>
      </c>
      <c r="EL4" s="155" t="s">
        <v>377</v>
      </c>
      <c r="EM4" s="155" t="s">
        <v>378</v>
      </c>
      <c r="EN4" s="155" t="s">
        <v>379</v>
      </c>
      <c r="ET4" s="208" t="s">
        <v>1020</v>
      </c>
      <c r="EU4" s="15"/>
      <c r="EV4" s="207"/>
      <c r="EW4" s="208" t="s">
        <v>1018</v>
      </c>
      <c r="EX4" s="1407"/>
      <c r="EY4" s="1407"/>
      <c r="EZ4" s="207"/>
      <c r="FA4" s="207"/>
      <c r="FB4" s="207"/>
      <c r="FC4" s="207"/>
      <c r="FD4" s="207"/>
      <c r="FE4" s="207"/>
      <c r="FF4" s="207"/>
      <c r="FG4" s="207"/>
      <c r="FH4" s="207"/>
      <c r="FI4" s="207"/>
      <c r="FJ4" s="207"/>
      <c r="FK4" s="207"/>
      <c r="FL4" s="207"/>
      <c r="FM4" s="207"/>
      <c r="FN4" s="207"/>
      <c r="FO4" s="207"/>
      <c r="FP4" s="207"/>
      <c r="FQ4" s="207"/>
      <c r="FR4" s="207"/>
      <c r="FV4" s="510" t="str">
        <f ca="1">IF(UNJC0030_H_BUNSEKI_KBN="","",VLOOKUP(UNJC0030_H_BUNSEKI_KBN,OFFSET(UNJC0030_IF_LIST_BUNSEKI_KBN_START,,,IF(UNJC0030_IF_LIST_BUNSEKI_KBN_KENSU=0,1,UNJC0030_IF_LIST_BUNSEKI_KBN_KENSU),2),2,0))</f>
        <v/>
      </c>
      <c r="FY4" s="208" t="s">
        <v>1092</v>
      </c>
      <c r="FZ4" s="1383"/>
      <c r="GA4" s="1384"/>
      <c r="GB4" s="207"/>
      <c r="GC4" s="207"/>
      <c r="GD4" s="207"/>
      <c r="GE4" s="207"/>
      <c r="GF4" s="207"/>
      <c r="GG4" s="207"/>
      <c r="GH4" s="502"/>
      <c r="GI4" s="502"/>
      <c r="GJ4" s="502"/>
      <c r="GK4" s="502"/>
      <c r="GL4" s="502"/>
      <c r="GM4" s="502"/>
      <c r="GN4" s="1240"/>
      <c r="GO4" s="1240"/>
      <c r="GP4" s="208" t="s">
        <v>1093</v>
      </c>
      <c r="GQ4" s="903"/>
      <c r="GR4" s="502"/>
      <c r="GS4" s="502"/>
      <c r="GT4" s="1231"/>
      <c r="GU4" s="1231"/>
      <c r="HS4" s="278"/>
      <c r="HT4" s="278"/>
      <c r="HU4" s="278"/>
      <c r="HW4" s="278" t="s">
        <v>676</v>
      </c>
      <c r="HX4" s="278" t="s">
        <v>1291</v>
      </c>
      <c r="HY4" s="281"/>
      <c r="IY4" s="101" t="s">
        <v>100</v>
      </c>
      <c r="IZ4" s="102">
        <v>8</v>
      </c>
      <c r="JB4" s="101" t="s">
        <v>100</v>
      </c>
      <c r="JC4" s="102">
        <v>3</v>
      </c>
      <c r="JE4" s="101" t="s">
        <v>100</v>
      </c>
      <c r="JF4" s="102">
        <v>4</v>
      </c>
      <c r="JH4" s="101" t="s">
        <v>100</v>
      </c>
      <c r="JI4" s="102">
        <v>4</v>
      </c>
      <c r="JK4" s="101" t="s">
        <v>100</v>
      </c>
      <c r="JL4" s="102">
        <v>3</v>
      </c>
      <c r="JM4" s="278"/>
      <c r="JN4" s="101" t="s">
        <v>100</v>
      </c>
      <c r="JO4" s="102">
        <v>3</v>
      </c>
      <c r="JP4" s="278"/>
      <c r="JQ4" s="101" t="s">
        <v>100</v>
      </c>
      <c r="JR4" s="102">
        <v>15</v>
      </c>
      <c r="JS4" s="278"/>
      <c r="JT4" s="101" t="s">
        <v>100</v>
      </c>
      <c r="JU4" s="102">
        <v>4</v>
      </c>
      <c r="JW4" s="101" t="s">
        <v>100</v>
      </c>
      <c r="JX4" s="102">
        <v>44</v>
      </c>
      <c r="JZ4" s="101" t="s">
        <v>100</v>
      </c>
      <c r="KA4" s="102">
        <v>4</v>
      </c>
      <c r="KF4" s="280" t="s">
        <v>1292</v>
      </c>
      <c r="KG4" s="278" t="s">
        <v>1293</v>
      </c>
      <c r="KH4" s="281" t="str">
        <f ca="1">"分析受注入力画面" &amp;"_"&amp;TEXT(NOW(),"YYYYMMDD!_hhmmss")</f>
        <v>分析受注入力画面_20170927_151616</v>
      </c>
    </row>
    <row r="5" spans="1:320" ht="18.75">
      <c r="D5" s="280" t="s">
        <v>1294</v>
      </c>
      <c r="E5" s="280" t="s">
        <v>1295</v>
      </c>
      <c r="F5" s="281"/>
      <c r="K5" s="280" t="s">
        <v>110</v>
      </c>
      <c r="L5" s="280" t="s">
        <v>1296</v>
      </c>
      <c r="M5" s="27"/>
      <c r="P5" s="76" t="s">
        <v>1689</v>
      </c>
      <c r="Q5" s="76" t="s">
        <v>1711</v>
      </c>
      <c r="U5" s="280" t="s">
        <v>1297</v>
      </c>
      <c r="V5" s="280" t="s">
        <v>1298</v>
      </c>
      <c r="W5" s="281"/>
      <c r="X5" s="466"/>
      <c r="Y5" s="466"/>
      <c r="Z5" s="466"/>
      <c r="AB5" s="466"/>
      <c r="AC5" s="466"/>
      <c r="AD5" s="466"/>
      <c r="AE5" s="466"/>
      <c r="AF5" s="466"/>
      <c r="AG5" s="466"/>
      <c r="AH5" s="466"/>
      <c r="AI5" s="466"/>
      <c r="AJ5" s="466"/>
      <c r="AK5" s="466"/>
      <c r="AL5" s="466"/>
      <c r="AM5" s="466"/>
      <c r="AN5" s="466"/>
      <c r="AO5" s="466"/>
      <c r="AP5" s="466"/>
      <c r="AQ5" s="466"/>
      <c r="AR5" s="512"/>
      <c r="AS5" s="512"/>
      <c r="AT5" s="512"/>
      <c r="AU5" s="466"/>
      <c r="AV5" s="512"/>
      <c r="AW5" s="512"/>
      <c r="AX5" s="466"/>
      <c r="AY5" s="466"/>
      <c r="AZ5" s="466"/>
      <c r="BA5" s="466"/>
      <c r="BB5" s="466"/>
      <c r="BC5" s="466"/>
      <c r="BD5" s="466"/>
      <c r="BE5" s="466"/>
      <c r="BF5" s="466"/>
      <c r="BG5" s="466"/>
      <c r="BH5" s="466"/>
      <c r="BI5" s="512"/>
      <c r="BJ5" s="513"/>
      <c r="BK5" s="466"/>
      <c r="BL5" s="466"/>
      <c r="BM5" s="466"/>
      <c r="BN5" s="466"/>
      <c r="BO5" s="466"/>
      <c r="BP5" s="466"/>
      <c r="BQ5" s="512"/>
      <c r="BR5" s="466"/>
      <c r="BS5" s="512"/>
      <c r="BT5" s="466"/>
      <c r="BU5" s="512"/>
      <c r="BV5" s="466"/>
      <c r="BW5" s="466"/>
      <c r="BX5" s="466"/>
      <c r="BY5" s="466"/>
      <c r="BZ5" s="466"/>
      <c r="CA5" s="466"/>
      <c r="CB5" s="466"/>
      <c r="CC5" s="466"/>
      <c r="CD5" s="466"/>
      <c r="CE5" s="466"/>
      <c r="CF5" s="466"/>
      <c r="CG5" s="466"/>
      <c r="CH5" s="466"/>
      <c r="CI5" s="466"/>
      <c r="CJ5" s="466"/>
      <c r="CK5" s="466"/>
      <c r="CL5" s="466"/>
      <c r="CM5" s="466"/>
      <c r="CN5" s="466"/>
      <c r="CO5" s="466"/>
      <c r="CP5" s="466"/>
      <c r="CQ5" s="466"/>
      <c r="CR5" s="466"/>
      <c r="CS5" s="466"/>
      <c r="CT5" s="466"/>
      <c r="CU5" s="466"/>
      <c r="CV5" s="466"/>
      <c r="CW5" s="466"/>
      <c r="CX5" s="466"/>
      <c r="CY5" s="466"/>
      <c r="CZ5" s="466"/>
      <c r="DA5" s="466"/>
      <c r="DB5" s="466"/>
      <c r="DC5" s="466"/>
      <c r="DD5" s="466"/>
      <c r="DE5" s="466"/>
      <c r="DF5" s="466"/>
      <c r="DG5" s="466"/>
      <c r="DH5" s="466"/>
      <c r="DI5" s="466"/>
      <c r="DJ5" s="466"/>
      <c r="DK5" s="466"/>
      <c r="DL5" s="466"/>
      <c r="DM5" s="466"/>
      <c r="DO5" s="281" t="s">
        <v>3576</v>
      </c>
      <c r="DP5" s="466"/>
      <c r="DQ5" s="466"/>
      <c r="DR5" s="466"/>
      <c r="DS5" s="466"/>
      <c r="DT5" s="512"/>
      <c r="DU5" s="513"/>
      <c r="DV5" s="466"/>
      <c r="DW5" s="466"/>
      <c r="DX5" s="466"/>
      <c r="DY5" s="466"/>
      <c r="DZ5" s="466"/>
      <c r="EA5" s="1239"/>
      <c r="EF5" s="466"/>
      <c r="EG5" s="466"/>
      <c r="EH5" s="466"/>
      <c r="EI5" s="466"/>
      <c r="EJ5" s="466"/>
      <c r="EK5" s="466"/>
      <c r="EL5" s="466"/>
      <c r="EM5" s="466"/>
      <c r="EN5" s="466"/>
      <c r="ET5" s="207"/>
      <c r="EU5" s="207"/>
      <c r="EV5" s="207"/>
      <c r="EW5" s="207"/>
      <c r="EX5" s="207"/>
      <c r="EY5" s="207"/>
      <c r="EZ5" s="207"/>
      <c r="FA5" s="207"/>
      <c r="FB5" s="207"/>
      <c r="FC5" s="207"/>
      <c r="FD5" s="207"/>
      <c r="FE5" s="207"/>
      <c r="FF5" s="207"/>
      <c r="FG5" s="207"/>
      <c r="FH5" s="207"/>
      <c r="FI5" s="207"/>
      <c r="FJ5" s="207"/>
      <c r="FK5" s="207"/>
      <c r="FL5" s="207"/>
      <c r="FM5" s="207"/>
      <c r="FN5" s="207"/>
      <c r="FO5" s="207"/>
      <c r="FP5" s="207"/>
      <c r="FQ5" s="207"/>
      <c r="FR5" s="207"/>
      <c r="FV5" s="510">
        <f ca="1">IF(UNJC0030_H_BUNSEKI_KBN_CD&lt;&gt;"1",1,
IF(UNJC0030_H_DEMPYO_HAKKO_KBN="",2,
VLOOKUP(UNJC0030_H_DEMPYO_HAKKO_KBN,OFFSET(UNJC0030_IF_LIST_DEMPYO_HAKKO_KBN_START,,,IF(UNJC0030_IF_LIST_DEMPYO_HAKKO_KBN_KENSU=0,1,UNJC0030_IF_LIST_DEMPYO_HAKKO_KBN_KENSU),2),2,0)))</f>
        <v>1</v>
      </c>
      <c r="FY5" s="210" t="s">
        <v>1096</v>
      </c>
      <c r="FZ5" s="514"/>
      <c r="GA5" s="207"/>
      <c r="GB5" s="207"/>
      <c r="GC5" s="207"/>
      <c r="GD5" s="207"/>
      <c r="GE5" s="207"/>
      <c r="GF5" s="207"/>
      <c r="GG5" s="207"/>
      <c r="GH5" s="502"/>
      <c r="GI5" s="502"/>
      <c r="GJ5" s="502"/>
      <c r="GK5" s="502"/>
      <c r="GL5" s="502"/>
      <c r="GM5" s="502"/>
      <c r="GN5" s="1240"/>
      <c r="GO5" s="1240"/>
      <c r="GP5" s="208" t="s">
        <v>1097</v>
      </c>
      <c r="GQ5" s="903"/>
      <c r="GR5" s="502"/>
      <c r="GS5" s="502"/>
      <c r="GT5" s="1231"/>
      <c r="GU5" s="1231"/>
      <c r="HS5" s="278" t="s">
        <v>682</v>
      </c>
      <c r="HT5" s="278" t="s">
        <v>1299</v>
      </c>
      <c r="HU5" s="273">
        <f>IF(UNJC0030_IF_MULTI_SELECT_KENSU+UNJC0030_B_GYO_NO&gt;99,99-UNJC0030_B_GYO_NO,UNJC0030_IF_MULTI_SELECT_KENSU)</f>
        <v>0</v>
      </c>
      <c r="IY5" s="101" t="s">
        <v>1300</v>
      </c>
      <c r="IZ5" s="101" t="s">
        <v>1301</v>
      </c>
      <c r="JB5" s="101" t="s">
        <v>1302</v>
      </c>
      <c r="JC5" s="101" t="s">
        <v>1303</v>
      </c>
      <c r="JE5" s="101" t="s">
        <v>1304</v>
      </c>
      <c r="JF5" s="101" t="s">
        <v>1305</v>
      </c>
      <c r="JH5" s="101" t="s">
        <v>1306</v>
      </c>
      <c r="JI5" s="101" t="s">
        <v>1307</v>
      </c>
      <c r="JK5" s="101" t="s">
        <v>1308</v>
      </c>
      <c r="JL5" s="101" t="s">
        <v>1309</v>
      </c>
      <c r="JM5" s="278"/>
      <c r="JN5" s="101" t="s">
        <v>1310</v>
      </c>
      <c r="JO5" s="101" t="s">
        <v>1311</v>
      </c>
      <c r="JP5" s="278"/>
      <c r="JQ5" s="101" t="s">
        <v>1312</v>
      </c>
      <c r="JR5" s="101" t="s">
        <v>1313</v>
      </c>
      <c r="JS5" s="278"/>
      <c r="JT5" s="101" t="s">
        <v>1314</v>
      </c>
      <c r="JU5" s="101" t="s">
        <v>1315</v>
      </c>
      <c r="JW5" s="101" t="s">
        <v>3627</v>
      </c>
      <c r="JX5" s="101" t="s">
        <v>3626</v>
      </c>
      <c r="JZ5" s="101" t="s">
        <v>4500</v>
      </c>
      <c r="KA5" s="101" t="s">
        <v>4495</v>
      </c>
      <c r="KB5" s="280" t="s">
        <v>4492</v>
      </c>
      <c r="KF5" s="280" t="s">
        <v>125</v>
      </c>
      <c r="KG5" s="280" t="s">
        <v>1316</v>
      </c>
      <c r="KH5" s="281" t="str">
        <f>ADDRESS(ROW(UNJC0030_IF_EXCEL_AREA)+1,COLUMN(UNJC0030_IF_EXCEL_AREA))</f>
        <v>$KK$4</v>
      </c>
    </row>
    <row r="6" spans="1:320" ht="18.75">
      <c r="D6" s="280" t="s">
        <v>1317</v>
      </c>
      <c r="E6" s="280" t="s">
        <v>1318</v>
      </c>
      <c r="F6" s="281">
        <v>1</v>
      </c>
      <c r="K6" s="280" t="s">
        <v>109</v>
      </c>
      <c r="L6" s="280" t="s">
        <v>1319</v>
      </c>
      <c r="M6" s="27">
        <v>0</v>
      </c>
      <c r="P6" s="76" t="s">
        <v>1690</v>
      </c>
      <c r="Q6" s="76" t="str">
        <f>ADDRESS(ROW(UNJC0030_IF_SAVE_CHECK_RESULT),COLUMN(UNJC0030_IF_SAVE_CHECK_RESULT))</f>
        <v>$Q$30</v>
      </c>
      <c r="ET6" s="210" t="s">
        <v>1017</v>
      </c>
      <c r="EU6" s="31"/>
      <c r="EV6" s="1338"/>
      <c r="EW6" s="1339"/>
      <c r="EX6" s="1340"/>
      <c r="EY6" s="207"/>
      <c r="EZ6" s="210" t="s">
        <v>4413</v>
      </c>
      <c r="FA6" s="1197"/>
      <c r="FB6" s="207"/>
      <c r="FC6" s="208" t="s">
        <v>4487</v>
      </c>
      <c r="FD6" s="1404" t="str">
        <f>IFERROR(IF(UNJC0030_H_BUNSEKIHOHO="","",INDEX(UNJC0030_IF_LIST_BUN_SORT_MEI,(SUMPRODUCT((UNJC0030_IF_LIST_BUN_SORT_CODE=UNJC0030_H_BUNSEKIHOHO)*(UNJC0030_IF_LIST_BUN_SORT_SEQ=UNJC0030_H_BUN_SORT_SEQ)*ROW(UNJC0030_IF_LIST_BUN_SORT_CODE)))-ROW(UNJC0030_IF_LIST_BUN_SORT_START)+1)),"")</f>
        <v/>
      </c>
      <c r="FE6" s="1405"/>
      <c r="FF6" s="1406"/>
      <c r="FG6" s="207"/>
      <c r="FH6" s="207"/>
      <c r="FI6" s="207"/>
      <c r="FJ6" s="207"/>
      <c r="FK6" s="207"/>
      <c r="FL6" s="207"/>
      <c r="FM6" s="207"/>
      <c r="FN6" s="207"/>
      <c r="FO6" s="207"/>
      <c r="FP6" s="207"/>
      <c r="FQ6" s="207"/>
      <c r="FR6" s="207"/>
      <c r="FV6" s="510"/>
      <c r="FY6" s="208" t="s">
        <v>1100</v>
      </c>
      <c r="FZ6" s="1330"/>
      <c r="GA6" s="1385"/>
      <c r="GB6" s="1385"/>
      <c r="GC6" s="1385"/>
      <c r="GD6" s="1385"/>
      <c r="GE6" s="1385"/>
      <c r="GF6" s="1385"/>
      <c r="GG6" s="1386"/>
      <c r="GH6" s="502"/>
      <c r="GI6" s="502"/>
      <c r="GJ6" s="502"/>
      <c r="GK6" s="502"/>
      <c r="GL6" s="502"/>
      <c r="GM6" s="502"/>
      <c r="GN6" s="1240"/>
      <c r="GO6" s="1240"/>
      <c r="GP6" s="208" t="s">
        <v>4420</v>
      </c>
      <c r="GQ6" s="1197"/>
      <c r="GR6" s="502"/>
      <c r="GS6" s="502"/>
      <c r="GT6" s="1231"/>
      <c r="GU6" s="1231"/>
      <c r="HS6" s="278" t="s">
        <v>702</v>
      </c>
      <c r="HT6" s="278" t="s">
        <v>1320</v>
      </c>
      <c r="HU6" s="273">
        <f>IF(AND(UNJC0030_B_GYO_NO&lt;99,UNJC0030_IF_MULTI_SELECT_KENSU&gt;0),1,2)</f>
        <v>2</v>
      </c>
      <c r="HV6" s="278" t="s">
        <v>704</v>
      </c>
      <c r="IY6" s="101" t="s">
        <v>101</v>
      </c>
      <c r="IZ6" s="101" t="s">
        <v>1321</v>
      </c>
      <c r="JB6" s="101" t="s">
        <v>101</v>
      </c>
      <c r="JC6" s="101" t="s">
        <v>1321</v>
      </c>
      <c r="JE6" s="101" t="s">
        <v>101</v>
      </c>
      <c r="JF6" s="101" t="s">
        <v>1321</v>
      </c>
      <c r="JH6" s="101" t="s">
        <v>101</v>
      </c>
      <c r="JI6" s="101" t="s">
        <v>1321</v>
      </c>
      <c r="JK6" s="101" t="s">
        <v>101</v>
      </c>
      <c r="JL6" s="101" t="s">
        <v>131</v>
      </c>
      <c r="JM6" s="278"/>
      <c r="JN6" s="101" t="s">
        <v>101</v>
      </c>
      <c r="JO6" s="101" t="s">
        <v>131</v>
      </c>
      <c r="JP6" s="278"/>
      <c r="JQ6" s="101" t="s">
        <v>101</v>
      </c>
      <c r="JR6" s="101" t="s">
        <v>131</v>
      </c>
      <c r="JS6" s="278"/>
      <c r="JT6" s="101" t="s">
        <v>101</v>
      </c>
      <c r="JU6" s="101" t="s">
        <v>131</v>
      </c>
      <c r="JW6" s="101" t="s">
        <v>101</v>
      </c>
      <c r="JX6" s="101" t="s">
        <v>131</v>
      </c>
      <c r="JZ6" s="101" t="s">
        <v>4501</v>
      </c>
      <c r="KA6" s="101" t="s">
        <v>4502</v>
      </c>
      <c r="KB6" s="280" t="s">
        <v>4493</v>
      </c>
      <c r="KF6" s="280" t="s">
        <v>2206</v>
      </c>
      <c r="KG6" s="278" t="s">
        <v>2205</v>
      </c>
      <c r="KH6" s="680" t="str">
        <f ca="1">IF(UNJC0030_IF_EXCEL_CNT=0,"",
"UNJC0030_IF!"&amp;ADDRESS(ROW(INDIRECT(UNJC0030_IF_EXCEL_START)),COLUMN(INDIRECT(UNJC0030_IF_EXCEL_START)))&amp;":" &amp; ADDRESS(ROW(INDIRECT(UNJC0030_IF_EXCEL_START))+UNJC0030_IF_EXCEL_CNT-1,COLUMN(INDIRECT(UNJC0030_IF_EXCEL_START))+COLUMNS(UNJC0030_IF_EXCEL_SHOSHIKI_COPY_MOTO)-1))</f>
        <v/>
      </c>
    </row>
    <row r="7" spans="1:320" ht="18.75">
      <c r="D7" s="280" t="s">
        <v>669</v>
      </c>
      <c r="E7" s="280" t="s">
        <v>1322</v>
      </c>
      <c r="F7" s="281"/>
      <c r="G7" s="280" t="s">
        <v>105</v>
      </c>
      <c r="H7" s="280" t="s">
        <v>1323</v>
      </c>
      <c r="K7" s="280" t="s">
        <v>1324</v>
      </c>
      <c r="L7" s="280" t="s">
        <v>1325</v>
      </c>
      <c r="M7" s="281">
        <v>0</v>
      </c>
      <c r="N7" s="280" t="s">
        <v>1834</v>
      </c>
      <c r="P7" s="579" t="s">
        <v>1691</v>
      </c>
      <c r="Q7" s="579" t="s">
        <v>1692</v>
      </c>
      <c r="ET7" s="210" t="s">
        <v>117</v>
      </c>
      <c r="EU7" s="31"/>
      <c r="EV7" s="1341"/>
      <c r="EW7" s="1342"/>
      <c r="EX7" s="1343"/>
      <c r="EY7" s="207"/>
      <c r="EZ7" s="208" t="s">
        <v>4421</v>
      </c>
      <c r="FA7" s="1197"/>
      <c r="FB7" s="207"/>
      <c r="FC7" s="207"/>
      <c r="FD7" s="207"/>
      <c r="FE7" s="207"/>
      <c r="FF7" s="207"/>
      <c r="FG7" s="207"/>
      <c r="FH7" s="207"/>
      <c r="FI7" s="207"/>
      <c r="FJ7" s="207"/>
      <c r="FK7" s="207"/>
      <c r="FL7" s="207"/>
      <c r="FM7" s="207"/>
      <c r="FN7" s="207"/>
      <c r="FO7" s="207"/>
      <c r="FP7" s="207"/>
      <c r="FQ7" s="207"/>
      <c r="FR7" s="207"/>
      <c r="FV7" s="510" t="str">
        <f ca="1">IF(UNJC0030_H_HOKOKUSHO_KEISHIKI="","",VLOOKUP(UNJC0030_H_HOKOKUSHO_KEISHIKI,OFFSET(UNJC0030_IF_LIST_HOKOKUSHO_KEISHIKI_KBN_START,,,IF(UNJC0030_IF_LIST_HOKOKUSHO_KEISHIKI_KBN_KENSU=0,1,UNJC0030_IF_LIST_HOKOKUSHO_KEISHIKI_KBN_KENSU),2),2,0))</f>
        <v/>
      </c>
      <c r="FY7" s="208"/>
      <c r="FZ7" s="1387"/>
      <c r="GA7" s="1388"/>
      <c r="GB7" s="1388"/>
      <c r="GC7" s="1388"/>
      <c r="GD7" s="1388"/>
      <c r="GE7" s="1388"/>
      <c r="GF7" s="1388"/>
      <c r="GG7" s="1389"/>
      <c r="GH7" s="502"/>
      <c r="GI7" s="502"/>
      <c r="GJ7" s="502"/>
      <c r="GK7" s="502"/>
      <c r="GL7" s="502"/>
      <c r="GM7" s="502"/>
      <c r="GN7" s="1240"/>
      <c r="GO7" s="1240"/>
      <c r="GP7" s="208" t="s">
        <v>1101</v>
      </c>
      <c r="GQ7" s="486"/>
      <c r="GR7" s="502"/>
      <c r="GS7" s="502"/>
      <c r="GT7" s="1231"/>
      <c r="GU7" s="1231"/>
      <c r="HS7" s="278" t="s">
        <v>705</v>
      </c>
      <c r="HT7" s="278" t="s">
        <v>1326</v>
      </c>
      <c r="HU7" s="273">
        <f>UNJC0030_B_GYO_NO+UNJC0030_IF_MULTI_SELECT_TENKAI_KENSU</f>
        <v>0</v>
      </c>
      <c r="IY7" s="103" t="s">
        <v>3101</v>
      </c>
      <c r="IZ7" s="515" t="s">
        <v>3102</v>
      </c>
      <c r="JB7" s="103" t="s">
        <v>3098</v>
      </c>
      <c r="JC7" s="515" t="s">
        <v>1327</v>
      </c>
      <c r="JE7" s="103" t="s">
        <v>3117</v>
      </c>
      <c r="JF7" s="515" t="s">
        <v>3118</v>
      </c>
      <c r="JH7" s="103" t="s">
        <v>3125</v>
      </c>
      <c r="JI7" s="515" t="s">
        <v>3118</v>
      </c>
      <c r="JK7" s="103" t="s">
        <v>3129</v>
      </c>
      <c r="JL7" s="515" t="s">
        <v>3095</v>
      </c>
      <c r="JM7" s="278"/>
      <c r="JN7" s="103" t="s">
        <v>2540</v>
      </c>
      <c r="JO7" s="515" t="s">
        <v>1327</v>
      </c>
      <c r="JP7" s="278"/>
      <c r="JQ7" s="103" t="s">
        <v>3134</v>
      </c>
      <c r="JR7" s="515" t="s">
        <v>3118</v>
      </c>
      <c r="JS7" s="278"/>
      <c r="JT7" s="103" t="s">
        <v>3160</v>
      </c>
      <c r="JU7" s="515" t="s">
        <v>3102</v>
      </c>
      <c r="JW7" s="103" t="s">
        <v>3631</v>
      </c>
      <c r="JX7" s="515" t="s">
        <v>3632</v>
      </c>
      <c r="JZ7" s="101" t="s">
        <v>4509</v>
      </c>
      <c r="KA7" s="101" t="s">
        <v>4511</v>
      </c>
      <c r="KB7" s="280" t="s">
        <v>4494</v>
      </c>
    </row>
    <row r="8" spans="1:320" ht="18.75">
      <c r="P8" s="76" t="s">
        <v>1677</v>
      </c>
      <c r="Q8" s="76" t="s">
        <v>1712</v>
      </c>
      <c r="R8" s="280" t="s">
        <v>3784</v>
      </c>
      <c r="ET8" s="210" t="s">
        <v>4452</v>
      </c>
      <c r="EU8" s="1203"/>
      <c r="EV8" s="1352" t="str">
        <f>IFERROR(IF(UNJC0030_H_BUNSEKIHOHO="","",INDEX(UNJC_BUNSEKI_HOHO_IF_LIST,MATCH(UNJC0030_H_BUNSEKIHOHO,UNJC_BUNSEKI_HOHO_IF_LIST2,0),2)),"")</f>
        <v/>
      </c>
      <c r="EW8" s="1353"/>
      <c r="EX8" s="1353"/>
      <c r="EY8" s="207"/>
      <c r="EZ8" s="210" t="s">
        <v>1023</v>
      </c>
      <c r="FA8" s="72"/>
      <c r="FB8" s="207"/>
      <c r="FC8" s="207"/>
      <c r="FD8" s="207"/>
      <c r="FE8" s="207"/>
      <c r="FF8" s="207"/>
      <c r="FG8" s="207"/>
      <c r="FH8" s="207"/>
      <c r="FI8" s="207"/>
      <c r="FJ8" s="207"/>
      <c r="FK8" s="207"/>
      <c r="FL8" s="207"/>
      <c r="FM8" s="207"/>
      <c r="FN8" s="207"/>
      <c r="FO8" s="207"/>
      <c r="FP8" s="207"/>
      <c r="FQ8" s="207"/>
      <c r="FR8" s="207"/>
      <c r="FV8" s="510" t="str">
        <f ca="1">IF(UNJC0030_H_SOKUHO_KBN="","",VLOOKUP(UNJC0030_H_SOKUHO_KBN,OFFSET(UNJC0030_IF_LIST_SOKUHO_KBN_START,,,IF(UNJC0030_IF_LIST_SOKUHO_KBN_KENSU=0,1,UNJC0030_IF_LIST_SOKUHO_KBN_KENSU),2),2,0))</f>
        <v/>
      </c>
      <c r="FY8" s="12"/>
      <c r="FZ8" s="12"/>
      <c r="GA8" s="12"/>
      <c r="GB8" s="12"/>
      <c r="GC8" s="12"/>
      <c r="GD8" s="12"/>
      <c r="GE8" s="12"/>
      <c r="GF8" s="12"/>
      <c r="GG8" s="12"/>
      <c r="GH8" s="502"/>
      <c r="GI8" s="502"/>
      <c r="GJ8" s="502"/>
      <c r="GK8" s="502"/>
      <c r="GL8" s="502"/>
      <c r="GM8" s="502"/>
      <c r="GN8" s="1240"/>
      <c r="GO8" s="1240"/>
      <c r="GP8" s="1240"/>
      <c r="GQ8" s="1240"/>
      <c r="GR8" s="502"/>
      <c r="GS8" s="502"/>
      <c r="GT8" s="12"/>
      <c r="GU8" s="207"/>
      <c r="HS8" s="278"/>
      <c r="HT8" s="278"/>
      <c r="HU8" s="278"/>
      <c r="IY8" s="280" t="s">
        <v>3103</v>
      </c>
      <c r="IZ8" s="515" t="s">
        <v>3104</v>
      </c>
      <c r="JB8" s="280" t="s">
        <v>3099</v>
      </c>
      <c r="JC8" s="515" t="s">
        <v>1329</v>
      </c>
      <c r="JE8" s="280" t="s">
        <v>3119</v>
      </c>
      <c r="JF8" s="515" t="s">
        <v>3120</v>
      </c>
      <c r="JH8" s="280" t="s">
        <v>3126</v>
      </c>
      <c r="JI8" s="515" t="s">
        <v>3120</v>
      </c>
      <c r="JK8" s="280" t="s">
        <v>3130</v>
      </c>
      <c r="JL8" s="515" t="s">
        <v>3096</v>
      </c>
      <c r="JN8" s="280" t="s">
        <v>3132</v>
      </c>
      <c r="JO8" s="515" t="s">
        <v>1329</v>
      </c>
      <c r="JQ8" s="280" t="s">
        <v>3135</v>
      </c>
      <c r="JR8" s="515" t="s">
        <v>3120</v>
      </c>
      <c r="JT8" s="280" t="s">
        <v>3161</v>
      </c>
      <c r="JU8" s="515" t="s">
        <v>3104</v>
      </c>
      <c r="JW8" s="280" t="s">
        <v>3633</v>
      </c>
      <c r="JX8" s="505" t="s">
        <v>3634</v>
      </c>
      <c r="JZ8" s="101" t="s">
        <v>4510</v>
      </c>
      <c r="KA8" s="101" t="s">
        <v>4512</v>
      </c>
      <c r="KB8" s="280" t="s">
        <v>4508</v>
      </c>
    </row>
    <row r="9" spans="1:320" ht="16.5">
      <c r="D9" s="280" t="s">
        <v>2209</v>
      </c>
      <c r="E9" s="280" t="s">
        <v>2213</v>
      </c>
      <c r="F9" s="281"/>
      <c r="K9" s="280" t="s">
        <v>1330</v>
      </c>
      <c r="L9" s="280" t="s">
        <v>1331</v>
      </c>
      <c r="M9" s="281"/>
      <c r="N9" s="280" t="s">
        <v>1332</v>
      </c>
      <c r="P9" s="76" t="s">
        <v>1693</v>
      </c>
      <c r="Q9" s="584" t="str">
        <f ca="1">"UNJC0030_H_STS,UNJC0030_H_BUNSEKI_TANTO_BUSHO,UNJC0030_H_NYURYOKUSHA_MEI,UNJC0030_H_ATENA_MEI,UNJC0030_H_SEIKYUSAKI_CD,UNJC0030_H_BUNSEKIHOHO,"&amp;
"UNJC0030_H_HOKOKUSHO_KEISHIKI,UNJC0030_H_IRAI_DATE,UNJC0030_H_HOKOKU_KANSEI_DATE,UNJC0030_H_SOKUHO_KBN,UNJC0030_H_KENMEI,UNJC0030_H_MOKUTEKI,"&amp;
IF(UNJC0030_H_EDA_FLG=FALSE,"UNJC0030_H_SAISHU_HOHO,","")&amp;
"UNJC0030_H_YOKI_HENKYAKU,UNJC0030_H_BUSU,UNJC0030_H_HOKOKU_HOHO,UNJC0030_H_HOKOKU_MEI_1"&amp;
IF(UNJC0030_H_SOKUHO_KBN_CD="2",",UNJC0030_H_HOKOKU_TEL_1","")&amp;
IF(UNJC0030_H_SOKUHO_KBN_CD="3",",UNJC0030_H_HOKOKU_FAX_1","")&amp;
IF(UNJC0030_H_SOKUHO_KBN_CD="4",",UNJC0030_H_HOKOKU_MAIL_1","")</f>
        <v>UNJC0030_H_STS,UNJC0030_H_BUNSEKI_TANTO_BUSHO,UNJC0030_H_NYURYOKUSHA_MEI,UNJC0030_H_ATENA_MEI,UNJC0030_H_SEIKYUSAKI_CD,UNJC0030_H_BUNSEKIHOHO,UNJC0030_H_HOKOKUSHO_KEISHIKI,UNJC0030_H_IRAI_DATE,UNJC0030_H_HOKOKU_KANSEI_DATE,UNJC0030_H_SOKUHO_KBN,UNJC0030_H_KENMEI,UNJC0030_H_MOKUTEKI,UNJC0030_H_SAISHU_HOHO,UNJC0030_H_YOKI_HENKYAKU,UNJC0030_H_BUSU,UNJC0030_H_HOKOKU_HOHO,UNJC0030_H_HOKOKU_MEI_1</v>
      </c>
      <c r="R9" s="584" t="str">
        <f ca="1">"UNJC0030_H_STS,UNJC0030_H_BUNSEKI_TANTO_BUSHO,UNJC0030_H_NYURYOKUSHA_MEI,UNJC0030_H_ATENA_MEI,UNJC0030_H_SEIKYUSAKI_CD,UNJC0030_H_BUNSEKIHOHO,"&amp;
"UNJC0030_H_HOKOKUSHO_KEISHIKI,UNJC0030_H_IRAI_DATE,UNJC0030_H_HOKOKU_KANSEI_DATE,UNJC0030_H_SOKUHO_KBN,UNJC0030_H_KENMEI,UNJC0030_H_MOKUTEKI,"&amp;
IF(UNJC0030_H_EDA_FLG=FALSE,"UNJC0030_H_SAISHU_HOHO,","")&amp;
"UNJC0030_H_YOKI_HENKYAKU,UNJC0030_H_BUSU,UNJC0030_H_HOKOKU_HOHO,UNJC0030_H_HOKOKU_MEI_1"&amp;
IF(UNJC0030_H_SOKUHO_KBN_CD="2",",UNJC0030_H_HOKOKU_TEL_1","")&amp;
IF(UNJC0030_H_SOKUHO_KBN_CD="3",",UNJC0030_H_HOKOKU_FAX_1","")&amp;
IF(UNJC0030_H_SOKUHO_KBN_CD="4",",UNJC0030_H_HOKOKU_MAIL_1","")</f>
        <v>UNJC0030_H_STS,UNJC0030_H_BUNSEKI_TANTO_BUSHO,UNJC0030_H_NYURYOKUSHA_MEI,UNJC0030_H_ATENA_MEI,UNJC0030_H_SEIKYUSAKI_CD,UNJC0030_H_BUNSEKIHOHO,UNJC0030_H_HOKOKUSHO_KEISHIKI,UNJC0030_H_IRAI_DATE,UNJC0030_H_HOKOKU_KANSEI_DATE,UNJC0030_H_SOKUHO_KBN,UNJC0030_H_KENMEI,UNJC0030_H_MOKUTEKI,UNJC0030_H_SAISHU_HOHO,UNJC0030_H_YOKI_HENKYAKU,UNJC0030_H_BUSU,UNJC0030_H_HOKOKU_HOHO,UNJC0030_H_HOKOKU_MEI_1</v>
      </c>
      <c r="ET9" s="210" t="s">
        <v>1328</v>
      </c>
      <c r="EU9" s="755"/>
      <c r="EV9" s="207"/>
      <c r="EW9" s="207"/>
      <c r="EX9" s="207"/>
      <c r="EY9" s="207"/>
      <c r="EZ9" s="210" t="s">
        <v>1027</v>
      </c>
      <c r="FA9" s="204"/>
      <c r="FB9" s="207"/>
      <c r="FC9" s="207"/>
      <c r="FD9" s="207"/>
      <c r="FE9" s="207"/>
      <c r="FF9" s="207"/>
      <c r="FG9" s="207"/>
      <c r="FH9" s="207"/>
      <c r="FI9" s="207"/>
      <c r="FJ9" s="207"/>
      <c r="FK9" s="207"/>
      <c r="FL9" s="207"/>
      <c r="FM9" s="207"/>
      <c r="FN9" s="207"/>
      <c r="FO9" s="207"/>
      <c r="FP9" s="207"/>
      <c r="FQ9" s="207"/>
      <c r="FR9" s="207"/>
      <c r="FV9" s="510" t="str">
        <f ca="1">IF(UNJC0030_H_HOKOKU_GAISO="","",VLOOKUP(UNJC0030_H_HOKOKU_GAISO,OFFSET(UNJC0030_IF_LIST_HOKOKU_GAISO_KBN_START,,,IF(UNJC0030_IF_LIST_HOKOKU_GAISO_KBN_KENSU=0,1,UNJC0030_IF_LIST_HOKOKU_GAISO_KBN_KENSU),2),2,0))</f>
        <v/>
      </c>
      <c r="FY9" s="208" t="s">
        <v>1104</v>
      </c>
      <c r="FZ9" s="478"/>
      <c r="GA9" s="208" t="s">
        <v>793</v>
      </c>
      <c r="GB9" s="1390"/>
      <c r="GC9" s="1391"/>
      <c r="GD9" s="1391"/>
      <c r="GE9" s="1391"/>
      <c r="GF9" s="1391"/>
      <c r="GG9" s="1392"/>
      <c r="GH9" s="207"/>
      <c r="GI9" s="207"/>
      <c r="GJ9" s="207"/>
      <c r="GK9" s="207"/>
      <c r="GL9" s="207"/>
      <c r="GM9" s="207"/>
      <c r="GN9" s="1235"/>
      <c r="GO9" s="1235"/>
      <c r="GP9" s="1235"/>
      <c r="GQ9" s="1235"/>
      <c r="GR9" s="207"/>
      <c r="GS9" s="207"/>
      <c r="GT9" s="207"/>
      <c r="GU9" s="207"/>
      <c r="HS9" s="278" t="s">
        <v>684</v>
      </c>
      <c r="HT9" s="278" t="s">
        <v>1334</v>
      </c>
      <c r="HU9" s="273" t="str">
        <f>"UNJC0030_IF!"&amp;
ADDRESS(ROW(UNJC0030_IF_MULTI_SELECT_TENKAI_START),COLUMN(UNJC0030_IF_MULTI_SELECT_LIST_GYO))
&amp;":"&amp;ADDRESS(ROW(UNJC0030_IF_MULTI_SELECT_TENKAI_START)+UNJC0030_IF_MULTI_SELECT_TENKAI_KENSU-1,COLUMN(UNJC0030_IF_MULTI_SELECT_LIST_GYO)+COLUMNS(UNJC0030_IF_GYO_COPY_MOTO)-1)</f>
        <v>UNJC0030_IF!$HY$4:$IP$3</v>
      </c>
      <c r="IY9" s="280" t="s">
        <v>3105</v>
      </c>
      <c r="IZ9" s="505" t="s">
        <v>3106</v>
      </c>
      <c r="JB9" s="280" t="s">
        <v>3100</v>
      </c>
      <c r="JC9" s="505" t="s">
        <v>1335</v>
      </c>
      <c r="JE9" s="280" t="s">
        <v>3121</v>
      </c>
      <c r="JF9" s="505" t="s">
        <v>3122</v>
      </c>
      <c r="JH9" s="280" t="s">
        <v>3127</v>
      </c>
      <c r="JI9" s="505" t="s">
        <v>3122</v>
      </c>
      <c r="JK9" s="280" t="s">
        <v>3131</v>
      </c>
      <c r="JL9" s="505" t="s">
        <v>3097</v>
      </c>
      <c r="JN9" s="280" t="s">
        <v>3133</v>
      </c>
      <c r="JO9" s="505" t="s">
        <v>1335</v>
      </c>
      <c r="JQ9" s="280" t="s">
        <v>3136</v>
      </c>
      <c r="JR9" s="505" t="s">
        <v>3122</v>
      </c>
      <c r="JT9" s="280" t="s">
        <v>3162</v>
      </c>
      <c r="JU9" s="505" t="s">
        <v>3106</v>
      </c>
      <c r="JW9" s="280" t="s">
        <v>3635</v>
      </c>
      <c r="JX9" s="515" t="s">
        <v>3636</v>
      </c>
      <c r="JZ9" s="101" t="s">
        <v>4492</v>
      </c>
      <c r="KA9" s="101" t="s">
        <v>4493</v>
      </c>
      <c r="KB9" s="101" t="s">
        <v>4494</v>
      </c>
      <c r="KC9" s="101" t="s">
        <v>4507</v>
      </c>
    </row>
    <row r="10" spans="1:320" ht="16.5">
      <c r="D10" s="280" t="s">
        <v>2215</v>
      </c>
      <c r="E10" s="280" t="s">
        <v>2216</v>
      </c>
      <c r="F10" s="281">
        <f>IF(AND(UNJC0030_IF_EDA&gt;1,UNJC0030_IF_EDA&gt;=UNJC0030_IF_EDA_MAX),1,2)</f>
        <v>2</v>
      </c>
      <c r="G10" s="280" t="s">
        <v>2217</v>
      </c>
      <c r="P10" s="76" t="s">
        <v>1694</v>
      </c>
      <c r="Q10" s="580" t="str">
        <f ca="1">"ステータス,分析担当部署名,入力者名,報告書宛名,請求先,分析方法,報告書形式,依頼日/受付日,報告書完成日/速報日,速報,件名,目的,"&amp;
IF(UNJC0030_H_EDA_FLG=FALSE,"採取方法,","")&amp;
"試料・容器返却,発行部数,報告方法,報告先名"&amp;
IF(UNJC0030_H_SOKUHO_KBN_CD="2",",報告先TEL","")&amp;
IF(UNJC0030_H_SOKUHO_KBN_CD="3",",報告先FAX","")&amp;
IF(UNJC0030_H_SOKUHO_KBN_CD="4",",報告先MAIL","")</f>
        <v>ステータス,分析担当部署名,入力者名,報告書宛名,請求先,分析方法,報告書形式,依頼日/受付日,報告書完成日/速報日,速報,件名,目的,採取方法,試料・容器返却,発行部数,報告方法,報告先名</v>
      </c>
      <c r="ET10" s="208" t="s">
        <v>1333</v>
      </c>
      <c r="EU10" s="478"/>
      <c r="EV10" s="207"/>
      <c r="EW10" s="208" t="s">
        <v>118</v>
      </c>
      <c r="EX10" s="1201"/>
      <c r="EY10" s="207"/>
      <c r="EZ10" s="208" t="s">
        <v>4415</v>
      </c>
      <c r="FA10" s="1197"/>
      <c r="FB10" s="207"/>
      <c r="FC10" s="207"/>
      <c r="FD10" s="207"/>
      <c r="FE10" s="207"/>
      <c r="FF10" s="207"/>
      <c r="FG10" s="207"/>
      <c r="FH10" s="207"/>
      <c r="FI10" s="207"/>
      <c r="FJ10" s="207"/>
      <c r="FK10" s="207"/>
      <c r="FL10" s="207"/>
      <c r="FM10" s="207"/>
      <c r="FN10" s="207"/>
      <c r="FO10" s="207"/>
      <c r="FP10" s="207"/>
      <c r="FQ10" s="207"/>
      <c r="FR10" s="207"/>
      <c r="FV10" s="510" t="str">
        <f ca="1">IF(UNJC0030_H_HOKOKU_HOHO="","",VLOOKUP(UNJC0030_H_HOKOKU_HOHO,OFFSET(UNJC0030_IF_LIST_HOKOKU_HOHO_KBN_START,,,IF(UNJC0030_IF_LIST_HOKOKU_HOHO_KBN_KENSU=0,1,UNJC0030_IF_LIST_HOKOKU_HOHO_KBN_KENSU),2),2,0))</f>
        <v/>
      </c>
      <c r="FY10" s="12"/>
      <c r="FZ10" s="12"/>
      <c r="GA10" s="208" t="str">
        <f>IF(UNJC0030_B_IKKATSU_FLG=TRUE,"一括記載：","")</f>
        <v/>
      </c>
      <c r="GB10" s="504">
        <v>1</v>
      </c>
      <c r="GC10" s="1393" t="str">
        <f>IF(UNJC0030_B_IKKATSU_FLG=TRUE,"試料・単位","")</f>
        <v/>
      </c>
      <c r="GD10" s="1393"/>
      <c r="GE10" s="292" t="str">
        <f>IF(UNJC0030_B_IKKATSU_FLG=TRUE,"×","")</f>
        <v/>
      </c>
      <c r="GF10" s="504">
        <v>1</v>
      </c>
      <c r="GG10" s="83" t="str">
        <f>IF(UNJC0030_B_IKKATSU_FLG=TRUE,"ヶ所・点　＝","")</f>
        <v/>
      </c>
      <c r="GH10" s="207"/>
      <c r="GI10" s="207"/>
      <c r="GJ10" s="207"/>
      <c r="GK10" s="207"/>
      <c r="GL10" s="207"/>
      <c r="GM10" s="1235"/>
      <c r="GN10" s="1235"/>
      <c r="GO10" s="1235"/>
      <c r="GP10" s="1235"/>
      <c r="GQ10" s="1235"/>
      <c r="GR10" s="1235"/>
      <c r="GS10" s="1235"/>
      <c r="GT10" s="1235"/>
      <c r="GU10" s="1235"/>
      <c r="HS10" s="278" t="s">
        <v>685</v>
      </c>
      <c r="HT10" s="278" t="s">
        <v>1336</v>
      </c>
      <c r="HU10" s="273" t="str">
        <f>"UNJC0030_IF!"&amp;
ADDRESS(ROW(UNJC0030_IF_MULTI_SELECT_TENKAI_START),COLUMN(UNJC0030_IF_MULTI_SELECT_LIST_GYO))
&amp;":"&amp;ADDRESS(ROW(UNJC0030_IF_MULTI_SELECT_TENKAI_START)+UNJC0030_IF_MULTI_SELECT_TENKAI_KENSU-1,COLUMN(UNJC0030_IF_MULTI_SELECT_LIST_GYO)+COLUMNS(UNJC0030_IF_GYO_SUSHIKI_COPY_MOTO)-1)</f>
        <v>UNJC0030_IF!$HY$4:$HY$3</v>
      </c>
      <c r="IY10" s="280" t="s">
        <v>3107</v>
      </c>
      <c r="IZ10" s="515" t="s">
        <v>3108</v>
      </c>
      <c r="JC10" s="505"/>
      <c r="JE10" s="280" t="s">
        <v>3123</v>
      </c>
      <c r="JF10" s="505" t="s">
        <v>3124</v>
      </c>
      <c r="JH10" s="280" t="s">
        <v>3128</v>
      </c>
      <c r="JI10" s="505" t="s">
        <v>3124</v>
      </c>
      <c r="JL10" s="505"/>
      <c r="JO10" s="505"/>
      <c r="JQ10" s="280" t="s">
        <v>3137</v>
      </c>
      <c r="JR10" s="505" t="s">
        <v>3124</v>
      </c>
      <c r="JT10" s="280" t="s">
        <v>3163</v>
      </c>
      <c r="JU10" s="505" t="s">
        <v>3108</v>
      </c>
      <c r="JW10" s="280" t="s">
        <v>3637</v>
      </c>
      <c r="JX10" s="505" t="s">
        <v>3638</v>
      </c>
      <c r="JZ10" s="1208" t="s">
        <v>4503</v>
      </c>
      <c r="KA10" s="281">
        <v>1</v>
      </c>
      <c r="KB10" s="281" t="s">
        <v>4496</v>
      </c>
      <c r="KC10" s="281" t="b">
        <v>0</v>
      </c>
    </row>
    <row r="11" spans="1:320" ht="16.5">
      <c r="K11" s="280" t="s">
        <v>2207</v>
      </c>
      <c r="L11" s="280" t="s">
        <v>2208</v>
      </c>
      <c r="M11" s="281">
        <f>IF(UNJC0030_IF_MODE=0,2,1)</f>
        <v>2</v>
      </c>
      <c r="P11" s="1459" t="s">
        <v>1695</v>
      </c>
      <c r="Q11" s="1459"/>
      <c r="ET11" s="208" t="s">
        <v>3578</v>
      </c>
      <c r="EU11" s="951"/>
      <c r="EV11" s="207"/>
      <c r="EW11" s="207"/>
      <c r="EX11" s="207"/>
      <c r="EY11" s="207"/>
      <c r="EZ11" s="208" t="s">
        <v>4422</v>
      </c>
      <c r="FA11" s="1197"/>
      <c r="FB11" s="207"/>
      <c r="FC11" s="207"/>
      <c r="FD11" s="207"/>
      <c r="FE11" s="207"/>
      <c r="FF11" s="207"/>
      <c r="FG11" s="207"/>
      <c r="FH11" s="207"/>
      <c r="FI11" s="207"/>
      <c r="FJ11" s="207"/>
      <c r="FK11" s="207"/>
      <c r="FL11" s="207"/>
      <c r="FM11" s="207"/>
      <c r="FN11" s="207"/>
      <c r="FO11" s="207"/>
      <c r="FP11" s="207"/>
      <c r="FQ11" s="207"/>
      <c r="FR11" s="207"/>
      <c r="FV11" s="510"/>
      <c r="FY11" s="208" t="s">
        <v>1109</v>
      </c>
      <c r="FZ11" s="31"/>
      <c r="GA11" s="1394"/>
      <c r="GB11" s="1395"/>
      <c r="GC11" s="1395"/>
      <c r="GD11" s="1395"/>
      <c r="GE11" s="1395"/>
      <c r="GF11" s="1395"/>
      <c r="GG11" s="1396"/>
      <c r="GH11" s="207"/>
      <c r="GI11" s="207"/>
      <c r="GJ11" s="207"/>
      <c r="GK11" s="207"/>
      <c r="GL11" s="207"/>
      <c r="GM11" s="1235"/>
      <c r="GN11" s="1235"/>
      <c r="GO11" s="1235"/>
      <c r="GP11" s="1236" t="s">
        <v>4537</v>
      </c>
      <c r="GQ11" s="1375"/>
      <c r="GR11" s="1376"/>
      <c r="GS11" s="1376"/>
      <c r="GT11" s="1376"/>
      <c r="GU11" s="1377"/>
      <c r="HS11" s="278"/>
      <c r="HT11" s="278"/>
      <c r="HU11" s="278"/>
      <c r="IY11" s="280" t="s">
        <v>3109</v>
      </c>
      <c r="IZ11" s="515" t="s">
        <v>3110</v>
      </c>
      <c r="JC11" s="505"/>
      <c r="JF11" s="505"/>
      <c r="JI11" s="505"/>
      <c r="JL11" s="505"/>
      <c r="JO11" s="505"/>
      <c r="JQ11" s="280" t="s">
        <v>3138</v>
      </c>
      <c r="JR11" s="505" t="s">
        <v>3139</v>
      </c>
      <c r="JU11" s="505"/>
      <c r="JW11" s="280" t="s">
        <v>3639</v>
      </c>
      <c r="JX11" s="515" t="s">
        <v>3640</v>
      </c>
      <c r="JZ11" s="505" t="s">
        <v>4503</v>
      </c>
      <c r="KA11" s="280">
        <v>2</v>
      </c>
      <c r="KB11" s="280" t="s">
        <v>4497</v>
      </c>
      <c r="KC11" s="280" t="b">
        <v>1</v>
      </c>
    </row>
    <row r="12" spans="1:320" ht="16.5">
      <c r="C12" s="239" t="s">
        <v>112</v>
      </c>
      <c r="P12" s="581" t="s">
        <v>1677</v>
      </c>
      <c r="Q12" s="581" t="s">
        <v>1711</v>
      </c>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V12" s="231"/>
      <c r="FY12" s="1231"/>
      <c r="FZ12" s="1231"/>
      <c r="GA12" s="1231"/>
      <c r="GB12" s="1231"/>
      <c r="GC12" s="1231"/>
      <c r="GD12" s="1231"/>
      <c r="GE12" s="1231"/>
      <c r="GF12" s="1231"/>
      <c r="GG12" s="1231"/>
      <c r="GH12" s="1231"/>
      <c r="GI12" s="1231"/>
      <c r="GJ12" s="1231"/>
      <c r="GK12" s="1231"/>
      <c r="GL12" s="1231"/>
      <c r="GM12" s="1231"/>
      <c r="GN12" s="1231"/>
      <c r="GO12" s="1231"/>
      <c r="GP12" s="1235"/>
      <c r="GQ12" s="1378"/>
      <c r="GR12" s="1379"/>
      <c r="GS12" s="1379"/>
      <c r="GT12" s="1379"/>
      <c r="GU12" s="1380"/>
      <c r="HS12" s="278" t="s">
        <v>689</v>
      </c>
      <c r="HT12" s="278" t="s">
        <v>1338</v>
      </c>
      <c r="HU12" s="273" t="str">
        <f>"UNJC0030_IF!"&amp;
ADDRESS(ROW(UNJC0030_IF_MULTI_SELECT_TENKAI_START),COLUMN(UNJC0030_IF_MULTI_SELECT_LIST_GYO))
&amp;":"&amp;ADDRESS(ROW(UNJC0030_IF_MULTI_SELECT_TENKAI_START)+UNJC0030_IF_MULTI_SELECT_TENKAI_KENSU-1,COLUMN(UNJC0030_IF_MULTI_SELECT_LIST_GYO)+COLUMNS(UNJC0030_IF_GYO_COPY_MOTO)-1)</f>
        <v>UNJC0030_IF!$HY$4:$IP$3</v>
      </c>
      <c r="IY12" s="280" t="s">
        <v>3111</v>
      </c>
      <c r="IZ12" s="505" t="s">
        <v>3112</v>
      </c>
      <c r="JC12" s="505"/>
      <c r="JF12" s="505"/>
      <c r="JI12" s="505"/>
      <c r="JL12" s="505"/>
      <c r="JO12" s="505"/>
      <c r="JQ12" s="280" t="s">
        <v>3140</v>
      </c>
      <c r="JR12" s="505" t="s">
        <v>3141</v>
      </c>
      <c r="JU12" s="505"/>
      <c r="JW12" s="280" t="s">
        <v>3641</v>
      </c>
      <c r="JX12" s="505" t="s">
        <v>3642</v>
      </c>
      <c r="JZ12" s="505" t="s">
        <v>4504</v>
      </c>
      <c r="KA12" s="280">
        <v>1</v>
      </c>
      <c r="KB12" s="280" t="s">
        <v>4498</v>
      </c>
      <c r="KC12" s="280" t="b">
        <v>1</v>
      </c>
    </row>
    <row r="13" spans="1:320" ht="16.5">
      <c r="D13" s="280" t="s">
        <v>1341</v>
      </c>
      <c r="E13" s="280" t="s">
        <v>1342</v>
      </c>
      <c r="F13" s="281">
        <v>0</v>
      </c>
      <c r="G13" s="280" t="s">
        <v>119</v>
      </c>
      <c r="P13" s="16" t="s">
        <v>1696</v>
      </c>
      <c r="Q13" s="76" t="str">
        <f>ADDRESS(ROW(UNJC0030_IF_SAVE_CHECK_START),COLUMN(UNJC0030_IF_SAVE_CHECK_START))</f>
        <v>$DO$5</v>
      </c>
      <c r="ET13" s="210" t="s">
        <v>1036</v>
      </c>
      <c r="EU13" s="1344"/>
      <c r="EV13" s="1345"/>
      <c r="EW13" s="1345"/>
      <c r="EX13" s="1345"/>
      <c r="EY13" s="1345"/>
      <c r="EZ13" s="1345"/>
      <c r="FA13" s="1346"/>
      <c r="FB13" s="207"/>
      <c r="FC13" s="207"/>
      <c r="FD13" s="207"/>
      <c r="FE13" s="207"/>
      <c r="FF13" s="207"/>
      <c r="FG13" s="207"/>
      <c r="FH13" s="207"/>
      <c r="FI13" s="207"/>
      <c r="FJ13" s="207"/>
      <c r="FK13" s="207"/>
      <c r="FL13" s="207"/>
      <c r="FM13" s="207"/>
      <c r="FN13" s="207"/>
      <c r="FO13" s="207"/>
      <c r="FP13" s="207"/>
      <c r="FQ13" s="207"/>
      <c r="FR13" s="207"/>
      <c r="FV13" s="189" t="b">
        <v>0</v>
      </c>
      <c r="HS13" s="278"/>
      <c r="HT13" s="278"/>
      <c r="HU13" s="278"/>
      <c r="IY13" s="280" t="s">
        <v>3113</v>
      </c>
      <c r="IZ13" s="515" t="s">
        <v>3114</v>
      </c>
      <c r="JC13" s="505"/>
      <c r="JF13" s="505"/>
      <c r="JI13" s="505"/>
      <c r="JL13" s="505"/>
      <c r="JO13" s="505"/>
      <c r="JQ13" s="280" t="s">
        <v>3142</v>
      </c>
      <c r="JR13" s="505" t="s">
        <v>3143</v>
      </c>
      <c r="JU13" s="505"/>
      <c r="JW13" s="280" t="s">
        <v>3643</v>
      </c>
      <c r="JX13" s="515" t="s">
        <v>3644</v>
      </c>
      <c r="JZ13" s="505" t="s">
        <v>4504</v>
      </c>
      <c r="KA13" s="280">
        <v>2</v>
      </c>
      <c r="KB13" s="280" t="s">
        <v>4499</v>
      </c>
      <c r="KC13" s="280" t="b">
        <v>0</v>
      </c>
    </row>
    <row r="14" spans="1:320" ht="16.5">
      <c r="D14" s="280" t="s">
        <v>4330</v>
      </c>
      <c r="E14" s="280" t="s">
        <v>4331</v>
      </c>
      <c r="F14" s="281">
        <v>0</v>
      </c>
      <c r="G14" s="280" t="s">
        <v>4332</v>
      </c>
      <c r="P14" s="16" t="s">
        <v>1697</v>
      </c>
      <c r="Q14" s="16">
        <v>15</v>
      </c>
      <c r="ET14" s="210" t="s">
        <v>1040</v>
      </c>
      <c r="EU14" s="1344"/>
      <c r="EV14" s="1345"/>
      <c r="EW14" s="1345"/>
      <c r="EX14" s="1345"/>
      <c r="EY14" s="1345"/>
      <c r="EZ14" s="1345"/>
      <c r="FA14" s="1346"/>
      <c r="FB14" s="207"/>
      <c r="FC14" s="207"/>
      <c r="FD14" s="207"/>
      <c r="FE14" s="207"/>
      <c r="FF14" s="207"/>
      <c r="FG14" s="207"/>
      <c r="FH14" s="207"/>
      <c r="FI14" s="207"/>
      <c r="FJ14" s="207"/>
      <c r="FK14" s="207"/>
      <c r="FL14" s="207"/>
      <c r="FM14" s="207"/>
      <c r="FN14" s="207"/>
      <c r="FO14" s="207"/>
      <c r="FP14" s="207"/>
      <c r="FQ14" s="207"/>
      <c r="FR14" s="207"/>
      <c r="FV14" s="189" t="b">
        <v>0</v>
      </c>
      <c r="HS14" s="278"/>
      <c r="HT14" s="278"/>
      <c r="HU14" s="278"/>
      <c r="IY14" s="280" t="s">
        <v>3115</v>
      </c>
      <c r="IZ14" s="515" t="s">
        <v>3116</v>
      </c>
      <c r="JC14" s="505"/>
      <c r="JF14" s="505"/>
      <c r="JI14" s="505"/>
      <c r="JL14" s="505"/>
      <c r="JO14" s="505"/>
      <c r="JQ14" s="280" t="s">
        <v>3144</v>
      </c>
      <c r="JR14" s="505" t="s">
        <v>3145</v>
      </c>
      <c r="JU14" s="505"/>
      <c r="JW14" s="280" t="s">
        <v>3645</v>
      </c>
      <c r="JX14" s="505" t="s">
        <v>3646</v>
      </c>
    </row>
    <row r="15" spans="1:320" ht="16.5">
      <c r="K15" s="239" t="s">
        <v>526</v>
      </c>
      <c r="P15" s="16" t="s">
        <v>1698</v>
      </c>
      <c r="Q15" s="16">
        <f>UNJC0030_IF_SAVE_KENSU</f>
        <v>1</v>
      </c>
      <c r="ET15" s="208" t="s">
        <v>1043</v>
      </c>
      <c r="EU15" s="1344"/>
      <c r="EV15" s="1345"/>
      <c r="EW15" s="1345"/>
      <c r="EX15" s="1345"/>
      <c r="EY15" s="1345"/>
      <c r="EZ15" s="1345"/>
      <c r="FA15" s="1346"/>
      <c r="FB15" s="207"/>
      <c r="FC15" s="207"/>
      <c r="FD15" s="207"/>
      <c r="FE15" s="207"/>
      <c r="FF15" s="207"/>
      <c r="FG15" s="207"/>
      <c r="FH15" s="207"/>
      <c r="FI15" s="207"/>
      <c r="FJ15" s="207"/>
      <c r="FK15" s="207"/>
      <c r="FL15" s="207"/>
      <c r="FM15" s="207"/>
      <c r="FN15" s="207"/>
      <c r="FO15" s="207"/>
      <c r="FP15" s="207"/>
      <c r="FQ15" s="207"/>
      <c r="FR15" s="207"/>
      <c r="FV15" s="189" t="b">
        <v>0</v>
      </c>
      <c r="JC15" s="505"/>
      <c r="JF15" s="505"/>
      <c r="JI15" s="505"/>
      <c r="JL15" s="505"/>
      <c r="JO15" s="505"/>
      <c r="JQ15" s="280" t="s">
        <v>3146</v>
      </c>
      <c r="JR15" s="505" t="s">
        <v>3147</v>
      </c>
      <c r="JU15" s="505"/>
      <c r="JW15" s="280" t="s">
        <v>3647</v>
      </c>
      <c r="JX15" s="515" t="s">
        <v>3648</v>
      </c>
    </row>
    <row r="16" spans="1:320" ht="16.5">
      <c r="K16" s="278" t="s">
        <v>527</v>
      </c>
      <c r="L16" s="280" t="s">
        <v>1337</v>
      </c>
      <c r="M16" s="281" t="str">
        <f>"UNJC0030_IF!"&amp;ADDRESS(ROW(UNJC0030_IF_SAVE_COPY_START),COLUMN(UNJC0030_IF_SAVE_COPY_START))&amp;":"&amp;ADDRESS(ROW(UNJC0030_IF_SAVE_COPY_START)+IF(UNJC0030_IF_SAVE_KENSU=0,0,UNJC0030_IF_SAVE_KENSU-1),COLUMN(UNJC0030_IF_SAVE_COPY_START)+COLUMNS(UNJC0030_IF_SAVE_COPY_MOTO)-1)</f>
        <v>UNJC0030_IF!$W$5:$EN$5</v>
      </c>
      <c r="P16" s="16" t="s">
        <v>1699</v>
      </c>
      <c r="Q16" s="16" t="s">
        <v>3575</v>
      </c>
      <c r="ET16" s="207"/>
      <c r="EU16" s="207"/>
      <c r="EV16" s="207"/>
      <c r="EW16" s="207"/>
      <c r="EX16" s="207"/>
      <c r="EY16" s="207"/>
      <c r="EZ16" s="207"/>
      <c r="FA16" s="207"/>
      <c r="FB16" s="207"/>
      <c r="FC16" s="207"/>
      <c r="FD16" s="207"/>
      <c r="FE16" s="207"/>
      <c r="FF16" s="481"/>
      <c r="FG16" s="207"/>
      <c r="FH16" s="207"/>
      <c r="FI16" s="207"/>
      <c r="FJ16" s="207"/>
      <c r="FK16" s="207"/>
      <c r="FL16" s="207"/>
      <c r="FM16" s="207"/>
      <c r="FN16" s="207"/>
      <c r="FO16" s="207"/>
      <c r="FP16" s="207"/>
      <c r="FQ16" s="207"/>
      <c r="FR16" s="207"/>
      <c r="FU16" s="516" t="s">
        <v>1344</v>
      </c>
      <c r="FV16" s="189" t="b">
        <v>0</v>
      </c>
      <c r="JC16" s="505"/>
      <c r="JF16" s="505"/>
      <c r="JI16" s="505"/>
      <c r="JL16" s="505"/>
      <c r="JO16" s="505"/>
      <c r="JQ16" s="280" t="s">
        <v>3148</v>
      </c>
      <c r="JR16" s="505" t="s">
        <v>3149</v>
      </c>
      <c r="JU16" s="505"/>
      <c r="JW16" s="280" t="s">
        <v>3649</v>
      </c>
      <c r="JX16" s="505" t="s">
        <v>3650</v>
      </c>
    </row>
    <row r="17" spans="3:284" ht="16.5">
      <c r="C17" s="279" t="s">
        <v>120</v>
      </c>
      <c r="E17" s="38"/>
      <c r="F17" s="278"/>
      <c r="G17" s="278"/>
      <c r="K17" s="278" t="s">
        <v>1339</v>
      </c>
      <c r="L17" s="280" t="s">
        <v>1340</v>
      </c>
      <c r="M17" s="281">
        <f>IF(UNJC0030_B_GYO_NO=0,1,UNJC0030_B_GYO_NO)</f>
        <v>1</v>
      </c>
      <c r="P17" s="16" t="s">
        <v>1700</v>
      </c>
      <c r="Q17" s="16"/>
      <c r="ET17" s="207" t="s">
        <v>1343</v>
      </c>
      <c r="EU17" s="207"/>
      <c r="EV17" s="207"/>
      <c r="EW17" s="207"/>
      <c r="EX17" s="207"/>
      <c r="EY17" s="207"/>
      <c r="EZ17" s="207"/>
      <c r="FA17" s="207"/>
      <c r="FB17" s="207"/>
      <c r="FC17" s="207"/>
      <c r="FD17" s="207"/>
      <c r="FE17" s="207"/>
      <c r="FF17" s="207"/>
      <c r="FG17" s="207"/>
      <c r="FH17" s="207"/>
      <c r="FI17" s="207"/>
      <c r="FJ17" s="207"/>
      <c r="FK17" s="207"/>
      <c r="FL17" s="207"/>
      <c r="FM17" s="207"/>
      <c r="FN17" s="207"/>
      <c r="FO17" s="207"/>
      <c r="FP17" s="207"/>
      <c r="FQ17" s="207"/>
      <c r="FR17" s="207"/>
      <c r="FV17" s="189" t="b">
        <v>0</v>
      </c>
      <c r="JC17" s="505"/>
      <c r="JF17" s="505"/>
      <c r="JI17" s="505"/>
      <c r="JL17" s="505"/>
      <c r="JO17" s="505"/>
      <c r="JQ17" s="280" t="s">
        <v>3150</v>
      </c>
      <c r="JR17" s="505" t="s">
        <v>3151</v>
      </c>
      <c r="JU17" s="505"/>
      <c r="JW17" s="280" t="s">
        <v>3651</v>
      </c>
      <c r="JX17" s="515" t="s">
        <v>3652</v>
      </c>
    </row>
    <row r="18" spans="3:284" ht="16.5">
      <c r="C18" s="278"/>
      <c r="D18" s="278" t="s">
        <v>121</v>
      </c>
      <c r="E18" s="280" t="s">
        <v>1346</v>
      </c>
      <c r="F18" s="37" t="s">
        <v>1347</v>
      </c>
      <c r="G18" s="278"/>
      <c r="P18" s="16" t="s">
        <v>1701</v>
      </c>
      <c r="Q18" s="16" t="str">
        <f>IF(UNJC0030_H_EDA_FLG=TRUE,"",COLUMN(UNJC0030_IF_SAVE_CHECK_START)&amp;",")&amp;
COLUMN(UNJC0030_IF_SAVE_CHECK_START)+1&amp;","&amp;
COLUMN(UNJC0030_IF_SAVE_CHECK_START)+2&amp;","&amp;
COLUMN(UNJC0030_IF_SAVE_CHECK_START)+3&amp;","&amp;
COLUMN(UNJC0030_IF_SAVE_CHECK_START)+4&amp;","&amp;
COLUMN(UNJC0030_IF_SAVE_CHECK_START)+5&amp;","&amp;
COLUMN(UNJC0030_IF_SAVE_CHECK_START)+6&amp;","&amp;
COLUMN(UNJC0030_IF_SAVE_CHECK_START)+7&amp;","&amp;
COLUMN(UNJC0030_IF_SAVE_CHECK_START)+8&amp;","&amp;
COLUMN(UNJC0030_IF_SAVE_CHECK_START)+9&amp;","&amp;
COLUMN(UNJC0030_IF_SAVE_CHECK_START)+10&amp;","&amp;
COLUMN(UNJC0030_IF_SAVE_CHECK_START)+11&amp;","&amp;
COLUMN(UNJC0030_IF_SAVE_CHECK_START)+12&amp;","&amp;
COLUMN(UNJC0030_IF_SAVE_CHECK_START)+13</f>
        <v>119,120,121,122,123,124,125,126,127,128,129,130,131,132</v>
      </c>
      <c r="ET18" s="208" t="s">
        <v>1051</v>
      </c>
      <c r="EU18" s="1383"/>
      <c r="EV18" s="1408"/>
      <c r="EW18" s="1384"/>
      <c r="EX18" s="207"/>
      <c r="EY18" s="207"/>
      <c r="EZ18" s="208" t="s">
        <v>1052</v>
      </c>
      <c r="FA18" s="97"/>
      <c r="FB18" s="207"/>
      <c r="FC18" s="207"/>
      <c r="FD18" s="207"/>
      <c r="FE18" s="207"/>
      <c r="FF18" s="207"/>
      <c r="FG18" s="207"/>
      <c r="FH18" s="207"/>
      <c r="FI18" s="207"/>
      <c r="FJ18" s="207"/>
      <c r="FK18" s="207"/>
      <c r="FL18" s="207"/>
      <c r="FM18" s="207"/>
      <c r="FN18" s="207"/>
      <c r="FO18" s="207"/>
      <c r="FP18" s="207"/>
      <c r="FQ18" s="207"/>
      <c r="FR18" s="207"/>
      <c r="JC18" s="505"/>
      <c r="JF18" s="505"/>
      <c r="JI18" s="505"/>
      <c r="JL18" s="505"/>
      <c r="JO18" s="505"/>
      <c r="JQ18" s="280" t="s">
        <v>3152</v>
      </c>
      <c r="JR18" s="505" t="s">
        <v>3153</v>
      </c>
      <c r="JU18" s="505"/>
      <c r="JW18" s="280" t="s">
        <v>3653</v>
      </c>
      <c r="JX18" s="505" t="s">
        <v>3654</v>
      </c>
    </row>
    <row r="19" spans="3:284" ht="16.5">
      <c r="C19" s="278"/>
      <c r="D19" s="278" t="s">
        <v>122</v>
      </c>
      <c r="E19" s="280" t="s">
        <v>1349</v>
      </c>
      <c r="F19" s="37">
        <v>16</v>
      </c>
      <c r="G19" s="278"/>
      <c r="P19" s="16" t="s">
        <v>1702</v>
      </c>
      <c r="Q19" s="16"/>
      <c r="ET19" s="208" t="s">
        <v>1054</v>
      </c>
      <c r="EU19" s="1383"/>
      <c r="EV19" s="1408"/>
      <c r="EW19" s="1384"/>
      <c r="EX19" s="207"/>
      <c r="EY19" s="207"/>
      <c r="EZ19" s="208" t="s">
        <v>1055</v>
      </c>
      <c r="FA19" s="903"/>
      <c r="FB19" s="207"/>
      <c r="FC19" s="207"/>
      <c r="FD19" s="207"/>
      <c r="FE19" s="207"/>
      <c r="FF19" s="207"/>
      <c r="FG19" s="207"/>
      <c r="FH19" s="207"/>
      <c r="FI19" s="207"/>
      <c r="FJ19" s="207"/>
      <c r="FK19" s="207"/>
      <c r="FL19" s="207"/>
      <c r="FM19" s="207"/>
      <c r="FN19" s="207"/>
      <c r="FO19" s="207"/>
      <c r="FP19" s="207"/>
      <c r="FQ19" s="207"/>
      <c r="FR19" s="207"/>
      <c r="JC19" s="505"/>
      <c r="JF19" s="505"/>
      <c r="JI19" s="505"/>
      <c r="JL19" s="505"/>
      <c r="JO19" s="505"/>
      <c r="JQ19" s="280" t="s">
        <v>3154</v>
      </c>
      <c r="JR19" s="505" t="s">
        <v>3155</v>
      </c>
      <c r="JU19" s="505"/>
      <c r="JW19" s="280" t="s">
        <v>3655</v>
      </c>
      <c r="JX19" s="515" t="s">
        <v>3656</v>
      </c>
    </row>
    <row r="20" spans="3:284" ht="16.5">
      <c r="C20" s="278"/>
      <c r="D20" s="278" t="s">
        <v>123</v>
      </c>
      <c r="E20" s="280" t="s">
        <v>1351</v>
      </c>
      <c r="F20" s="37">
        <v>11</v>
      </c>
      <c r="G20" s="278"/>
      <c r="K20" s="279" t="s">
        <v>533</v>
      </c>
      <c r="L20" s="278"/>
      <c r="O20" s="278"/>
      <c r="P20" s="231" t="s">
        <v>1703</v>
      </c>
      <c r="Q20" s="21"/>
      <c r="R20" s="278"/>
      <c r="S20" s="278"/>
      <c r="T20" s="278"/>
      <c r="ET20" s="210" t="s">
        <v>1057</v>
      </c>
      <c r="EU20" s="1409"/>
      <c r="EV20" s="1410"/>
      <c r="EW20" s="207"/>
      <c r="EX20" s="207"/>
      <c r="EY20" s="207"/>
      <c r="EZ20" s="208" t="s">
        <v>1058</v>
      </c>
      <c r="FA20" s="903"/>
      <c r="FB20" s="207"/>
      <c r="FC20" s="207"/>
      <c r="FD20" s="207"/>
      <c r="FE20" s="207"/>
      <c r="FF20" s="207"/>
      <c r="FG20" s="207"/>
      <c r="FH20" s="207"/>
      <c r="FI20" s="207"/>
      <c r="FJ20" s="207"/>
      <c r="FK20" s="207"/>
      <c r="FL20" s="207"/>
      <c r="FM20" s="207"/>
      <c r="FN20" s="207"/>
      <c r="FO20" s="207"/>
      <c r="FP20" s="207"/>
      <c r="FQ20" s="207"/>
      <c r="FR20" s="207"/>
      <c r="JC20" s="505"/>
      <c r="JF20" s="505"/>
      <c r="JI20" s="505"/>
      <c r="JL20" s="505"/>
      <c r="JO20" s="505"/>
      <c r="JQ20" s="280" t="s">
        <v>3156</v>
      </c>
      <c r="JR20" s="505" t="s">
        <v>3157</v>
      </c>
      <c r="JU20" s="505"/>
      <c r="JW20" s="280" t="s">
        <v>3657</v>
      </c>
      <c r="JX20" s="505" t="s">
        <v>3658</v>
      </c>
    </row>
    <row r="21" spans="3:284" ht="16.5">
      <c r="C21" s="278"/>
      <c r="D21" s="278"/>
      <c r="F21" s="278"/>
      <c r="G21" s="278"/>
      <c r="K21" s="280" t="s">
        <v>107</v>
      </c>
      <c r="L21" s="280" t="s">
        <v>1345</v>
      </c>
      <c r="M21" s="281"/>
      <c r="P21" s="582" t="s">
        <v>1704</v>
      </c>
      <c r="Q21" s="583"/>
      <c r="ET21" s="208" t="s">
        <v>1060</v>
      </c>
      <c r="EU21" s="1330"/>
      <c r="EV21" s="1331"/>
      <c r="EW21" s="1331"/>
      <c r="EX21" s="1331"/>
      <c r="EY21" s="1332"/>
      <c r="EZ21" s="208" t="s">
        <v>4417</v>
      </c>
      <c r="FA21" s="1197"/>
      <c r="FB21" s="207"/>
      <c r="FC21" s="207"/>
      <c r="FD21" s="207"/>
      <c r="FE21" s="207"/>
      <c r="FF21" s="207"/>
      <c r="FG21" s="207"/>
      <c r="FH21" s="207"/>
      <c r="FI21" s="207"/>
      <c r="FJ21" s="207"/>
      <c r="FK21" s="207"/>
      <c r="FL21" s="207"/>
      <c r="FM21" s="207"/>
      <c r="FN21" s="207"/>
      <c r="FO21" s="207"/>
      <c r="FP21" s="207"/>
      <c r="FQ21" s="207"/>
      <c r="FR21" s="207"/>
      <c r="JC21" s="505"/>
      <c r="JF21" s="505"/>
      <c r="JI21" s="505"/>
      <c r="JL21" s="505"/>
      <c r="JO21" s="505"/>
      <c r="JQ21" s="280" t="s">
        <v>3158</v>
      </c>
      <c r="JR21" s="505" t="s">
        <v>3159</v>
      </c>
      <c r="JU21" s="505"/>
      <c r="JW21" s="280" t="s">
        <v>3659</v>
      </c>
      <c r="JX21" s="515" t="s">
        <v>3660</v>
      </c>
    </row>
    <row r="22" spans="3:284" ht="16.5">
      <c r="C22" s="278"/>
      <c r="D22" s="278" t="s">
        <v>124</v>
      </c>
      <c r="E22" s="280" t="s">
        <v>1355</v>
      </c>
      <c r="F22" s="37"/>
      <c r="G22" s="278"/>
      <c r="K22" s="278" t="s">
        <v>340</v>
      </c>
      <c r="L22" s="280" t="s">
        <v>1348</v>
      </c>
      <c r="M22" s="281"/>
      <c r="P22" s="582" t="s">
        <v>1705</v>
      </c>
      <c r="Q22" s="583"/>
      <c r="ET22" s="208"/>
      <c r="EU22" s="1333"/>
      <c r="EV22" s="1334"/>
      <c r="EW22" s="1334"/>
      <c r="EX22" s="1334"/>
      <c r="EY22" s="1335"/>
      <c r="EZ22" s="208" t="s">
        <v>1061</v>
      </c>
      <c r="FA22" s="486"/>
      <c r="FB22" s="208"/>
      <c r="FC22" s="207"/>
      <c r="FD22" s="11"/>
      <c r="FE22" s="207"/>
      <c r="FF22" s="207"/>
      <c r="FG22" s="207"/>
      <c r="FH22" s="207"/>
      <c r="FI22" s="207"/>
      <c r="FJ22" s="207"/>
      <c r="FK22" s="207"/>
      <c r="FL22" s="207"/>
      <c r="FM22" s="207"/>
      <c r="FN22" s="207"/>
      <c r="FO22" s="207"/>
      <c r="FP22" s="207"/>
      <c r="FQ22" s="207"/>
      <c r="FR22" s="207"/>
      <c r="JC22" s="505"/>
      <c r="JF22" s="505"/>
      <c r="JI22" s="505"/>
      <c r="JL22" s="505"/>
      <c r="JO22" s="505"/>
      <c r="JR22" s="505"/>
      <c r="JU22" s="505"/>
      <c r="JW22" s="280" t="s">
        <v>3661</v>
      </c>
      <c r="JX22" s="505" t="s">
        <v>3662</v>
      </c>
    </row>
    <row r="23" spans="3:284" ht="16.5">
      <c r="K23" s="278" t="s">
        <v>528</v>
      </c>
      <c r="L23" s="280" t="s">
        <v>1350</v>
      </c>
      <c r="M23" s="281"/>
      <c r="P23" s="231" t="s">
        <v>1706</v>
      </c>
      <c r="Q23" s="21"/>
      <c r="ET23" s="207"/>
      <c r="EU23" s="207"/>
      <c r="EV23" s="207"/>
      <c r="EW23" s="207"/>
      <c r="EX23" s="207"/>
      <c r="EY23" s="207"/>
      <c r="EZ23" s="207"/>
      <c r="FA23" s="207"/>
      <c r="FB23" s="208"/>
      <c r="FC23" s="207"/>
      <c r="FD23" s="11"/>
      <c r="FE23" s="207"/>
      <c r="FF23" s="207"/>
      <c r="FG23" s="207"/>
      <c r="FH23" s="207"/>
      <c r="FI23" s="207"/>
      <c r="FJ23" s="207"/>
      <c r="FK23" s="207"/>
      <c r="FL23" s="207"/>
      <c r="FM23" s="207"/>
      <c r="FN23" s="207"/>
      <c r="FO23" s="207"/>
      <c r="FP23" s="207"/>
      <c r="FQ23" s="207"/>
      <c r="FR23" s="207"/>
      <c r="JC23" s="505"/>
      <c r="JF23" s="505"/>
      <c r="JI23" s="505"/>
      <c r="JL23" s="505"/>
      <c r="JO23" s="505"/>
      <c r="JR23" s="505"/>
      <c r="JU23" s="505"/>
      <c r="JW23" s="280" t="s">
        <v>3663</v>
      </c>
      <c r="JX23" s="515" t="s">
        <v>3664</v>
      </c>
    </row>
    <row r="24" spans="3:284" ht="16.5">
      <c r="C24" s="239" t="s">
        <v>1356</v>
      </c>
      <c r="K24" s="278" t="s">
        <v>330</v>
      </c>
      <c r="L24" s="280" t="s">
        <v>1352</v>
      </c>
      <c r="M24" s="281">
        <f>IF(UNJC0030_IF_SAVE_RESULT_CD=0,2,1)</f>
        <v>2</v>
      </c>
      <c r="N24" s="278" t="s">
        <v>335</v>
      </c>
      <c r="ET24" s="208" t="s">
        <v>1062</v>
      </c>
      <c r="EU24" s="225"/>
      <c r="EV24" s="207"/>
      <c r="EW24" s="207"/>
      <c r="EX24" s="207"/>
      <c r="EY24" s="207"/>
      <c r="EZ24" s="208" t="s">
        <v>1063</v>
      </c>
      <c r="FA24" s="97"/>
      <c r="FB24" s="207"/>
      <c r="FC24" s="207"/>
      <c r="FD24" s="207"/>
      <c r="FE24" s="207"/>
      <c r="FF24" s="207"/>
      <c r="FG24" s="207"/>
      <c r="FH24" s="207"/>
      <c r="FI24" s="207"/>
      <c r="FJ24" s="207"/>
      <c r="FK24" s="207"/>
      <c r="FL24" s="207"/>
      <c r="FM24" s="207"/>
      <c r="FN24" s="207"/>
      <c r="FO24" s="207"/>
      <c r="FP24" s="207"/>
      <c r="FQ24" s="207"/>
      <c r="FR24" s="207"/>
      <c r="JC24" s="505"/>
      <c r="JF24" s="505"/>
      <c r="JI24" s="505"/>
      <c r="JL24" s="505"/>
      <c r="JO24" s="505"/>
      <c r="JR24" s="505"/>
      <c r="JU24" s="505"/>
      <c r="JW24" s="280" t="s">
        <v>3665</v>
      </c>
      <c r="JX24" s="505" t="s">
        <v>3666</v>
      </c>
    </row>
    <row r="25" spans="3:284" ht="16.5">
      <c r="D25" s="280" t="s">
        <v>1357</v>
      </c>
      <c r="E25" s="280" t="s">
        <v>1358</v>
      </c>
      <c r="F25" s="27"/>
      <c r="K25" s="278" t="s">
        <v>333</v>
      </c>
      <c r="L25" s="280" t="s">
        <v>1353</v>
      </c>
      <c r="M25" s="281" t="s">
        <v>1354</v>
      </c>
      <c r="P25" s="279" t="s">
        <v>1729</v>
      </c>
      <c r="Q25" s="278"/>
      <c r="R25" s="278"/>
      <c r="ET25" s="208" t="s">
        <v>1064</v>
      </c>
      <c r="EU25" s="97"/>
      <c r="EV25" s="11"/>
      <c r="EW25" s="207"/>
      <c r="EX25" s="207"/>
      <c r="EY25" s="207"/>
      <c r="EZ25" s="210" t="s">
        <v>1065</v>
      </c>
      <c r="FA25" s="517"/>
      <c r="FB25" s="207"/>
      <c r="FC25" s="207"/>
      <c r="FD25" s="207"/>
      <c r="FE25" s="207"/>
      <c r="FF25" s="207"/>
      <c r="FG25" s="207"/>
      <c r="FH25" s="207"/>
      <c r="FI25" s="207"/>
      <c r="FJ25" s="207"/>
      <c r="FK25" s="207"/>
      <c r="FL25" s="207"/>
      <c r="FM25" s="207"/>
      <c r="FN25" s="207"/>
      <c r="FO25" s="207"/>
      <c r="FP25" s="207"/>
      <c r="FQ25" s="207"/>
      <c r="FR25" s="207"/>
      <c r="JC25" s="505"/>
      <c r="JF25" s="505"/>
      <c r="JI25" s="505"/>
      <c r="JL25" s="505"/>
      <c r="JO25" s="505"/>
      <c r="JR25" s="505"/>
      <c r="JU25" s="505"/>
      <c r="JW25" s="280" t="s">
        <v>3667</v>
      </c>
      <c r="JX25" s="515" t="s">
        <v>3668</v>
      </c>
    </row>
    <row r="26" spans="3:284" ht="16.5">
      <c r="D26" s="280" t="s">
        <v>1359</v>
      </c>
      <c r="E26" s="280" t="s">
        <v>1360</v>
      </c>
      <c r="F26" s="27" t="str">
        <f>IF(OR(UNJC0030_H_CHUKAN_DATE_1=0,UNJC0030_H_CHUKAN_DATE_1=""),"",INT(YEAR(UNJC0030_H_CHUKAN_DATE_1)&amp;RIGHT(MONTH(UNJC0030_H_CHUKAN_DATE_1)+100,2)
&amp;RIGHT(DAY(UNJC0030_H_CHUKAN_DATE_1)+100,2)))</f>
        <v/>
      </c>
      <c r="P26" s="280" t="s">
        <v>331</v>
      </c>
      <c r="Q26" s="280" t="s">
        <v>1731</v>
      </c>
      <c r="R26" s="273">
        <f>IF(ISBLANK(UNJC0030_IF_SAVE_CHECK_RESULT)=TRUE,2,1)</f>
        <v>2</v>
      </c>
      <c r="S26" s="278" t="s">
        <v>335</v>
      </c>
      <c r="ET26" s="207"/>
      <c r="EU26" s="207"/>
      <c r="EV26" s="207"/>
      <c r="EW26" s="207"/>
      <c r="EX26" s="207"/>
      <c r="EY26" s="207"/>
      <c r="EZ26" s="207"/>
      <c r="FA26" s="207"/>
      <c r="FB26" s="207"/>
      <c r="FC26" s="207"/>
      <c r="FD26" s="207"/>
      <c r="FE26" s="207"/>
      <c r="FF26" s="207"/>
      <c r="FG26" s="207"/>
      <c r="FH26" s="207"/>
      <c r="FI26" s="207"/>
      <c r="FJ26" s="207"/>
      <c r="FK26" s="207"/>
      <c r="FL26" s="207"/>
      <c r="FM26" s="207"/>
      <c r="FN26" s="207"/>
      <c r="FO26" s="207"/>
      <c r="FP26" s="207"/>
      <c r="FQ26" s="207"/>
      <c r="FR26" s="207"/>
      <c r="JC26" s="505"/>
      <c r="JF26" s="505"/>
      <c r="JI26" s="505"/>
      <c r="JL26" s="505"/>
      <c r="JO26" s="505"/>
      <c r="JR26" s="505"/>
      <c r="JU26" s="505"/>
      <c r="JW26" s="280" t="s">
        <v>3669</v>
      </c>
      <c r="JX26" s="505" t="s">
        <v>3670</v>
      </c>
    </row>
    <row r="27" spans="3:284" ht="16.5">
      <c r="D27" s="280" t="s">
        <v>1361</v>
      </c>
      <c r="E27" s="280" t="s">
        <v>1362</v>
      </c>
      <c r="F27" s="518">
        <f>IF(UNJC0030_IF_HOKOKU_1WORKDAY_AGO="",UNJC0030_H_CHUKAN_DATE_1,IF(UNJC0030_IF_HOKOKU_1WORKDAY_AGO&gt;UNJC0030_IF_CHUKAN_HOKOKU_DAY,UNJC0030_H_CHUKAN_DATE_1,DATE(LEFT(UNJC0030_IF_HOKOKU_1WORKDAY_AGO,4),MID(UNJC0030_IF_HOKOKU_1WORKDAY_AGO,5,2),RIGHT(UNJC0030_IF_HOKOKU_1WORKDAY_AGO,2))))</f>
        <v>0</v>
      </c>
      <c r="P27" s="278" t="s">
        <v>1733</v>
      </c>
      <c r="Q27" s="280" t="s">
        <v>1732</v>
      </c>
      <c r="R27" s="273" t="str">
        <f>"以下の項目が入力されていません。"&amp;
IF(UNJC0030_IF_SAVE_CHECK_RESULT&gt;=1,"
行番号："&amp;UNJC0030_IF_SAVE_CHECK_RESULT-ROW(UNJC0030_IF_SAVE_CHECK_START)+1,"")&amp;
"
項目名："&amp;UNJC0030_IF_SAVE_CHECK_ERROR_KOMOKU</f>
        <v>以下の項目が入力されていません。
項目名：</v>
      </c>
      <c r="ET27" s="210" t="s">
        <v>1066</v>
      </c>
      <c r="EU27" s="97"/>
      <c r="EV27" s="208"/>
      <c r="EW27" s="491" t="s">
        <v>1067</v>
      </c>
      <c r="EX27" s="1354" t="s">
        <v>1068</v>
      </c>
      <c r="EY27" s="1355"/>
      <c r="EZ27" s="1355"/>
      <c r="FA27" s="1356"/>
      <c r="FB27" s="207"/>
      <c r="FC27" s="207"/>
      <c r="FD27" s="207"/>
      <c r="FE27" s="207"/>
      <c r="FF27" s="207"/>
      <c r="FG27" s="207"/>
      <c r="FH27" s="207"/>
      <c r="FI27" s="207"/>
      <c r="FJ27" s="207"/>
      <c r="FK27" s="207"/>
      <c r="FL27" s="207"/>
      <c r="FM27" s="207"/>
      <c r="FN27" s="207"/>
      <c r="FO27" s="207"/>
      <c r="FP27" s="207"/>
      <c r="FQ27" s="207"/>
      <c r="FR27" s="207"/>
      <c r="JC27" s="505"/>
      <c r="JF27" s="505"/>
      <c r="JI27" s="505"/>
      <c r="JL27" s="505"/>
      <c r="JO27" s="505"/>
      <c r="JR27" s="505"/>
      <c r="JU27" s="505"/>
      <c r="JW27" s="280" t="s">
        <v>3671</v>
      </c>
      <c r="JX27" s="515" t="s">
        <v>3672</v>
      </c>
    </row>
    <row r="28" spans="3:284" ht="16.5">
      <c r="ET28" s="210" t="s">
        <v>1069</v>
      </c>
      <c r="EU28" s="97"/>
      <c r="EV28" s="208" t="s">
        <v>1070</v>
      </c>
      <c r="EW28" s="72"/>
      <c r="EX28" s="1344"/>
      <c r="EY28" s="1345"/>
      <c r="EZ28" s="1345"/>
      <c r="FA28" s="1346"/>
      <c r="FB28" s="207"/>
      <c r="FC28" s="207"/>
      <c r="FD28" s="207"/>
      <c r="FE28" s="207"/>
      <c r="FF28" s="207"/>
      <c r="FG28" s="207"/>
      <c r="FH28" s="207"/>
      <c r="FI28" s="207"/>
      <c r="FJ28" s="207"/>
      <c r="FK28" s="207"/>
      <c r="FL28" s="207"/>
      <c r="FM28" s="207"/>
      <c r="FN28" s="207"/>
      <c r="FO28" s="207"/>
      <c r="FP28" s="207"/>
      <c r="FQ28" s="207"/>
      <c r="FR28" s="207"/>
      <c r="JC28" s="505"/>
      <c r="JF28" s="505"/>
      <c r="JI28" s="505"/>
      <c r="JL28" s="505"/>
      <c r="JO28" s="505"/>
      <c r="JR28" s="505"/>
      <c r="JU28" s="505"/>
      <c r="JW28" s="280" t="s">
        <v>3673</v>
      </c>
      <c r="JX28" s="505" t="s">
        <v>3674</v>
      </c>
    </row>
    <row r="29" spans="3:284" ht="16.5">
      <c r="C29" s="279" t="s">
        <v>500</v>
      </c>
      <c r="D29" s="278"/>
      <c r="F29" s="38"/>
      <c r="G29" s="279" t="s">
        <v>482</v>
      </c>
      <c r="H29" s="279" t="s">
        <v>8</v>
      </c>
      <c r="I29" s="279" t="s">
        <v>484</v>
      </c>
      <c r="J29" s="278"/>
      <c r="M29" s="278"/>
      <c r="N29" s="278"/>
      <c r="O29" s="278"/>
      <c r="Q29" s="280" t="s">
        <v>1710</v>
      </c>
      <c r="R29" s="280" t="s">
        <v>1722</v>
      </c>
      <c r="S29" s="278"/>
      <c r="T29" s="278"/>
      <c r="U29" s="278"/>
      <c r="V29" s="278"/>
      <c r="W29" s="278"/>
      <c r="X29" s="278"/>
      <c r="Y29" s="278"/>
      <c r="Z29" s="278"/>
      <c r="AA29" s="278"/>
      <c r="AB29" s="278"/>
      <c r="AC29" s="278"/>
      <c r="AD29" s="278"/>
      <c r="AE29" s="278"/>
      <c r="AF29" s="278"/>
      <c r="AG29" s="278"/>
      <c r="AH29" s="278"/>
      <c r="AI29" s="278"/>
      <c r="AJ29" s="278"/>
      <c r="AK29" s="278"/>
      <c r="AL29" s="278"/>
      <c r="AM29" s="278"/>
      <c r="AN29" s="278"/>
      <c r="AO29" s="278"/>
      <c r="AP29" s="278"/>
      <c r="AQ29" s="278"/>
      <c r="AR29" s="278"/>
      <c r="AS29" s="278"/>
      <c r="AT29" s="278"/>
      <c r="AU29" s="278"/>
      <c r="AV29" s="278"/>
      <c r="AW29" s="278"/>
      <c r="AX29" s="278"/>
      <c r="AY29" s="278"/>
      <c r="AZ29" s="278"/>
      <c r="BA29" s="278"/>
      <c r="BB29" s="278"/>
      <c r="BC29" s="278"/>
      <c r="BD29" s="278"/>
      <c r="BE29" s="278"/>
      <c r="BF29" s="278"/>
      <c r="BG29" s="278"/>
      <c r="BH29" s="278"/>
      <c r="BI29" s="278"/>
      <c r="BJ29" s="278"/>
      <c r="BK29" s="278"/>
      <c r="BL29" s="278"/>
      <c r="BM29" s="278"/>
      <c r="BN29" s="278"/>
      <c r="BO29" s="278"/>
      <c r="BP29" s="278"/>
      <c r="BQ29" s="278"/>
      <c r="BR29" s="278"/>
      <c r="BS29" s="278"/>
      <c r="BT29" s="278"/>
      <c r="BU29" s="278"/>
      <c r="BV29" s="278"/>
      <c r="BW29" s="278"/>
      <c r="BX29" s="278"/>
      <c r="BY29" s="278"/>
      <c r="BZ29" s="278"/>
      <c r="CA29" s="278"/>
      <c r="CB29" s="278"/>
      <c r="CC29" s="278"/>
      <c r="CD29" s="278"/>
      <c r="CE29" s="278"/>
      <c r="CF29" s="278"/>
      <c r="CG29" s="278"/>
      <c r="CH29" s="278"/>
      <c r="CI29" s="278"/>
      <c r="CJ29" s="278"/>
      <c r="CK29" s="278"/>
      <c r="CL29" s="278"/>
      <c r="CM29" s="278"/>
      <c r="CN29" s="278"/>
      <c r="CO29" s="278"/>
      <c r="CP29" s="278"/>
      <c r="CQ29" s="278"/>
      <c r="CR29" s="278"/>
      <c r="CS29" s="278"/>
      <c r="CT29" s="278"/>
      <c r="CU29" s="278"/>
      <c r="CV29" s="278"/>
      <c r="CW29" s="278"/>
      <c r="CX29" s="278"/>
      <c r="CY29" s="278"/>
      <c r="CZ29" s="278"/>
      <c r="DA29" s="278"/>
      <c r="DB29" s="278"/>
      <c r="DC29" s="278"/>
      <c r="DD29" s="278"/>
      <c r="DE29" s="278"/>
      <c r="DF29" s="278"/>
      <c r="DG29" s="278"/>
      <c r="DH29" s="278"/>
      <c r="DI29" s="278"/>
      <c r="DJ29" s="278"/>
      <c r="DK29" s="278"/>
      <c r="DL29" s="970"/>
      <c r="DM29" s="278"/>
      <c r="DN29" s="278"/>
      <c r="DO29" s="278"/>
      <c r="DP29" s="278"/>
      <c r="DQ29" s="278"/>
      <c r="DR29" s="278"/>
      <c r="DS29" s="278"/>
      <c r="DT29" s="278"/>
      <c r="DU29" s="278"/>
      <c r="DV29" s="278"/>
      <c r="DW29" s="278"/>
      <c r="DX29" s="278"/>
      <c r="DY29" s="278"/>
      <c r="DZ29" s="278"/>
      <c r="EA29" s="1232"/>
      <c r="EB29" s="278"/>
      <c r="EC29" s="278"/>
      <c r="ED29" s="278"/>
      <c r="EE29" s="278"/>
      <c r="EF29" s="278"/>
      <c r="EG29" s="278"/>
      <c r="EH29" s="278"/>
      <c r="EI29" s="278"/>
      <c r="EJ29" s="278"/>
      <c r="EK29" s="278"/>
      <c r="EL29" s="278"/>
      <c r="EM29" s="278"/>
      <c r="EN29" s="278"/>
      <c r="EO29" s="278"/>
      <c r="EP29" s="278"/>
      <c r="EQ29" s="278"/>
      <c r="ER29" s="278"/>
      <c r="ET29" s="207"/>
      <c r="EU29" s="207"/>
      <c r="EV29" s="208" t="s">
        <v>4418</v>
      </c>
      <c r="EW29" s="1197"/>
      <c r="EX29" s="1344"/>
      <c r="EY29" s="1345"/>
      <c r="EZ29" s="1345"/>
      <c r="FA29" s="1346"/>
      <c r="FB29" s="207"/>
      <c r="FC29" s="207"/>
      <c r="FD29" s="207"/>
      <c r="FE29" s="207"/>
      <c r="FF29" s="207"/>
      <c r="FG29" s="207"/>
      <c r="FH29" s="207"/>
      <c r="FI29" s="207"/>
      <c r="FJ29" s="207"/>
      <c r="FK29" s="207"/>
      <c r="FL29" s="207"/>
      <c r="FM29" s="207"/>
      <c r="FN29" s="207"/>
      <c r="FO29" s="207"/>
      <c r="FP29" s="207"/>
      <c r="FQ29" s="207"/>
      <c r="FR29" s="207"/>
      <c r="JC29" s="505"/>
      <c r="JF29" s="505"/>
      <c r="JI29" s="505"/>
      <c r="JL29" s="505"/>
      <c r="JO29" s="505"/>
      <c r="JR29" s="505"/>
      <c r="JU29" s="505"/>
      <c r="JW29" s="280" t="s">
        <v>3675</v>
      </c>
      <c r="JX29" s="515" t="s">
        <v>3676</v>
      </c>
    </row>
    <row r="30" spans="3:284" ht="16.5">
      <c r="C30" s="278"/>
      <c r="D30" s="278" t="s">
        <v>1363</v>
      </c>
      <c r="E30" s="280" t="s">
        <v>1364</v>
      </c>
      <c r="F30" s="37" t="str">
        <f>IF(UNJC0030_IF_MODE=1,"-",IF(UNJC0030_IF_MODE=2,"修正キャンセル","修正"))</f>
        <v>修正</v>
      </c>
      <c r="G30" s="280" t="s">
        <v>1365</v>
      </c>
      <c r="H30" s="278" t="s">
        <v>484</v>
      </c>
      <c r="I30" s="278" t="s">
        <v>8</v>
      </c>
      <c r="J30" s="278"/>
      <c r="M30" s="278"/>
      <c r="N30" s="278"/>
      <c r="O30" s="278"/>
      <c r="P30" s="278" t="s">
        <v>1707</v>
      </c>
      <c r="Q30" s="273"/>
      <c r="R30" s="281"/>
      <c r="S30" s="278"/>
      <c r="T30" s="278"/>
      <c r="U30" s="278"/>
      <c r="V30" s="278"/>
      <c r="W30" s="278"/>
      <c r="X30" s="278"/>
      <c r="Y30" s="278"/>
      <c r="Z30" s="278"/>
      <c r="AA30" s="278"/>
      <c r="AB30" s="278"/>
      <c r="AC30" s="278"/>
      <c r="AD30" s="278"/>
      <c r="AE30" s="278"/>
      <c r="AF30" s="278"/>
      <c r="AG30" s="278"/>
      <c r="AH30" s="278"/>
      <c r="AI30" s="278"/>
      <c r="AJ30" s="278"/>
      <c r="AK30" s="278"/>
      <c r="AL30" s="278"/>
      <c r="AM30" s="278"/>
      <c r="AN30" s="278"/>
      <c r="AO30" s="278"/>
      <c r="AP30" s="278"/>
      <c r="AQ30" s="278"/>
      <c r="AR30" s="278"/>
      <c r="AS30" s="278"/>
      <c r="AT30" s="278"/>
      <c r="AU30" s="278"/>
      <c r="AV30" s="278"/>
      <c r="AW30" s="278"/>
      <c r="AX30" s="278"/>
      <c r="AY30" s="278"/>
      <c r="AZ30" s="278"/>
      <c r="BA30" s="278"/>
      <c r="BB30" s="278"/>
      <c r="BC30" s="278"/>
      <c r="BD30" s="278"/>
      <c r="BE30" s="278"/>
      <c r="BF30" s="278"/>
      <c r="BG30" s="278"/>
      <c r="BH30" s="278"/>
      <c r="BI30" s="278"/>
      <c r="BJ30" s="278"/>
      <c r="BK30" s="278"/>
      <c r="BL30" s="278"/>
      <c r="BM30" s="278"/>
      <c r="BN30" s="278"/>
      <c r="BO30" s="278"/>
      <c r="BP30" s="278"/>
      <c r="BQ30" s="278"/>
      <c r="BR30" s="278"/>
      <c r="BS30" s="278"/>
      <c r="BT30" s="278"/>
      <c r="BU30" s="278"/>
      <c r="BV30" s="278"/>
      <c r="BW30" s="278"/>
      <c r="BX30" s="278"/>
      <c r="BY30" s="278"/>
      <c r="BZ30" s="278"/>
      <c r="CA30" s="278"/>
      <c r="CB30" s="278"/>
      <c r="CC30" s="278"/>
      <c r="CD30" s="278"/>
      <c r="CE30" s="278"/>
      <c r="CF30" s="278"/>
      <c r="CG30" s="278"/>
      <c r="CH30" s="278"/>
      <c r="CI30" s="278"/>
      <c r="CJ30" s="278"/>
      <c r="CK30" s="278"/>
      <c r="CL30" s="278"/>
      <c r="CM30" s="278"/>
      <c r="CN30" s="278"/>
      <c r="CO30" s="278"/>
      <c r="CP30" s="278"/>
      <c r="CQ30" s="278"/>
      <c r="CR30" s="278"/>
      <c r="CS30" s="278"/>
      <c r="CT30" s="278"/>
      <c r="CU30" s="278"/>
      <c r="CV30" s="278"/>
      <c r="CW30" s="278"/>
      <c r="CX30" s="278"/>
      <c r="CY30" s="278"/>
      <c r="CZ30" s="278"/>
      <c r="DA30" s="278"/>
      <c r="DB30" s="278"/>
      <c r="DC30" s="278"/>
      <c r="DD30" s="278"/>
      <c r="DE30" s="278"/>
      <c r="DF30" s="278"/>
      <c r="DG30" s="278"/>
      <c r="DH30" s="278"/>
      <c r="DI30" s="278"/>
      <c r="DJ30" s="278"/>
      <c r="DK30" s="278"/>
      <c r="DL30" s="970"/>
      <c r="DM30" s="278"/>
      <c r="DN30" s="278"/>
      <c r="DO30" s="278"/>
      <c r="DP30" s="278"/>
      <c r="DQ30" s="278"/>
      <c r="DR30" s="278"/>
      <c r="DS30" s="278"/>
      <c r="DT30" s="278"/>
      <c r="DU30" s="278"/>
      <c r="DV30" s="278"/>
      <c r="DW30" s="278"/>
      <c r="DX30" s="278"/>
      <c r="DY30" s="278"/>
      <c r="DZ30" s="278"/>
      <c r="EA30" s="1232"/>
      <c r="EB30" s="278"/>
      <c r="EC30" s="278"/>
      <c r="ED30" s="278"/>
      <c r="EE30" s="278"/>
      <c r="EF30" s="278"/>
      <c r="EG30" s="278"/>
      <c r="EH30" s="278"/>
      <c r="EI30" s="278"/>
      <c r="EJ30" s="278"/>
      <c r="EK30" s="278"/>
      <c r="EL30" s="278"/>
      <c r="EM30" s="278"/>
      <c r="EN30" s="278"/>
      <c r="EO30" s="278"/>
      <c r="EP30" s="278"/>
      <c r="EQ30" s="278"/>
      <c r="ER30" s="278"/>
      <c r="ET30" s="207"/>
      <c r="EU30" s="207"/>
      <c r="EV30" s="208" t="s">
        <v>4423</v>
      </c>
      <c r="EW30" s="1197"/>
      <c r="EX30" s="1344"/>
      <c r="EY30" s="1345"/>
      <c r="EZ30" s="1345"/>
      <c r="FA30" s="1346"/>
      <c r="FB30" s="207"/>
      <c r="FC30" s="207"/>
      <c r="FD30" s="207"/>
      <c r="FE30" s="207"/>
      <c r="FF30" s="207"/>
      <c r="FG30" s="207"/>
      <c r="FH30" s="207"/>
      <c r="FI30" s="207"/>
      <c r="FJ30" s="207"/>
      <c r="FK30" s="207"/>
      <c r="FL30" s="207"/>
      <c r="FM30" s="207"/>
      <c r="FN30" s="207"/>
      <c r="FO30" s="207"/>
      <c r="FP30" s="207"/>
      <c r="FQ30" s="207"/>
      <c r="FR30" s="207"/>
      <c r="JC30" s="505"/>
      <c r="JF30" s="505"/>
      <c r="JI30" s="505"/>
      <c r="JL30" s="505"/>
      <c r="JO30" s="505"/>
      <c r="JR30" s="505"/>
      <c r="JU30" s="505"/>
      <c r="JW30" s="280" t="s">
        <v>3677</v>
      </c>
      <c r="JX30" s="505" t="s">
        <v>3678</v>
      </c>
    </row>
    <row r="31" spans="3:284" ht="13.5" customHeight="1">
      <c r="D31" s="280" t="s">
        <v>1366</v>
      </c>
      <c r="E31" s="280" t="s">
        <v>1367</v>
      </c>
      <c r="F31" s="37" t="str">
        <f>IF(UNJC0030_IF_MODE=1,"新規登録",IF(UNJC0030_IF_MODE=2,"保存","-"))</f>
        <v>-</v>
      </c>
      <c r="G31" s="280" t="s">
        <v>10</v>
      </c>
      <c r="H31" s="280" t="s">
        <v>487</v>
      </c>
      <c r="I31" s="280" t="s">
        <v>1368</v>
      </c>
      <c r="ET31" s="207"/>
      <c r="EU31" s="207"/>
      <c r="EV31" s="207"/>
      <c r="EW31" s="207"/>
      <c r="EX31" s="207"/>
      <c r="EY31" s="207"/>
      <c r="EZ31" s="207"/>
      <c r="FA31" s="207"/>
      <c r="FB31" s="207"/>
      <c r="FC31" s="207"/>
      <c r="FD31" s="207"/>
      <c r="FE31" s="207"/>
      <c r="FF31" s="207"/>
      <c r="FG31" s="207"/>
      <c r="FH31" s="207"/>
      <c r="FI31" s="207"/>
      <c r="FJ31" s="207"/>
      <c r="FK31" s="207"/>
      <c r="FL31" s="207"/>
      <c r="FM31" s="207"/>
      <c r="FN31" s="207"/>
      <c r="FO31" s="207"/>
      <c r="FP31" s="207"/>
      <c r="FQ31" s="207"/>
      <c r="FR31" s="207"/>
      <c r="JC31" s="505"/>
      <c r="JF31" s="505"/>
      <c r="JI31" s="505"/>
      <c r="JL31" s="505"/>
      <c r="JO31" s="505"/>
      <c r="JR31" s="505"/>
      <c r="JU31" s="505"/>
      <c r="JW31" s="280" t="s">
        <v>3679</v>
      </c>
      <c r="JX31" s="515" t="s">
        <v>3680</v>
      </c>
    </row>
    <row r="32" spans="3:284" ht="13.5" customHeight="1">
      <c r="ET32" s="208" t="s">
        <v>1071</v>
      </c>
      <c r="EU32" s="1330"/>
      <c r="EV32" s="1331"/>
      <c r="EW32" s="1331"/>
      <c r="EX32" s="1331"/>
      <c r="EY32" s="1331"/>
      <c r="EZ32" s="1331"/>
      <c r="FA32" s="1332"/>
      <c r="FB32" s="207"/>
      <c r="FC32" s="207"/>
      <c r="FD32" s="207"/>
      <c r="FE32" s="207"/>
      <c r="FF32" s="207"/>
      <c r="FG32" s="207"/>
      <c r="FH32" s="207"/>
      <c r="FI32" s="207"/>
      <c r="FJ32" s="207"/>
      <c r="FK32" s="207"/>
      <c r="FL32" s="207"/>
      <c r="FM32" s="207"/>
      <c r="FN32" s="207"/>
      <c r="FO32" s="207"/>
      <c r="FP32" s="207"/>
      <c r="FQ32" s="207"/>
      <c r="FR32" s="207"/>
      <c r="JC32" s="505"/>
      <c r="JF32" s="505"/>
      <c r="JI32" s="505"/>
      <c r="JL32" s="505"/>
      <c r="JO32" s="505"/>
      <c r="JR32" s="505"/>
      <c r="JU32" s="505"/>
      <c r="JW32" s="280" t="s">
        <v>3681</v>
      </c>
      <c r="JX32" s="505" t="s">
        <v>3682</v>
      </c>
    </row>
    <row r="33" spans="3:284" ht="13.5" customHeight="1">
      <c r="C33" s="279" t="s">
        <v>1369</v>
      </c>
      <c r="G33" s="279"/>
      <c r="H33" s="279"/>
      <c r="I33" s="279"/>
      <c r="ET33" s="208"/>
      <c r="EU33" s="1360"/>
      <c r="EV33" s="1361"/>
      <c r="EW33" s="1361"/>
      <c r="EX33" s="1361"/>
      <c r="EY33" s="1361"/>
      <c r="EZ33" s="1361"/>
      <c r="FA33" s="1362"/>
      <c r="FB33" s="207"/>
      <c r="FC33" s="207"/>
      <c r="FD33" s="207"/>
      <c r="FE33" s="207"/>
      <c r="FF33" s="207"/>
      <c r="FG33" s="207"/>
      <c r="FH33" s="207"/>
      <c r="FI33" s="207"/>
      <c r="FJ33" s="207"/>
      <c r="FK33" s="207"/>
      <c r="FL33" s="207"/>
      <c r="FM33" s="207"/>
      <c r="FN33" s="207"/>
      <c r="FO33" s="207"/>
      <c r="FP33" s="207"/>
      <c r="FQ33" s="207"/>
      <c r="FR33" s="207"/>
      <c r="JC33" s="505"/>
      <c r="JF33" s="505"/>
      <c r="JI33" s="505"/>
      <c r="JL33" s="505"/>
      <c r="JO33" s="505"/>
      <c r="JR33" s="505"/>
      <c r="JU33" s="505"/>
      <c r="JW33" s="280" t="s">
        <v>3683</v>
      </c>
      <c r="JX33" s="515" t="s">
        <v>3684</v>
      </c>
    </row>
    <row r="34" spans="3:284" ht="13.5" customHeight="1">
      <c r="D34" s="280" t="s">
        <v>1370</v>
      </c>
      <c r="E34" s="280" t="s">
        <v>1371</v>
      </c>
      <c r="F34" s="519">
        <f>IF(UNJC0030_IF_ACTIVE_SHEET="UNJC0030_B",1,2)</f>
        <v>1</v>
      </c>
      <c r="G34" s="280" t="s">
        <v>1372</v>
      </c>
      <c r="H34" s="280" t="s">
        <v>1373</v>
      </c>
      <c r="ET34" s="208"/>
      <c r="EU34" s="1360"/>
      <c r="EV34" s="1361"/>
      <c r="EW34" s="1361"/>
      <c r="EX34" s="1361"/>
      <c r="EY34" s="1361"/>
      <c r="EZ34" s="1361"/>
      <c r="FA34" s="1362"/>
      <c r="FB34" s="207"/>
      <c r="FC34" s="207"/>
      <c r="FD34" s="207"/>
      <c r="FE34" s="207"/>
      <c r="FF34" s="207"/>
      <c r="FG34" s="207"/>
      <c r="FH34" s="207"/>
      <c r="FI34" s="207"/>
      <c r="FJ34" s="207"/>
      <c r="FK34" s="207"/>
      <c r="FL34" s="207"/>
      <c r="FM34" s="207"/>
      <c r="FN34" s="207"/>
      <c r="FO34" s="207"/>
      <c r="FP34" s="207"/>
      <c r="FQ34" s="207"/>
      <c r="FR34" s="207"/>
      <c r="JC34" s="505"/>
      <c r="JF34" s="505"/>
      <c r="JI34" s="505"/>
      <c r="JL34" s="505"/>
      <c r="JO34" s="505"/>
      <c r="JR34" s="505"/>
      <c r="JU34" s="505"/>
      <c r="JW34" s="280" t="s">
        <v>3685</v>
      </c>
      <c r="JX34" s="505" t="s">
        <v>3686</v>
      </c>
    </row>
    <row r="35" spans="3:284" ht="13.5" customHeight="1">
      <c r="D35" s="280" t="s">
        <v>1374</v>
      </c>
      <c r="E35" s="280" t="s">
        <v>1375</v>
      </c>
      <c r="F35" s="281">
        <f>IF(AND(UNJC0030_IF_ACTIVE_SHEET="UNJC0030_B",UNJC0030_IF_ACTIVE_ROW&gt;ROW(UNJC0030_B_GYO)),1,2)</f>
        <v>2</v>
      </c>
      <c r="G35" s="280" t="s">
        <v>1372</v>
      </c>
      <c r="ET35" s="208"/>
      <c r="EU35" s="1360"/>
      <c r="EV35" s="1361"/>
      <c r="EW35" s="1361"/>
      <c r="EX35" s="1361"/>
      <c r="EY35" s="1361"/>
      <c r="EZ35" s="1361"/>
      <c r="FA35" s="1362"/>
      <c r="FB35" s="207"/>
      <c r="FC35" s="207"/>
      <c r="FD35" s="207"/>
      <c r="FE35" s="207"/>
      <c r="FF35" s="207"/>
      <c r="FG35" s="207"/>
      <c r="FH35" s="207"/>
      <c r="FI35" s="207"/>
      <c r="FJ35" s="207"/>
      <c r="FK35" s="207"/>
      <c r="FL35" s="207"/>
      <c r="FM35" s="207"/>
      <c r="FN35" s="207"/>
      <c r="FO35" s="207"/>
      <c r="FP35" s="207"/>
      <c r="FQ35" s="207"/>
      <c r="FR35" s="207"/>
      <c r="JC35" s="505"/>
      <c r="JF35" s="505"/>
      <c r="JI35" s="505"/>
      <c r="JL35" s="505"/>
      <c r="JO35" s="505"/>
      <c r="JR35" s="505"/>
      <c r="JU35" s="505"/>
      <c r="JW35" s="280" t="s">
        <v>3687</v>
      </c>
      <c r="JX35" s="515" t="s">
        <v>3688</v>
      </c>
    </row>
    <row r="36" spans="3:284" ht="16.5">
      <c r="ET36" s="207"/>
      <c r="EU36" s="1333"/>
      <c r="EV36" s="1334"/>
      <c r="EW36" s="1334"/>
      <c r="EX36" s="1334"/>
      <c r="EY36" s="1334"/>
      <c r="EZ36" s="1334"/>
      <c r="FA36" s="1335"/>
      <c r="FB36" s="207"/>
      <c r="FC36" s="207"/>
      <c r="FD36" s="207"/>
      <c r="FE36" s="207"/>
      <c r="FF36" s="207"/>
      <c r="FG36" s="207"/>
      <c r="FH36" s="207"/>
      <c r="FI36" s="207"/>
      <c r="FJ36" s="207"/>
      <c r="FK36" s="207"/>
      <c r="FL36" s="207"/>
      <c r="FM36" s="207"/>
      <c r="FN36" s="207"/>
      <c r="FO36" s="207"/>
      <c r="FP36" s="207"/>
      <c r="FQ36" s="207"/>
      <c r="FR36" s="207"/>
      <c r="JC36" s="505"/>
      <c r="JF36" s="505"/>
      <c r="JI36" s="505"/>
      <c r="JL36" s="505"/>
      <c r="JO36" s="505"/>
      <c r="JR36" s="505"/>
      <c r="JU36" s="505"/>
      <c r="JW36" s="280" t="s">
        <v>3689</v>
      </c>
      <c r="JX36" s="505" t="s">
        <v>3690</v>
      </c>
    </row>
    <row r="37" spans="3:284" ht="16.5">
      <c r="C37" s="239" t="s">
        <v>1376</v>
      </c>
      <c r="G37" s="279" t="s">
        <v>482</v>
      </c>
      <c r="H37" s="279" t="s">
        <v>8</v>
      </c>
      <c r="I37" s="279" t="s">
        <v>484</v>
      </c>
      <c r="ET37" s="207"/>
      <c r="EU37" s="207"/>
      <c r="EV37" s="207"/>
      <c r="EW37" s="207"/>
      <c r="EX37" s="207"/>
      <c r="EY37" s="207"/>
      <c r="EZ37" s="207"/>
      <c r="FA37" s="207"/>
      <c r="FB37" s="207"/>
      <c r="FC37" s="207"/>
      <c r="FD37" s="207"/>
      <c r="FE37" s="207"/>
      <c r="FF37" s="207"/>
      <c r="FG37" s="207"/>
      <c r="FH37" s="207"/>
      <c r="FI37" s="207"/>
      <c r="FJ37" s="207"/>
      <c r="FK37" s="207"/>
      <c r="FL37" s="207"/>
      <c r="FM37" s="207"/>
      <c r="FN37" s="207"/>
      <c r="FO37" s="207"/>
      <c r="FP37" s="207"/>
      <c r="FQ37" s="207"/>
      <c r="FR37" s="207"/>
      <c r="JC37" s="505"/>
      <c r="JF37" s="505"/>
      <c r="JI37" s="505"/>
      <c r="JL37" s="505"/>
      <c r="JO37" s="505"/>
      <c r="JR37" s="505"/>
      <c r="JU37" s="505"/>
      <c r="JW37" s="280" t="s">
        <v>3691</v>
      </c>
      <c r="JX37" s="515" t="s">
        <v>3692</v>
      </c>
    </row>
    <row r="38" spans="3:284" ht="16.5">
      <c r="D38" s="280" t="s">
        <v>1377</v>
      </c>
      <c r="E38" s="280" t="s">
        <v>1378</v>
      </c>
      <c r="F38" s="281">
        <f>IF(UNJC0030_IF_MODE=1,2,IF(UNJC0030_IF_MODE=2,2,1))</f>
        <v>1</v>
      </c>
      <c r="G38" s="278" t="s">
        <v>498</v>
      </c>
      <c r="H38" s="278" t="s">
        <v>498</v>
      </c>
      <c r="I38" s="278" t="s">
        <v>499</v>
      </c>
      <c r="ET38" s="208" t="s">
        <v>1072</v>
      </c>
      <c r="EU38" s="1368" t="s">
        <v>3572</v>
      </c>
      <c r="EV38" s="1368"/>
      <c r="EW38" s="1368"/>
      <c r="EX38" s="1368"/>
      <c r="EY38" s="1354" t="s">
        <v>1074</v>
      </c>
      <c r="EZ38" s="1356"/>
      <c r="FA38" s="492" t="s">
        <v>4382</v>
      </c>
      <c r="FB38" s="491" t="s">
        <v>1686</v>
      </c>
      <c r="FC38" s="491" t="s">
        <v>1075</v>
      </c>
      <c r="FD38" s="1354" t="s">
        <v>1076</v>
      </c>
      <c r="FE38" s="1355"/>
      <c r="FF38" s="1356"/>
      <c r="FG38" s="491" t="s">
        <v>1077</v>
      </c>
      <c r="FH38" s="1354" t="s">
        <v>33</v>
      </c>
      <c r="FI38" s="1355"/>
      <c r="FJ38" s="1355"/>
      <c r="FK38" s="1355"/>
      <c r="FL38" s="1356"/>
      <c r="FM38" s="172" t="s">
        <v>1078</v>
      </c>
      <c r="FN38" s="172" t="s">
        <v>1079</v>
      </c>
      <c r="FO38" s="172" t="s">
        <v>1080</v>
      </c>
      <c r="FP38" s="492" t="s">
        <v>1081</v>
      </c>
      <c r="FQ38" s="492" t="s">
        <v>1082</v>
      </c>
      <c r="FR38" s="492" t="s">
        <v>1083</v>
      </c>
      <c r="JC38" s="505"/>
      <c r="JF38" s="505"/>
      <c r="JI38" s="505"/>
      <c r="JL38" s="505"/>
      <c r="JO38" s="505"/>
      <c r="JR38" s="505"/>
      <c r="JU38" s="505"/>
      <c r="JW38" s="280" t="s">
        <v>3693</v>
      </c>
      <c r="JX38" s="505" t="s">
        <v>3694</v>
      </c>
    </row>
    <row r="39" spans="3:284" ht="16.5">
      <c r="D39" s="278" t="s">
        <v>1363</v>
      </c>
      <c r="E39" s="280" t="s">
        <v>1379</v>
      </c>
      <c r="F39" s="281">
        <f>IF(UNJC0030_IF_MODE=1,2,IF(UNJC0030_IF_MODE=2,1,1))</f>
        <v>1</v>
      </c>
      <c r="G39" s="278" t="s">
        <v>498</v>
      </c>
      <c r="H39" s="278" t="s">
        <v>499</v>
      </c>
      <c r="I39" s="278" t="s">
        <v>499</v>
      </c>
      <c r="ET39" s="210" t="s">
        <v>1084</v>
      </c>
      <c r="EU39" s="1367"/>
      <c r="EV39" s="1367"/>
      <c r="EW39" s="1367"/>
      <c r="EX39" s="1367"/>
      <c r="EY39" s="1369"/>
      <c r="EZ39" s="1370"/>
      <c r="FA39" s="493"/>
      <c r="FB39" s="520"/>
      <c r="FC39" s="520"/>
      <c r="FD39" s="1371"/>
      <c r="FE39" s="1372"/>
      <c r="FF39" s="1373"/>
      <c r="FG39" s="521"/>
      <c r="FH39" s="1412"/>
      <c r="FI39" s="1413"/>
      <c r="FJ39" s="1413"/>
      <c r="FK39" s="1413"/>
      <c r="FL39" s="1414"/>
      <c r="FM39" s="495"/>
      <c r="FN39" s="495"/>
      <c r="FO39" s="495"/>
      <c r="FP39" s="496"/>
      <c r="FQ39" s="496"/>
      <c r="FR39" s="496"/>
      <c r="JC39" s="505"/>
      <c r="JF39" s="505"/>
      <c r="JI39" s="505"/>
      <c r="JL39" s="505"/>
      <c r="JO39" s="505"/>
      <c r="JR39" s="505"/>
      <c r="JU39" s="505"/>
      <c r="JW39" s="280" t="s">
        <v>3695</v>
      </c>
      <c r="JX39" s="515" t="s">
        <v>3696</v>
      </c>
    </row>
    <row r="40" spans="3:284" ht="16.5">
      <c r="D40" s="280" t="s">
        <v>1380</v>
      </c>
      <c r="E40" s="280" t="s">
        <v>1381</v>
      </c>
      <c r="F40" s="281">
        <f>IF(UNJC0030_IF_MODE=1,2,IF(UNJC0030_IF_MODE=2,1,2))</f>
        <v>2</v>
      </c>
      <c r="G40" s="278" t="s">
        <v>498</v>
      </c>
      <c r="H40" s="278" t="s">
        <v>499</v>
      </c>
      <c r="I40" s="278" t="s">
        <v>498</v>
      </c>
      <c r="ET40" s="207"/>
      <c r="EU40" s="1366"/>
      <c r="EV40" s="1366"/>
      <c r="EW40" s="1366"/>
      <c r="EX40" s="1366"/>
      <c r="EY40" s="1363"/>
      <c r="EZ40" s="1364"/>
      <c r="FA40" s="497"/>
      <c r="FB40" s="522"/>
      <c r="FC40" s="522"/>
      <c r="FD40" s="1255"/>
      <c r="FE40" s="1256"/>
      <c r="FF40" s="1257"/>
      <c r="FG40" s="523"/>
      <c r="FH40" s="1415"/>
      <c r="FI40" s="1416"/>
      <c r="FJ40" s="1416"/>
      <c r="FK40" s="1416"/>
      <c r="FL40" s="1417"/>
      <c r="FM40" s="499"/>
      <c r="FN40" s="499"/>
      <c r="FO40" s="499"/>
      <c r="FP40" s="500"/>
      <c r="FQ40" s="500"/>
      <c r="FR40" s="500"/>
      <c r="JC40" s="505"/>
      <c r="JF40" s="505"/>
      <c r="JI40" s="505"/>
      <c r="JL40" s="505"/>
      <c r="JO40" s="505"/>
      <c r="JR40" s="505"/>
      <c r="JU40" s="505"/>
      <c r="JW40" s="280" t="s">
        <v>3697</v>
      </c>
      <c r="JX40" s="505" t="s">
        <v>3698</v>
      </c>
    </row>
    <row r="41" spans="3:284" ht="16.5">
      <c r="D41" s="280" t="s">
        <v>1382</v>
      </c>
      <c r="E41" s="280" t="s">
        <v>1383</v>
      </c>
      <c r="F41" s="281">
        <f>IF(UNJC0030_IF_MODE=1,1,IF(UNJC0030_IF_MODE=2,1,2))</f>
        <v>2</v>
      </c>
      <c r="G41" s="278" t="s">
        <v>499</v>
      </c>
      <c r="H41" s="278" t="s">
        <v>499</v>
      </c>
      <c r="I41" s="278" t="s">
        <v>498</v>
      </c>
      <c r="ET41" s="207"/>
      <c r="EU41" s="1366"/>
      <c r="EV41" s="1366"/>
      <c r="EW41" s="1366"/>
      <c r="EX41" s="1366"/>
      <c r="EY41" s="1363"/>
      <c r="EZ41" s="1364"/>
      <c r="FA41" s="497"/>
      <c r="FB41" s="522"/>
      <c r="FC41" s="522"/>
      <c r="FD41" s="1255"/>
      <c r="FE41" s="1256"/>
      <c r="FF41" s="1257"/>
      <c r="FG41" s="523"/>
      <c r="FH41" s="1415"/>
      <c r="FI41" s="1416"/>
      <c r="FJ41" s="1416"/>
      <c r="FK41" s="1416"/>
      <c r="FL41" s="1417"/>
      <c r="FM41" s="499"/>
      <c r="FN41" s="499"/>
      <c r="FO41" s="499"/>
      <c r="FP41" s="500"/>
      <c r="FQ41" s="500"/>
      <c r="FR41" s="500"/>
      <c r="JC41" s="505"/>
      <c r="JF41" s="505"/>
      <c r="JI41" s="505"/>
      <c r="JL41" s="505"/>
      <c r="JO41" s="505"/>
      <c r="JR41" s="505"/>
      <c r="JU41" s="505"/>
      <c r="JW41" s="280" t="s">
        <v>3699</v>
      </c>
      <c r="JX41" s="515" t="s">
        <v>3700</v>
      </c>
    </row>
    <row r="42" spans="3:284">
      <c r="D42" s="280" t="s">
        <v>1384</v>
      </c>
      <c r="E42" s="280" t="s">
        <v>1385</v>
      </c>
      <c r="F42" s="281">
        <f>IF(UNJC0030_IF_MODE=1,1,IF(UNJC0030_IF_MODE=2,1,2))</f>
        <v>2</v>
      </c>
      <c r="G42" s="278" t="s">
        <v>499</v>
      </c>
      <c r="H42" s="278" t="s">
        <v>499</v>
      </c>
      <c r="I42" s="278" t="s">
        <v>498</v>
      </c>
      <c r="ES42" s="280" t="s">
        <v>1386</v>
      </c>
      <c r="JC42" s="505"/>
      <c r="JF42" s="505"/>
      <c r="JI42" s="505"/>
      <c r="JL42" s="505"/>
      <c r="JO42" s="505"/>
      <c r="JR42" s="505"/>
      <c r="JU42" s="505"/>
      <c r="JW42" s="280" t="s">
        <v>3701</v>
      </c>
      <c r="JX42" s="505" t="s">
        <v>3702</v>
      </c>
    </row>
    <row r="43" spans="3:284" ht="18.75">
      <c r="D43" s="280" t="s">
        <v>1366</v>
      </c>
      <c r="E43" s="280" t="s">
        <v>1387</v>
      </c>
      <c r="F43" s="281">
        <f>IF(UNJC0030_IF_MODE=1,1,IF(UNJC0030_IF_MODE=2,1,2))</f>
        <v>2</v>
      </c>
      <c r="G43" s="278" t="s">
        <v>499</v>
      </c>
      <c r="H43" s="278" t="s">
        <v>499</v>
      </c>
      <c r="I43" s="278" t="s">
        <v>498</v>
      </c>
      <c r="ES43" s="280" t="s">
        <v>1388</v>
      </c>
      <c r="FX43" s="280" t="s">
        <v>1389</v>
      </c>
      <c r="FY43" s="524"/>
      <c r="FZ43" s="824" t="str">
        <f>" / "&amp;IF(UNJC0030_IF_EDA_MAX&lt;UNJC0030_B_EDA,UNJC0030_B_EDA,UNJC0030_IF_EDA_MAX)</f>
        <v xml:space="preserve"> / 1</v>
      </c>
      <c r="GA43" s="215"/>
      <c r="GB43" s="215"/>
      <c r="GC43" s="215"/>
      <c r="GD43" s="215"/>
      <c r="GE43" s="215"/>
      <c r="GF43" s="215"/>
      <c r="GG43" s="215"/>
      <c r="GH43" s="525"/>
      <c r="GI43" s="525"/>
      <c r="GJ43" s="525"/>
      <c r="GK43" s="525"/>
      <c r="GL43" s="525"/>
      <c r="GM43" s="525"/>
      <c r="GN43" s="1241"/>
      <c r="GO43" s="1241"/>
      <c r="GP43" s="1241"/>
      <c r="GQ43" s="1241"/>
      <c r="GR43" s="525"/>
      <c r="GS43" s="525"/>
      <c r="GT43" s="215"/>
      <c r="GU43" s="215"/>
      <c r="GW43" s="280" t="s">
        <v>1390</v>
      </c>
      <c r="GX43" s="209"/>
      <c r="GY43" s="172"/>
      <c r="GZ43" s="508"/>
      <c r="HA43" s="172"/>
      <c r="HB43" s="1411"/>
      <c r="HC43" s="1411"/>
      <c r="HD43" s="1411"/>
      <c r="HE43" s="1411"/>
      <c r="HF43" s="1411"/>
      <c r="HG43" s="1411"/>
      <c r="HH43" s="10"/>
      <c r="HI43" s="10"/>
      <c r="HJ43" s="10"/>
      <c r="HK43" s="10"/>
      <c r="HL43" s="10"/>
      <c r="HM43" s="10"/>
      <c r="HN43" s="10"/>
      <c r="HO43" s="10"/>
      <c r="JC43" s="505"/>
      <c r="JF43" s="505"/>
      <c r="JI43" s="505"/>
      <c r="JL43" s="505"/>
      <c r="JO43" s="505"/>
      <c r="JR43" s="505"/>
      <c r="JU43" s="505"/>
      <c r="JW43" s="280" t="s">
        <v>3703</v>
      </c>
      <c r="JX43" s="515" t="s">
        <v>3704</v>
      </c>
    </row>
    <row r="44" spans="3:284" ht="18.75">
      <c r="D44" s="280" t="s">
        <v>1391</v>
      </c>
      <c r="E44" s="280" t="s">
        <v>1392</v>
      </c>
      <c r="F44" s="281">
        <f>IF(UNJC0030_IF_MODE=1,1,IF(UNJC0030_IF_MODE=2,1,2))</f>
        <v>2</v>
      </c>
      <c r="G44" s="278" t="s">
        <v>499</v>
      </c>
      <c r="H44" s="278" t="s">
        <v>499</v>
      </c>
      <c r="I44" s="278" t="s">
        <v>498</v>
      </c>
      <c r="ET44" s="210" t="s">
        <v>67</v>
      </c>
      <c r="EU44" s="13"/>
      <c r="EV44" s="215"/>
      <c r="EW44" s="218" t="s">
        <v>1006</v>
      </c>
      <c r="EX44" s="13"/>
      <c r="EY44" s="215"/>
      <c r="EZ44" s="216" t="s">
        <v>1007</v>
      </c>
      <c r="FA44" s="217"/>
      <c r="FB44" s="215"/>
      <c r="FC44" s="216"/>
      <c r="FD44" s="215"/>
      <c r="FE44" s="215"/>
      <c r="FF44" s="215"/>
      <c r="FG44" s="215"/>
      <c r="FH44" s="215"/>
      <c r="FI44" s="215"/>
      <c r="FJ44" s="215"/>
      <c r="FK44" s="215"/>
      <c r="FL44" s="215"/>
      <c r="FM44" s="215"/>
      <c r="FN44" s="215"/>
      <c r="FO44" s="215"/>
      <c r="FP44" s="215"/>
      <c r="FQ44" s="215"/>
      <c r="FR44" s="215"/>
      <c r="FY44" s="525"/>
      <c r="FZ44" s="215"/>
      <c r="GA44" s="215"/>
      <c r="GB44" s="215"/>
      <c r="GC44" s="215"/>
      <c r="GD44" s="215"/>
      <c r="GE44" s="215"/>
      <c r="GF44" s="215"/>
      <c r="GG44" s="215"/>
      <c r="GH44" s="525"/>
      <c r="GI44" s="525"/>
      <c r="GJ44" s="525"/>
      <c r="GK44" s="525"/>
      <c r="GL44" s="525"/>
      <c r="GM44" s="525"/>
      <c r="GN44" s="1241"/>
      <c r="GO44" s="1241"/>
      <c r="GP44" s="1241"/>
      <c r="GQ44" s="1241"/>
      <c r="GR44" s="525"/>
      <c r="GS44" s="525"/>
      <c r="GT44" s="215"/>
      <c r="GU44" s="215"/>
      <c r="JC44" s="505"/>
      <c r="JF44" s="505"/>
      <c r="JI44" s="505"/>
      <c r="JL44" s="505"/>
      <c r="JO44" s="505"/>
      <c r="JR44" s="505"/>
      <c r="JU44" s="505"/>
      <c r="JW44" s="280" t="s">
        <v>3705</v>
      </c>
      <c r="JX44" s="505" t="s">
        <v>3706</v>
      </c>
    </row>
    <row r="45" spans="3:284" ht="18.75">
      <c r="D45" s="280" t="s">
        <v>1393</v>
      </c>
      <c r="E45" s="280" t="s">
        <v>1394</v>
      </c>
      <c r="F45" s="281">
        <f>IF(UNJC0030_B_SET_EDA_BACK_NO&gt;=1,1,2)</f>
        <v>2</v>
      </c>
      <c r="G45" s="1420" t="s">
        <v>1395</v>
      </c>
      <c r="H45" s="1420"/>
      <c r="I45" s="1420"/>
      <c r="ET45" s="210" t="s">
        <v>1010</v>
      </c>
      <c r="EU45" s="13"/>
      <c r="EV45" s="215"/>
      <c r="EW45" s="216" t="s">
        <v>1011</v>
      </c>
      <c r="EX45" s="1418"/>
      <c r="EY45" s="1419"/>
      <c r="EZ45" s="208" t="s">
        <v>3549</v>
      </c>
      <c r="FA45" s="217"/>
      <c r="FB45" s="215"/>
      <c r="FC45" s="216"/>
      <c r="FD45" s="215"/>
      <c r="FE45" s="215"/>
      <c r="FF45" s="215"/>
      <c r="FG45" s="215"/>
      <c r="FH45" s="526"/>
      <c r="FI45" s="215"/>
      <c r="FJ45" s="215"/>
      <c r="FK45" s="215"/>
      <c r="FL45" s="215"/>
      <c r="FM45" s="215"/>
      <c r="FN45" s="215"/>
      <c r="FO45" s="215"/>
      <c r="FP45" s="215"/>
      <c r="FQ45" s="215"/>
      <c r="FR45" s="215"/>
      <c r="FY45" s="216" t="s">
        <v>1090</v>
      </c>
      <c r="FZ45" s="1421"/>
      <c r="GA45" s="1422"/>
      <c r="GB45" s="215"/>
      <c r="GC45" s="215"/>
      <c r="GD45" s="215"/>
      <c r="GE45" s="215"/>
      <c r="GF45" s="215"/>
      <c r="GG45" s="215"/>
      <c r="GH45" s="525"/>
      <c r="GI45" s="525"/>
      <c r="GJ45" s="525"/>
      <c r="GK45" s="525"/>
      <c r="GL45" s="525"/>
      <c r="GM45" s="525"/>
      <c r="GN45" s="1241"/>
      <c r="GO45" s="1241"/>
      <c r="GP45" s="216" t="s">
        <v>1091</v>
      </c>
      <c r="GQ45" s="13"/>
      <c r="GR45" s="525"/>
      <c r="GS45" s="525"/>
      <c r="GT45" s="1231"/>
      <c r="GU45" s="1231"/>
      <c r="JC45" s="505"/>
      <c r="JF45" s="505"/>
      <c r="JI45" s="505"/>
      <c r="JL45" s="505"/>
      <c r="JO45" s="505"/>
      <c r="JR45" s="505"/>
      <c r="JU45" s="505"/>
      <c r="JW45" s="280" t="s">
        <v>3707</v>
      </c>
      <c r="JX45" s="515" t="s">
        <v>3708</v>
      </c>
    </row>
    <row r="46" spans="3:284" ht="18.75">
      <c r="D46" s="280" t="s">
        <v>1396</v>
      </c>
      <c r="E46" s="280" t="s">
        <v>1397</v>
      </c>
      <c r="F46" s="281">
        <f>IF(AND(UNJC0030_IF_MODE=0,UNJC0030_B_SET_EDA_NEXT_NO&gt;UNJC0030_IF_EDA_MAX),2,IF(UNJC0030_B_SET_EDA_NEXT_NO&lt;=99,1,2))</f>
        <v>2</v>
      </c>
      <c r="G46" s="1420" t="s">
        <v>2214</v>
      </c>
      <c r="H46" s="1420"/>
      <c r="I46" s="1420"/>
      <c r="ET46" s="210" t="s">
        <v>114</v>
      </c>
      <c r="EU46" s="13"/>
      <c r="EV46" s="223"/>
      <c r="EW46" s="216" t="s">
        <v>116</v>
      </c>
      <c r="EX46" s="217"/>
      <c r="EY46" s="215"/>
      <c r="EZ46" s="216" t="s">
        <v>1013</v>
      </c>
      <c r="FA46" s="217"/>
      <c r="FB46" s="215"/>
      <c r="FC46" s="216"/>
      <c r="FD46" s="215"/>
      <c r="FE46" s="215"/>
      <c r="FF46" s="215"/>
      <c r="FG46" s="215"/>
      <c r="FH46" s="215"/>
      <c r="FI46" s="215"/>
      <c r="FJ46" s="215"/>
      <c r="FK46" s="215"/>
      <c r="FL46" s="215"/>
      <c r="FM46" s="215"/>
      <c r="FN46" s="215"/>
      <c r="FO46" s="215"/>
      <c r="FP46" s="215"/>
      <c r="FQ46" s="215"/>
      <c r="FR46" s="215"/>
      <c r="FY46" s="216" t="s">
        <v>1092</v>
      </c>
      <c r="FZ46" s="1421"/>
      <c r="GA46" s="1422"/>
      <c r="GB46" s="215"/>
      <c r="GC46" s="215"/>
      <c r="GD46" s="215"/>
      <c r="GE46" s="215"/>
      <c r="GF46" s="215"/>
      <c r="GG46" s="215"/>
      <c r="GH46" s="525"/>
      <c r="GI46" s="525"/>
      <c r="GJ46" s="525"/>
      <c r="GK46" s="525"/>
      <c r="GL46" s="525"/>
      <c r="GM46" s="525"/>
      <c r="GN46" s="1241"/>
      <c r="GO46" s="1241"/>
      <c r="GP46" s="216" t="s">
        <v>1093</v>
      </c>
      <c r="GQ46" s="904"/>
      <c r="GR46" s="525"/>
      <c r="GS46" s="525"/>
      <c r="GT46" s="1231"/>
      <c r="GU46" s="1231"/>
      <c r="JC46" s="505"/>
      <c r="JF46" s="505"/>
      <c r="JI46" s="505"/>
      <c r="JL46" s="505"/>
      <c r="JO46" s="505"/>
      <c r="JR46" s="505"/>
      <c r="JU46" s="505"/>
      <c r="JW46" s="280" t="s">
        <v>3709</v>
      </c>
      <c r="JX46" s="505" t="s">
        <v>3710</v>
      </c>
    </row>
    <row r="47" spans="3:284" ht="18.75">
      <c r="D47" s="280" t="s">
        <v>1398</v>
      </c>
      <c r="E47" s="280" t="s">
        <v>1399</v>
      </c>
      <c r="F47" s="281">
        <f>IF(UNJC0030_IF_MODE=1,1,IF(UNJC0030_IF_MODE=2,1,2))</f>
        <v>2</v>
      </c>
      <c r="G47" s="278" t="s">
        <v>499</v>
      </c>
      <c r="H47" s="278" t="s">
        <v>499</v>
      </c>
      <c r="I47" s="278" t="s">
        <v>498</v>
      </c>
      <c r="ET47" s="216" t="s">
        <v>1020</v>
      </c>
      <c r="EU47" s="689"/>
      <c r="EV47" s="215"/>
      <c r="EW47" s="216" t="s">
        <v>1018</v>
      </c>
      <c r="EX47" s="1426"/>
      <c r="EY47" s="1426"/>
      <c r="EZ47" s="215"/>
      <c r="FA47" s="215"/>
      <c r="FB47" s="215"/>
      <c r="FC47" s="215"/>
      <c r="FD47" s="215"/>
      <c r="FE47" s="215"/>
      <c r="FF47" s="215"/>
      <c r="FG47" s="215"/>
      <c r="FH47" s="215"/>
      <c r="FI47" s="215"/>
      <c r="FJ47" s="215"/>
      <c r="FK47" s="215"/>
      <c r="FL47" s="215"/>
      <c r="FM47" s="215"/>
      <c r="FN47" s="215"/>
      <c r="FO47" s="215"/>
      <c r="FP47" s="215"/>
      <c r="FQ47" s="215"/>
      <c r="FR47" s="215"/>
      <c r="FY47" s="218" t="s">
        <v>1096</v>
      </c>
      <c r="FZ47" s="527"/>
      <c r="GA47" s="215"/>
      <c r="GB47" s="215"/>
      <c r="GC47" s="215"/>
      <c r="GD47" s="215"/>
      <c r="GE47" s="215"/>
      <c r="GF47" s="215"/>
      <c r="GG47" s="215"/>
      <c r="GH47" s="525"/>
      <c r="GI47" s="525"/>
      <c r="GJ47" s="525"/>
      <c r="GK47" s="525"/>
      <c r="GL47" s="525"/>
      <c r="GM47" s="525"/>
      <c r="GN47" s="1241"/>
      <c r="GO47" s="1241"/>
      <c r="GP47" s="216" t="s">
        <v>1097</v>
      </c>
      <c r="GQ47" s="904"/>
      <c r="GR47" s="525"/>
      <c r="GS47" s="525"/>
      <c r="GT47" s="1231"/>
      <c r="GU47" s="1231"/>
      <c r="JC47" s="505"/>
      <c r="JF47" s="505"/>
      <c r="JI47" s="505"/>
      <c r="JL47" s="505"/>
      <c r="JO47" s="505"/>
      <c r="JR47" s="505"/>
      <c r="JU47" s="505"/>
      <c r="JW47" s="280" t="s">
        <v>3711</v>
      </c>
      <c r="JX47" s="515" t="s">
        <v>3712</v>
      </c>
    </row>
    <row r="48" spans="3:284" ht="18.75">
      <c r="D48" s="280" t="s">
        <v>1400</v>
      </c>
      <c r="E48" s="280" t="s">
        <v>1401</v>
      </c>
      <c r="F48" s="281">
        <f>IF(UNJC0030_IF_MODE=1,1,IF(UNJC0030_IF_MODE=2,1,2))</f>
        <v>2</v>
      </c>
      <c r="G48" s="278" t="s">
        <v>499</v>
      </c>
      <c r="H48" s="278" t="s">
        <v>499</v>
      </c>
      <c r="I48" s="278" t="s">
        <v>498</v>
      </c>
      <c r="ET48" s="207"/>
      <c r="EU48" s="215"/>
      <c r="EV48" s="215"/>
      <c r="EW48" s="215"/>
      <c r="EX48" s="215"/>
      <c r="EY48" s="215"/>
      <c r="EZ48" s="215"/>
      <c r="FA48" s="215"/>
      <c r="FB48" s="215"/>
      <c r="FC48" s="215"/>
      <c r="FD48" s="215"/>
      <c r="FE48" s="215"/>
      <c r="FF48" s="215"/>
      <c r="FG48" s="215"/>
      <c r="FH48" s="215"/>
      <c r="FI48" s="215"/>
      <c r="FJ48" s="215"/>
      <c r="FK48" s="215"/>
      <c r="FL48" s="215"/>
      <c r="FM48" s="215"/>
      <c r="FN48" s="215"/>
      <c r="FO48" s="215"/>
      <c r="FP48" s="215"/>
      <c r="FQ48" s="215"/>
      <c r="FR48" s="215"/>
      <c r="FY48" s="216" t="s">
        <v>1100</v>
      </c>
      <c r="FZ48" s="1436"/>
      <c r="GA48" s="1437"/>
      <c r="GB48" s="1437"/>
      <c r="GC48" s="1437"/>
      <c r="GD48" s="1437"/>
      <c r="GE48" s="1437"/>
      <c r="GF48" s="1437"/>
      <c r="GG48" s="1438"/>
      <c r="GH48" s="525"/>
      <c r="GI48" s="525"/>
      <c r="GJ48" s="525"/>
      <c r="GK48" s="525"/>
      <c r="GL48" s="525"/>
      <c r="GM48" s="525"/>
      <c r="GN48" s="1241"/>
      <c r="GO48" s="1241"/>
      <c r="GP48" s="216" t="s">
        <v>4420</v>
      </c>
      <c r="GQ48" s="219"/>
      <c r="GR48" s="525"/>
      <c r="GS48" s="525"/>
      <c r="GT48" s="1231"/>
      <c r="GU48" s="1231"/>
      <c r="JC48" s="505"/>
      <c r="JF48" s="505"/>
      <c r="JI48" s="505"/>
      <c r="JL48" s="505"/>
      <c r="JO48" s="505"/>
      <c r="JR48" s="505"/>
      <c r="JU48" s="505"/>
      <c r="JW48" s="280" t="s">
        <v>3713</v>
      </c>
      <c r="JX48" s="505" t="s">
        <v>3714</v>
      </c>
    </row>
    <row r="49" spans="3:284" ht="18.75">
      <c r="D49" s="280" t="s">
        <v>1402</v>
      </c>
      <c r="E49" s="280" t="s">
        <v>1403</v>
      </c>
      <c r="F49" s="281">
        <f>IF(UNJC0030_IF_MODE=1,1,IF(UNJC0030_IF_MODE=2,1,2))</f>
        <v>2</v>
      </c>
      <c r="G49" s="278" t="s">
        <v>499</v>
      </c>
      <c r="H49" s="278" t="s">
        <v>499</v>
      </c>
      <c r="I49" s="278" t="s">
        <v>498</v>
      </c>
      <c r="ET49" s="210" t="s">
        <v>1017</v>
      </c>
      <c r="EU49" s="217"/>
      <c r="EV49" s="1423"/>
      <c r="EW49" s="1424"/>
      <c r="EX49" s="1425"/>
      <c r="EY49" s="215"/>
      <c r="EZ49" s="218" t="s">
        <v>4413</v>
      </c>
      <c r="FA49" s="219"/>
      <c r="FB49" s="215"/>
      <c r="FC49" s="208" t="s">
        <v>4487</v>
      </c>
      <c r="FD49" s="1427" t="str">
        <f>IFERROR(IF(UNJC0030_H_BUNSEKIHOHO="","",INDEX(UNJC0030_IF_LIST_BUN_SORT_MEI,(SUMPRODUCT((UNJC0030_IF_LIST_BUN_SORT_CODE=UNJC0030_H_BUNSEKIHOHO)*(UNJC0030_IF_LIST_BUN_SORT_SEQ=UNJC0030_H_BUN_SORT_SEQ)*ROW(UNJC0030_IF_LIST_BUN_SORT_CODE)))-ROW(UNJC0030_IF_LIST_BUN_SORT_START)+1)),"")</f>
        <v/>
      </c>
      <c r="FE49" s="1428"/>
      <c r="FF49" s="1429"/>
      <c r="FG49" s="215"/>
      <c r="FH49" s="215"/>
      <c r="FI49" s="215"/>
      <c r="FJ49" s="215"/>
      <c r="FK49" s="215"/>
      <c r="FL49" s="215"/>
      <c r="FM49" s="215"/>
      <c r="FN49" s="215"/>
      <c r="FO49" s="215"/>
      <c r="FP49" s="215"/>
      <c r="FQ49" s="215"/>
      <c r="FR49" s="215"/>
      <c r="FY49" s="216"/>
      <c r="FZ49" s="1439"/>
      <c r="GA49" s="1440"/>
      <c r="GB49" s="1440"/>
      <c r="GC49" s="1440"/>
      <c r="GD49" s="1440"/>
      <c r="GE49" s="1440"/>
      <c r="GF49" s="1440"/>
      <c r="GG49" s="1441"/>
      <c r="GH49" s="525"/>
      <c r="GI49" s="525"/>
      <c r="GJ49" s="525"/>
      <c r="GK49" s="525"/>
      <c r="GL49" s="525"/>
      <c r="GM49" s="525"/>
      <c r="GN49" s="1241"/>
      <c r="GO49" s="1241"/>
      <c r="GP49" s="216" t="s">
        <v>1101</v>
      </c>
      <c r="GQ49" s="528"/>
      <c r="GR49" s="525"/>
      <c r="GS49" s="525"/>
      <c r="GT49" s="1231"/>
      <c r="GU49" s="1231"/>
      <c r="JC49" s="505"/>
      <c r="JF49" s="505"/>
      <c r="JI49" s="505"/>
      <c r="JL49" s="505"/>
      <c r="JO49" s="505"/>
      <c r="JR49" s="505"/>
      <c r="JU49" s="505"/>
      <c r="JW49" s="280" t="s">
        <v>3715</v>
      </c>
      <c r="JX49" s="515" t="s">
        <v>3716</v>
      </c>
    </row>
    <row r="50" spans="3:284" ht="18.75">
      <c r="D50" s="280" t="s">
        <v>1404</v>
      </c>
      <c r="E50" s="280" t="s">
        <v>1405</v>
      </c>
      <c r="F50" s="281">
        <f>IF(UNJC0030_IF_MODE=1,2,IF(UNJC0030_IF_MODE=2,2,1))</f>
        <v>1</v>
      </c>
      <c r="G50" s="278" t="s">
        <v>498</v>
      </c>
      <c r="H50" s="278" t="s">
        <v>498</v>
      </c>
      <c r="I50" s="278" t="s">
        <v>499</v>
      </c>
      <c r="ET50" s="210" t="s">
        <v>117</v>
      </c>
      <c r="EU50" s="217"/>
      <c r="EV50" s="1423"/>
      <c r="EW50" s="1424"/>
      <c r="EX50" s="1425"/>
      <c r="EY50" s="215"/>
      <c r="EZ50" s="216" t="s">
        <v>4426</v>
      </c>
      <c r="FA50" s="219"/>
      <c r="FB50" s="215"/>
      <c r="FC50" s="215"/>
      <c r="FD50" s="215"/>
      <c r="FE50" s="215"/>
      <c r="FF50" s="215"/>
      <c r="FG50" s="215"/>
      <c r="FH50" s="215"/>
      <c r="FI50" s="215"/>
      <c r="FJ50" s="215"/>
      <c r="FK50" s="215"/>
      <c r="FL50" s="215"/>
      <c r="FM50" s="215"/>
      <c r="FN50" s="215"/>
      <c r="FO50" s="215"/>
      <c r="FP50" s="215"/>
      <c r="FQ50" s="215"/>
      <c r="FR50" s="215"/>
      <c r="FY50" s="529"/>
      <c r="FZ50" s="529"/>
      <c r="GA50" s="529"/>
      <c r="GB50" s="529"/>
      <c r="GC50" s="529"/>
      <c r="GD50" s="529"/>
      <c r="GE50" s="529"/>
      <c r="GF50" s="529"/>
      <c r="GG50" s="529"/>
      <c r="GH50" s="525"/>
      <c r="GI50" s="525"/>
      <c r="GJ50" s="525"/>
      <c r="GK50" s="525"/>
      <c r="GL50" s="525"/>
      <c r="GM50" s="525"/>
      <c r="GN50" s="1241"/>
      <c r="GO50" s="1241"/>
      <c r="GP50" s="1241"/>
      <c r="GQ50" s="1241"/>
      <c r="GR50" s="525"/>
      <c r="GS50" s="525"/>
      <c r="GT50" s="529"/>
      <c r="GU50" s="215"/>
      <c r="JC50" s="505"/>
      <c r="JF50" s="505"/>
      <c r="JI50" s="505"/>
      <c r="JL50" s="505"/>
      <c r="JO50" s="505"/>
      <c r="JR50" s="505"/>
      <c r="JU50" s="505"/>
      <c r="JW50" s="280" t="s">
        <v>3717</v>
      </c>
      <c r="JX50" s="505" t="s">
        <v>3718</v>
      </c>
    </row>
    <row r="51" spans="3:284" ht="16.5">
      <c r="D51" s="280" t="s">
        <v>1407</v>
      </c>
      <c r="E51" s="280" t="s">
        <v>1408</v>
      </c>
      <c r="F51" s="281">
        <f>IF(UNJC0030_IF_MODE=1,2,IF(UNJC0030_IF_MODE=2,2,1))</f>
        <v>1</v>
      </c>
      <c r="G51" s="278" t="s">
        <v>498</v>
      </c>
      <c r="H51" s="278" t="s">
        <v>498</v>
      </c>
      <c r="I51" s="278" t="s">
        <v>499</v>
      </c>
      <c r="ET51" s="210" t="s">
        <v>4452</v>
      </c>
      <c r="EU51" s="1204"/>
      <c r="EV51" s="1352" t="str">
        <f>IFERROR(IF(UNJC0030_H_BUNSEKIHOHO="","",INDEX(UNJC_BUNSEKI_HOHO_IF_LIST,MATCH(UNJC0030_H_BUNSEKIHOHO,UNJC_BUNSEKI_HOHO_IF_LIST2,0),2)),"")</f>
        <v/>
      </c>
      <c r="EW51" s="1353"/>
      <c r="EX51" s="1353"/>
      <c r="EY51" s="215"/>
      <c r="EZ51" s="218" t="s">
        <v>1023</v>
      </c>
      <c r="FA51" s="219"/>
      <c r="FB51" s="215"/>
      <c r="FC51" s="215"/>
      <c r="FD51" s="215"/>
      <c r="FE51" s="215"/>
      <c r="FF51" s="215"/>
      <c r="FG51" s="215"/>
      <c r="FH51" s="215"/>
      <c r="FI51" s="215"/>
      <c r="FJ51" s="215"/>
      <c r="FK51" s="215"/>
      <c r="FL51" s="215"/>
      <c r="FM51" s="215"/>
      <c r="FN51" s="215"/>
      <c r="FO51" s="215"/>
      <c r="FP51" s="215"/>
      <c r="FQ51" s="215"/>
      <c r="FR51" s="215"/>
      <c r="FY51" s="216" t="s">
        <v>1104</v>
      </c>
      <c r="FZ51" s="530"/>
      <c r="GA51" s="216" t="s">
        <v>793</v>
      </c>
      <c r="GB51" s="1423"/>
      <c r="GC51" s="1424"/>
      <c r="GD51" s="1424"/>
      <c r="GE51" s="1424"/>
      <c r="GF51" s="1424"/>
      <c r="GG51" s="1425"/>
      <c r="GH51" s="215"/>
      <c r="GI51" s="215"/>
      <c r="GJ51" s="215"/>
      <c r="GK51" s="215"/>
      <c r="GL51" s="215"/>
      <c r="GM51" s="215"/>
      <c r="GN51" s="1237"/>
      <c r="GO51" s="1237"/>
      <c r="GP51" s="1237"/>
      <c r="GQ51" s="1237"/>
      <c r="GR51" s="215"/>
      <c r="GS51" s="215"/>
      <c r="GT51" s="215"/>
      <c r="GU51" s="215"/>
      <c r="JC51" s="505"/>
      <c r="JF51" s="505"/>
      <c r="JI51" s="505"/>
      <c r="JL51" s="505"/>
      <c r="JO51" s="505"/>
      <c r="JR51" s="505"/>
      <c r="JU51" s="505"/>
    </row>
    <row r="52" spans="3:284" ht="16.5">
      <c r="D52" s="280" t="s">
        <v>1410</v>
      </c>
      <c r="E52" s="280" t="s">
        <v>1411</v>
      </c>
      <c r="F52" s="281">
        <f>IF(UNJC0030_IF_MODE=1,2,IF(UNJC0030_IF_MODE=2,2,1))</f>
        <v>1</v>
      </c>
      <c r="G52" s="278" t="s">
        <v>498</v>
      </c>
      <c r="H52" s="278" t="s">
        <v>498</v>
      </c>
      <c r="I52" s="278" t="s">
        <v>499</v>
      </c>
      <c r="ET52" s="210" t="s">
        <v>1406</v>
      </c>
      <c r="EU52" s="756"/>
      <c r="EV52" s="215"/>
      <c r="EW52" s="215"/>
      <c r="EX52" s="215"/>
      <c r="EY52" s="215"/>
      <c r="EZ52" s="218" t="s">
        <v>1027</v>
      </c>
      <c r="FA52" s="217"/>
      <c r="FB52" s="215"/>
      <c r="FC52" s="215"/>
      <c r="FD52" s="215"/>
      <c r="FE52" s="215"/>
      <c r="FF52" s="215"/>
      <c r="FG52" s="215"/>
      <c r="FH52" s="215"/>
      <c r="FI52" s="215"/>
      <c r="FJ52" s="215"/>
      <c r="FK52" s="215"/>
      <c r="FL52" s="215"/>
      <c r="FM52" s="215"/>
      <c r="FN52" s="215"/>
      <c r="FO52" s="215"/>
      <c r="FP52" s="215"/>
      <c r="FQ52" s="215"/>
      <c r="FR52" s="215"/>
      <c r="FY52" s="529"/>
      <c r="FZ52" s="529"/>
      <c r="GA52" s="216" t="str">
        <f>IF(UNJC0030_B_IKKATSU_FLG=TRUE,"一括記載：","")</f>
        <v/>
      </c>
      <c r="GB52" s="531">
        <v>1</v>
      </c>
      <c r="GC52" s="1442" t="str">
        <f>IF(UNJC0030_B_IKKATSU_FLG=TRUE,"試料・単位","")</f>
        <v/>
      </c>
      <c r="GD52" s="1442"/>
      <c r="GE52" s="205" t="str">
        <f>IF(UNJC0030_B_IKKATSU_FLG=TRUE,"×","")</f>
        <v/>
      </c>
      <c r="GF52" s="531">
        <v>1</v>
      </c>
      <c r="GG52" s="327" t="str">
        <f>IF(UNJC0030_B_IKKATSU_FLG=TRUE,"ヶ所・点　＝","")</f>
        <v/>
      </c>
      <c r="GH52" s="215"/>
      <c r="GI52" s="215"/>
      <c r="GJ52" s="215"/>
      <c r="GK52" s="215"/>
      <c r="GL52" s="215"/>
      <c r="GM52" s="215"/>
      <c r="GN52" s="1235"/>
      <c r="GO52" s="1235"/>
      <c r="GP52" s="1235"/>
      <c r="GQ52" s="1235"/>
      <c r="GR52" s="1235"/>
      <c r="GS52" s="1235"/>
      <c r="GT52" s="1235"/>
      <c r="GU52" s="1235"/>
      <c r="JC52" s="505"/>
      <c r="JF52" s="505"/>
      <c r="JI52" s="505"/>
      <c r="JL52" s="505"/>
      <c r="JO52" s="505"/>
      <c r="JR52" s="505"/>
      <c r="JU52" s="505"/>
    </row>
    <row r="53" spans="3:284" ht="16.5">
      <c r="D53" s="280" t="s">
        <v>1412</v>
      </c>
      <c r="E53" s="280" t="s">
        <v>1413</v>
      </c>
      <c r="F53" s="281">
        <f>IF(UNJC0030_IF_MODE=1,2,IF(UNJC0030_IF_MODE=2,2,1))</f>
        <v>1</v>
      </c>
      <c r="G53" s="278" t="s">
        <v>498</v>
      </c>
      <c r="H53" s="278" t="s">
        <v>498</v>
      </c>
      <c r="I53" s="278" t="s">
        <v>499</v>
      </c>
      <c r="ET53" s="208" t="s">
        <v>1409</v>
      </c>
      <c r="EU53" s="530"/>
      <c r="EV53" s="215"/>
      <c r="EW53" s="216" t="s">
        <v>118</v>
      </c>
      <c r="EX53" s="13"/>
      <c r="EY53" s="215"/>
      <c r="EZ53" s="216" t="s">
        <v>4415</v>
      </c>
      <c r="FA53" s="219"/>
      <c r="FB53" s="215"/>
      <c r="FC53" s="215"/>
      <c r="FD53" s="215"/>
      <c r="FE53" s="215"/>
      <c r="FF53" s="215"/>
      <c r="FG53" s="215"/>
      <c r="FH53" s="215"/>
      <c r="FI53" s="215"/>
      <c r="FJ53" s="215"/>
      <c r="FK53" s="215"/>
      <c r="FL53" s="215"/>
      <c r="FM53" s="215"/>
      <c r="FN53" s="215"/>
      <c r="FO53" s="215"/>
      <c r="FP53" s="215"/>
      <c r="FQ53" s="215"/>
      <c r="FR53" s="215"/>
      <c r="FY53" s="216" t="s">
        <v>1109</v>
      </c>
      <c r="FZ53" s="217"/>
      <c r="GA53" s="1430"/>
      <c r="GB53" s="1431"/>
      <c r="GC53" s="1431"/>
      <c r="GD53" s="1431"/>
      <c r="GE53" s="1431"/>
      <c r="GF53" s="1431"/>
      <c r="GG53" s="1432"/>
      <c r="GH53" s="215"/>
      <c r="GI53" s="215"/>
      <c r="GJ53" s="215"/>
      <c r="GK53" s="215"/>
      <c r="GL53" s="215"/>
      <c r="GM53" s="215"/>
      <c r="GN53" s="1235"/>
      <c r="GO53" s="1235"/>
      <c r="GP53" s="1236" t="s">
        <v>4537</v>
      </c>
      <c r="GQ53" s="1397"/>
      <c r="GR53" s="1398"/>
      <c r="GS53" s="1398"/>
      <c r="GT53" s="1398"/>
      <c r="GU53" s="1399"/>
      <c r="JC53" s="505"/>
      <c r="JF53" s="505"/>
      <c r="JI53" s="505"/>
      <c r="JL53" s="505"/>
      <c r="JO53" s="505"/>
      <c r="JR53" s="505"/>
      <c r="JU53" s="505"/>
    </row>
    <row r="54" spans="3:284" ht="16.5">
      <c r="ET54" s="208" t="s">
        <v>3578</v>
      </c>
      <c r="EU54" s="952"/>
      <c r="EV54" s="215"/>
      <c r="EW54" s="215"/>
      <c r="EX54" s="215"/>
      <c r="EY54" s="215"/>
      <c r="EZ54" s="216" t="s">
        <v>4422</v>
      </c>
      <c r="FA54" s="219"/>
      <c r="FB54" s="215"/>
      <c r="FC54" s="215"/>
      <c r="FD54" s="215"/>
      <c r="FE54" s="215"/>
      <c r="FF54" s="215"/>
      <c r="FG54" s="215"/>
      <c r="FH54" s="215"/>
      <c r="FI54" s="215"/>
      <c r="FJ54" s="215"/>
      <c r="FK54" s="215"/>
      <c r="FL54" s="215"/>
      <c r="FM54" s="215"/>
      <c r="FN54" s="215"/>
      <c r="FO54" s="215"/>
      <c r="FP54" s="215"/>
      <c r="FQ54" s="215"/>
      <c r="FR54" s="215"/>
      <c r="FY54" s="1231"/>
      <c r="FZ54" s="1231"/>
      <c r="GA54" s="1231"/>
      <c r="GB54" s="1231"/>
      <c r="GC54" s="1231"/>
      <c r="GD54" s="1231"/>
      <c r="GE54" s="1231"/>
      <c r="GF54" s="1231"/>
      <c r="GG54" s="1231"/>
      <c r="GH54" s="1231"/>
      <c r="GI54" s="1231"/>
      <c r="GJ54" s="1231"/>
      <c r="GK54" s="1231"/>
      <c r="GL54" s="1231"/>
      <c r="GM54" s="1231"/>
      <c r="GN54" s="1235"/>
      <c r="GO54" s="1235"/>
      <c r="GP54" s="1235"/>
      <c r="GQ54" s="1400"/>
      <c r="GR54" s="1401"/>
      <c r="GS54" s="1401"/>
      <c r="GT54" s="1401"/>
      <c r="GU54" s="1402"/>
      <c r="JC54" s="505"/>
      <c r="JF54" s="505"/>
      <c r="JI54" s="505"/>
      <c r="JL54" s="505"/>
      <c r="JO54" s="505"/>
      <c r="JR54" s="505"/>
      <c r="JU54" s="505"/>
    </row>
    <row r="55" spans="3:284" ht="16.5">
      <c r="C55" s="280" t="s">
        <v>4380</v>
      </c>
      <c r="ET55" s="207"/>
      <c r="EU55" s="215"/>
      <c r="EV55" s="215"/>
      <c r="EW55" s="215"/>
      <c r="EX55" s="215"/>
      <c r="EY55" s="215"/>
      <c r="EZ55" s="215"/>
      <c r="FA55" s="215"/>
      <c r="FB55" s="215"/>
      <c r="FC55" s="215"/>
      <c r="FD55" s="215"/>
      <c r="FE55" s="215"/>
      <c r="FF55" s="215"/>
      <c r="FG55" s="215"/>
      <c r="FH55" s="215"/>
      <c r="FI55" s="215"/>
      <c r="FJ55" s="215"/>
      <c r="FK55" s="215"/>
      <c r="FL55" s="215"/>
      <c r="FM55" s="215"/>
      <c r="FN55" s="215"/>
      <c r="FO55" s="215"/>
      <c r="FP55" s="215"/>
      <c r="FQ55" s="215"/>
      <c r="FR55" s="215"/>
      <c r="JC55" s="505"/>
      <c r="JF55" s="505"/>
      <c r="JI55" s="505"/>
      <c r="JL55" s="505"/>
      <c r="JO55" s="505"/>
      <c r="JR55" s="505"/>
      <c r="JU55" s="505"/>
    </row>
    <row r="56" spans="3:284" ht="16.5">
      <c r="D56" s="280" t="s">
        <v>1398</v>
      </c>
      <c r="E56" s="280" t="s">
        <v>4381</v>
      </c>
      <c r="F56" s="281" t="str">
        <f>"枝番"&amp;UNJC0030_B_EDA&amp;"を削除します。
よろしいですか？"</f>
        <v>枝番1を削除します。
よろしいですか？</v>
      </c>
      <c r="ET56" s="210" t="s">
        <v>1036</v>
      </c>
      <c r="EU56" s="1430"/>
      <c r="EV56" s="1431"/>
      <c r="EW56" s="1431"/>
      <c r="EX56" s="1431"/>
      <c r="EY56" s="1431"/>
      <c r="EZ56" s="1431"/>
      <c r="FA56" s="1432"/>
      <c r="FB56" s="215"/>
      <c r="FC56" s="215"/>
      <c r="FD56" s="215"/>
      <c r="FE56" s="215"/>
      <c r="FF56" s="215"/>
      <c r="FG56" s="215"/>
      <c r="FH56" s="215"/>
      <c r="FI56" s="215"/>
      <c r="FJ56" s="215"/>
      <c r="FK56" s="215"/>
      <c r="FL56" s="215"/>
      <c r="FM56" s="215"/>
      <c r="FN56" s="215"/>
      <c r="FO56" s="215"/>
      <c r="FP56" s="215"/>
      <c r="FQ56" s="215"/>
      <c r="FR56" s="215"/>
      <c r="JC56" s="505"/>
      <c r="JF56" s="505"/>
      <c r="JI56" s="505"/>
      <c r="JL56" s="505"/>
      <c r="JO56" s="505"/>
      <c r="JR56" s="505"/>
      <c r="JU56" s="505"/>
    </row>
    <row r="57" spans="3:284" ht="16.5">
      <c r="ET57" s="210" t="s">
        <v>1040</v>
      </c>
      <c r="EU57" s="1430"/>
      <c r="EV57" s="1431"/>
      <c r="EW57" s="1431"/>
      <c r="EX57" s="1431"/>
      <c r="EY57" s="1431"/>
      <c r="EZ57" s="1431"/>
      <c r="FA57" s="1432"/>
      <c r="FB57" s="215"/>
      <c r="FC57" s="215"/>
      <c r="FD57" s="215"/>
      <c r="FE57" s="215"/>
      <c r="FF57" s="215"/>
      <c r="FG57" s="215"/>
      <c r="FH57" s="215"/>
      <c r="FI57" s="215"/>
      <c r="FJ57" s="215"/>
      <c r="FK57" s="215"/>
      <c r="FL57" s="215"/>
      <c r="FM57" s="215"/>
      <c r="FN57" s="215"/>
      <c r="FO57" s="215"/>
      <c r="FP57" s="215"/>
      <c r="FQ57" s="215"/>
      <c r="FR57" s="215"/>
      <c r="JC57" s="505"/>
      <c r="JF57" s="505"/>
      <c r="JI57" s="505"/>
      <c r="JL57" s="505"/>
      <c r="JO57" s="505"/>
      <c r="JR57" s="505"/>
      <c r="JU57" s="505"/>
    </row>
    <row r="58" spans="3:284" ht="16.5">
      <c r="ET58" s="208" t="s">
        <v>1043</v>
      </c>
      <c r="EU58" s="1430"/>
      <c r="EV58" s="1431"/>
      <c r="EW58" s="1431"/>
      <c r="EX58" s="1431"/>
      <c r="EY58" s="1431"/>
      <c r="EZ58" s="1431"/>
      <c r="FA58" s="1432"/>
      <c r="FB58" s="215"/>
      <c r="FC58" s="215"/>
      <c r="FD58" s="215"/>
      <c r="FE58" s="215"/>
      <c r="FF58" s="215"/>
      <c r="FG58" s="215"/>
      <c r="FH58" s="215"/>
      <c r="FI58" s="215"/>
      <c r="FJ58" s="215"/>
      <c r="FK58" s="215"/>
      <c r="FL58" s="215"/>
      <c r="FM58" s="215"/>
      <c r="FN58" s="215"/>
      <c r="FO58" s="215"/>
      <c r="FP58" s="215"/>
      <c r="FQ58" s="215"/>
      <c r="FR58" s="215"/>
      <c r="JC58" s="505"/>
      <c r="JF58" s="505"/>
      <c r="JI58" s="505"/>
      <c r="JL58" s="505"/>
      <c r="JO58" s="505"/>
      <c r="JR58" s="505"/>
      <c r="JU58" s="505"/>
    </row>
    <row r="59" spans="3:284" ht="16.5">
      <c r="ET59" s="207"/>
      <c r="EU59" s="215"/>
      <c r="EV59" s="215"/>
      <c r="EW59" s="215"/>
      <c r="EX59" s="215"/>
      <c r="EY59" s="215"/>
      <c r="EZ59" s="215"/>
      <c r="FA59" s="215"/>
      <c r="FB59" s="215"/>
      <c r="FC59" s="215"/>
      <c r="FD59" s="215"/>
      <c r="FE59" s="215"/>
      <c r="FF59" s="533"/>
      <c r="FG59" s="215"/>
      <c r="FH59" s="215"/>
      <c r="FI59" s="215"/>
      <c r="FJ59" s="215"/>
      <c r="FK59" s="215"/>
      <c r="FL59" s="215"/>
      <c r="FM59" s="215"/>
      <c r="FN59" s="215"/>
      <c r="FO59" s="215"/>
      <c r="FP59" s="215"/>
      <c r="FQ59" s="215"/>
      <c r="FR59" s="215"/>
      <c r="JC59" s="505"/>
      <c r="JF59" s="505"/>
      <c r="JI59" s="505"/>
      <c r="JL59" s="505"/>
      <c r="JO59" s="505"/>
      <c r="JR59" s="505"/>
      <c r="JU59" s="505"/>
    </row>
    <row r="60" spans="3:284" ht="16.5">
      <c r="ET60" s="207" t="s">
        <v>1414</v>
      </c>
      <c r="EU60" s="215"/>
      <c r="EV60" s="215"/>
      <c r="EW60" s="215"/>
      <c r="EX60" s="215"/>
      <c r="EY60" s="215"/>
      <c r="EZ60" s="215"/>
      <c r="FA60" s="215"/>
      <c r="FB60" s="215"/>
      <c r="FC60" s="215"/>
      <c r="FD60" s="215"/>
      <c r="FE60" s="215"/>
      <c r="FF60" s="215"/>
      <c r="FG60" s="215"/>
      <c r="FH60" s="215"/>
      <c r="FI60" s="215"/>
      <c r="FJ60" s="215"/>
      <c r="FK60" s="215"/>
      <c r="FL60" s="215"/>
      <c r="FM60" s="215"/>
      <c r="FN60" s="215"/>
      <c r="FO60" s="215"/>
      <c r="FP60" s="215"/>
      <c r="FQ60" s="215"/>
      <c r="FR60" s="215"/>
      <c r="JC60" s="505"/>
      <c r="JF60" s="505"/>
      <c r="JI60" s="505"/>
      <c r="JL60" s="505"/>
      <c r="JO60" s="505"/>
      <c r="JR60" s="505"/>
      <c r="JU60" s="505"/>
    </row>
    <row r="61" spans="3:284" ht="16.5">
      <c r="ET61" s="208" t="s">
        <v>1051</v>
      </c>
      <c r="EU61" s="1421"/>
      <c r="EV61" s="1433"/>
      <c r="EW61" s="1422"/>
      <c r="EX61" s="215"/>
      <c r="EY61" s="215"/>
      <c r="EZ61" s="216" t="s">
        <v>1052</v>
      </c>
      <c r="FA61" s="13"/>
      <c r="FB61" s="215"/>
      <c r="FC61" s="215"/>
      <c r="FD61" s="215"/>
      <c r="FE61" s="215"/>
      <c r="FF61" s="215"/>
      <c r="FG61" s="215"/>
      <c r="FH61" s="215"/>
      <c r="FI61" s="215"/>
      <c r="FJ61" s="215"/>
      <c r="FK61" s="215"/>
      <c r="FL61" s="215"/>
      <c r="FM61" s="215"/>
      <c r="FN61" s="215"/>
      <c r="FO61" s="215"/>
      <c r="FP61" s="215"/>
      <c r="FQ61" s="215"/>
      <c r="FR61" s="215"/>
      <c r="JC61" s="505"/>
      <c r="JF61" s="505"/>
      <c r="JI61" s="505"/>
      <c r="JL61" s="505"/>
      <c r="JO61" s="505"/>
      <c r="JR61" s="505"/>
      <c r="JU61" s="505"/>
    </row>
    <row r="62" spans="3:284" ht="16.5">
      <c r="ET62" s="208" t="s">
        <v>1054</v>
      </c>
      <c r="EU62" s="1421"/>
      <c r="EV62" s="1433"/>
      <c r="EW62" s="1422"/>
      <c r="EX62" s="215"/>
      <c r="EY62" s="215"/>
      <c r="EZ62" s="216" t="s">
        <v>1055</v>
      </c>
      <c r="FA62" s="904"/>
      <c r="FB62" s="215"/>
      <c r="FC62" s="215"/>
      <c r="FD62" s="215"/>
      <c r="FE62" s="215"/>
      <c r="FF62" s="215"/>
      <c r="FG62" s="215"/>
      <c r="FH62" s="215"/>
      <c r="FI62" s="215"/>
      <c r="FJ62" s="215"/>
      <c r="FK62" s="215"/>
      <c r="FL62" s="215"/>
      <c r="FM62" s="215"/>
      <c r="FN62" s="215"/>
      <c r="FO62" s="215"/>
      <c r="FP62" s="215"/>
      <c r="FQ62" s="215"/>
      <c r="FR62" s="215"/>
      <c r="JC62" s="505"/>
      <c r="JF62" s="505"/>
      <c r="JI62" s="505"/>
      <c r="JL62" s="505"/>
      <c r="JO62" s="505"/>
      <c r="JR62" s="505"/>
      <c r="JU62" s="505"/>
    </row>
    <row r="63" spans="3:284" ht="16.5">
      <c r="ET63" s="210" t="s">
        <v>1057</v>
      </c>
      <c r="EU63" s="1434"/>
      <c r="EV63" s="1435"/>
      <c r="EW63" s="215"/>
      <c r="EX63" s="215"/>
      <c r="EY63" s="215"/>
      <c r="EZ63" s="216" t="s">
        <v>1058</v>
      </c>
      <c r="FA63" s="904"/>
      <c r="FB63" s="215"/>
      <c r="FC63" s="215"/>
      <c r="FD63" s="215"/>
      <c r="FE63" s="215"/>
      <c r="FF63" s="215"/>
      <c r="FG63" s="215"/>
      <c r="FH63" s="215"/>
      <c r="FI63" s="215"/>
      <c r="FJ63" s="215"/>
      <c r="FK63" s="215"/>
      <c r="FL63" s="215"/>
      <c r="FM63" s="215"/>
      <c r="FN63" s="215"/>
      <c r="FO63" s="215"/>
      <c r="FP63" s="215"/>
      <c r="FQ63" s="215"/>
      <c r="FR63" s="215"/>
      <c r="JC63" s="505"/>
      <c r="JF63" s="505"/>
      <c r="JI63" s="505"/>
      <c r="JL63" s="505"/>
      <c r="JO63" s="505"/>
      <c r="JR63" s="505"/>
      <c r="JU63" s="505"/>
    </row>
    <row r="64" spans="3:284" ht="16.5">
      <c r="ET64" s="208" t="s">
        <v>1060</v>
      </c>
      <c r="EU64" s="1449"/>
      <c r="EV64" s="1450"/>
      <c r="EW64" s="1450"/>
      <c r="EX64" s="1450"/>
      <c r="EY64" s="1451"/>
      <c r="EZ64" s="216" t="s">
        <v>4417</v>
      </c>
      <c r="FA64" s="219"/>
      <c r="FB64" s="215"/>
      <c r="FC64" s="215"/>
      <c r="FD64" s="215"/>
      <c r="FE64" s="215"/>
      <c r="FF64" s="215"/>
      <c r="FG64" s="215"/>
      <c r="FH64" s="215"/>
      <c r="FI64" s="215"/>
      <c r="FJ64" s="215"/>
      <c r="FK64" s="215"/>
      <c r="FL64" s="215"/>
      <c r="FM64" s="215"/>
      <c r="FN64" s="215"/>
      <c r="FO64" s="215"/>
      <c r="FP64" s="215"/>
      <c r="FQ64" s="215"/>
      <c r="FR64" s="215"/>
      <c r="JC64" s="505"/>
      <c r="JF64" s="505"/>
      <c r="JI64" s="505"/>
      <c r="JL64" s="505"/>
      <c r="JO64" s="505"/>
      <c r="JR64" s="505"/>
      <c r="JU64" s="505"/>
    </row>
    <row r="65" spans="150:281" ht="16.5">
      <c r="ET65" s="208"/>
      <c r="EU65" s="1452"/>
      <c r="EV65" s="1453"/>
      <c r="EW65" s="1453"/>
      <c r="EX65" s="1453"/>
      <c r="EY65" s="1454"/>
      <c r="EZ65" s="216" t="s">
        <v>1061</v>
      </c>
      <c r="FA65" s="528"/>
      <c r="FB65" s="216"/>
      <c r="FC65" s="215"/>
      <c r="FD65" s="526"/>
      <c r="FE65" s="215"/>
      <c r="FF65" s="215"/>
      <c r="FG65" s="215"/>
      <c r="FH65" s="215"/>
      <c r="FI65" s="215"/>
      <c r="FJ65" s="215"/>
      <c r="FK65" s="215"/>
      <c r="FL65" s="215"/>
      <c r="FM65" s="215"/>
      <c r="FN65" s="215"/>
      <c r="FO65" s="215"/>
      <c r="FP65" s="215"/>
      <c r="FQ65" s="215"/>
      <c r="FR65" s="215"/>
      <c r="JC65" s="505"/>
      <c r="JF65" s="505"/>
      <c r="JI65" s="505"/>
      <c r="JL65" s="505"/>
      <c r="JO65" s="505"/>
      <c r="JR65" s="505"/>
      <c r="JU65" s="505"/>
    </row>
    <row r="66" spans="150:281" ht="16.5">
      <c r="ET66" s="207"/>
      <c r="EU66" s="215"/>
      <c r="EV66" s="215"/>
      <c r="EW66" s="215"/>
      <c r="EX66" s="215"/>
      <c r="EY66" s="215"/>
      <c r="EZ66" s="215"/>
      <c r="FA66" s="215"/>
      <c r="FB66" s="216"/>
      <c r="FC66" s="215"/>
      <c r="FD66" s="526"/>
      <c r="FE66" s="215"/>
      <c r="FF66" s="215"/>
      <c r="FG66" s="215"/>
      <c r="FH66" s="215"/>
      <c r="FI66" s="215"/>
      <c r="FJ66" s="215"/>
      <c r="FK66" s="215"/>
      <c r="FL66" s="215"/>
      <c r="FM66" s="215"/>
      <c r="FN66" s="215"/>
      <c r="FO66" s="215"/>
      <c r="FP66" s="215"/>
      <c r="FQ66" s="215"/>
      <c r="FR66" s="215"/>
      <c r="JC66" s="505"/>
      <c r="JF66" s="505"/>
      <c r="JI66" s="505"/>
      <c r="JL66" s="505"/>
      <c r="JO66" s="505"/>
      <c r="JR66" s="505"/>
      <c r="JU66" s="505"/>
    </row>
    <row r="67" spans="150:281" ht="16.5">
      <c r="ET67" s="208" t="s">
        <v>1062</v>
      </c>
      <c r="EU67" s="13"/>
      <c r="EV67" s="215"/>
      <c r="EW67" s="215"/>
      <c r="EX67" s="215"/>
      <c r="EY67" s="215"/>
      <c r="EZ67" s="216" t="s">
        <v>1063</v>
      </c>
      <c r="FA67" s="13"/>
      <c r="FB67" s="215"/>
      <c r="FC67" s="215"/>
      <c r="FD67" s="215"/>
      <c r="FE67" s="215"/>
      <c r="FF67" s="215"/>
      <c r="FG67" s="215"/>
      <c r="FH67" s="215"/>
      <c r="FI67" s="215"/>
      <c r="FJ67" s="215"/>
      <c r="FK67" s="215"/>
      <c r="FL67" s="215"/>
      <c r="FM67" s="215"/>
      <c r="FN67" s="215"/>
      <c r="FO67" s="215"/>
      <c r="FP67" s="215"/>
      <c r="FQ67" s="215"/>
      <c r="FR67" s="215"/>
      <c r="JC67" s="505"/>
      <c r="JF67" s="505"/>
      <c r="JI67" s="505"/>
      <c r="JL67" s="505"/>
      <c r="JO67" s="505"/>
      <c r="JR67" s="505"/>
      <c r="JU67" s="505"/>
    </row>
    <row r="68" spans="150:281" ht="16.5">
      <c r="ET68" s="208" t="s">
        <v>1064</v>
      </c>
      <c r="EU68" s="13"/>
      <c r="EV68" s="526"/>
      <c r="EW68" s="215"/>
      <c r="EX68" s="215"/>
      <c r="EY68" s="215"/>
      <c r="EZ68" s="218" t="s">
        <v>1065</v>
      </c>
      <c r="FA68" s="534"/>
      <c r="FB68" s="215"/>
      <c r="FC68" s="215"/>
      <c r="FD68" s="215"/>
      <c r="FE68" s="215"/>
      <c r="FF68" s="215"/>
      <c r="FG68" s="215"/>
      <c r="FH68" s="215"/>
      <c r="FI68" s="215"/>
      <c r="FJ68" s="215"/>
      <c r="FK68" s="215"/>
      <c r="FL68" s="215"/>
      <c r="FM68" s="215"/>
      <c r="FN68" s="215"/>
      <c r="FO68" s="215"/>
      <c r="FP68" s="215"/>
      <c r="FQ68" s="215"/>
      <c r="FR68" s="215"/>
      <c r="JC68" s="505"/>
      <c r="JF68" s="505"/>
      <c r="JI68" s="505"/>
      <c r="JL68" s="505"/>
      <c r="JO68" s="505"/>
      <c r="JR68" s="505"/>
      <c r="JU68" s="505"/>
    </row>
    <row r="69" spans="150:281" ht="16.5">
      <c r="ET69" s="207"/>
      <c r="EU69" s="215"/>
      <c r="EV69" s="215"/>
      <c r="EW69" s="215"/>
      <c r="EX69" s="215"/>
      <c r="EY69" s="215"/>
      <c r="EZ69" s="215"/>
      <c r="FA69" s="215"/>
      <c r="FB69" s="215"/>
      <c r="FC69" s="215"/>
      <c r="FD69" s="215"/>
      <c r="FE69" s="215"/>
      <c r="FF69" s="215"/>
      <c r="FG69" s="215"/>
      <c r="FH69" s="215"/>
      <c r="FI69" s="215"/>
      <c r="FJ69" s="215"/>
      <c r="FK69" s="215"/>
      <c r="FL69" s="215"/>
      <c r="FM69" s="215"/>
      <c r="FN69" s="215"/>
      <c r="FO69" s="215"/>
      <c r="FP69" s="215"/>
      <c r="FQ69" s="215"/>
      <c r="FR69" s="215"/>
      <c r="JC69" s="505"/>
      <c r="JF69" s="505"/>
      <c r="JI69" s="505"/>
      <c r="JL69" s="505"/>
      <c r="JO69" s="505"/>
      <c r="JR69" s="505"/>
      <c r="JU69" s="505"/>
    </row>
    <row r="70" spans="150:281" ht="16.5">
      <c r="ET70" s="210" t="s">
        <v>1066</v>
      </c>
      <c r="EU70" s="13"/>
      <c r="EV70" s="216"/>
      <c r="EW70" s="491" t="s">
        <v>1067</v>
      </c>
      <c r="EX70" s="1354" t="s">
        <v>1068</v>
      </c>
      <c r="EY70" s="1355"/>
      <c r="EZ70" s="1355"/>
      <c r="FA70" s="1356"/>
      <c r="FB70" s="215"/>
      <c r="FC70" s="215"/>
      <c r="FD70" s="215"/>
      <c r="FE70" s="215"/>
      <c r="FF70" s="215"/>
      <c r="FG70" s="215"/>
      <c r="FH70" s="215"/>
      <c r="FI70" s="215"/>
      <c r="FJ70" s="215"/>
      <c r="FK70" s="215"/>
      <c r="FL70" s="215"/>
      <c r="FM70" s="215"/>
      <c r="FN70" s="215"/>
      <c r="FO70" s="215"/>
      <c r="FP70" s="215"/>
      <c r="FQ70" s="215"/>
      <c r="FR70" s="215"/>
      <c r="JC70" s="505"/>
      <c r="JF70" s="505"/>
      <c r="JI70" s="505"/>
      <c r="JL70" s="505"/>
      <c r="JO70" s="505"/>
      <c r="JR70" s="505"/>
      <c r="JU70" s="505"/>
    </row>
    <row r="71" spans="150:281" ht="16.5">
      <c r="ET71" s="210" t="s">
        <v>1069</v>
      </c>
      <c r="EU71" s="13"/>
      <c r="EV71" s="216" t="s">
        <v>1070</v>
      </c>
      <c r="EW71" s="219"/>
      <c r="EX71" s="1430"/>
      <c r="EY71" s="1431"/>
      <c r="EZ71" s="1431"/>
      <c r="FA71" s="1432"/>
      <c r="FB71" s="215"/>
      <c r="FC71" s="215"/>
      <c r="FD71" s="215"/>
      <c r="FE71" s="215"/>
      <c r="FF71" s="215"/>
      <c r="FG71" s="215"/>
      <c r="FH71" s="215"/>
      <c r="FI71" s="215"/>
      <c r="FJ71" s="215"/>
      <c r="FK71" s="215"/>
      <c r="FL71" s="215"/>
      <c r="FM71" s="215"/>
      <c r="FN71" s="215"/>
      <c r="FO71" s="215"/>
      <c r="FP71" s="215"/>
      <c r="FQ71" s="215"/>
      <c r="FR71" s="215"/>
      <c r="JC71" s="505"/>
      <c r="JF71" s="505"/>
      <c r="JI71" s="505"/>
      <c r="JL71" s="505"/>
      <c r="JO71" s="505"/>
      <c r="JR71" s="505"/>
      <c r="JU71" s="505"/>
    </row>
    <row r="72" spans="150:281" ht="16.5">
      <c r="ET72" s="215"/>
      <c r="EU72" s="215"/>
      <c r="EV72" s="216" t="s">
        <v>4418</v>
      </c>
      <c r="EW72" s="219"/>
      <c r="EX72" s="1430"/>
      <c r="EY72" s="1431"/>
      <c r="EZ72" s="1431"/>
      <c r="FA72" s="1432"/>
      <c r="FB72" s="215"/>
      <c r="FC72" s="215"/>
      <c r="FD72" s="215"/>
      <c r="FE72" s="215"/>
      <c r="FF72" s="215"/>
      <c r="FG72" s="215"/>
      <c r="FH72" s="215"/>
      <c r="FI72" s="215"/>
      <c r="FJ72" s="215"/>
      <c r="FK72" s="215"/>
      <c r="FL72" s="215"/>
      <c r="FM72" s="215"/>
      <c r="FN72" s="215"/>
      <c r="FO72" s="215"/>
      <c r="FP72" s="215"/>
      <c r="FQ72" s="215"/>
      <c r="FR72" s="215"/>
      <c r="JC72" s="505"/>
      <c r="JF72" s="505"/>
      <c r="JI72" s="505"/>
      <c r="JL72" s="505"/>
      <c r="JO72" s="505"/>
      <c r="JR72" s="505"/>
      <c r="JU72" s="505"/>
    </row>
    <row r="73" spans="150:281" ht="16.5">
      <c r="ET73" s="215"/>
      <c r="EU73" s="215"/>
      <c r="EV73" s="216" t="s">
        <v>4423</v>
      </c>
      <c r="EW73" s="219"/>
      <c r="EX73" s="1430"/>
      <c r="EY73" s="1431"/>
      <c r="EZ73" s="1431"/>
      <c r="FA73" s="1432"/>
      <c r="FB73" s="215"/>
      <c r="FC73" s="215"/>
      <c r="FD73" s="215"/>
      <c r="FE73" s="215"/>
      <c r="FF73" s="215"/>
      <c r="FG73" s="215"/>
      <c r="FH73" s="215"/>
      <c r="FI73" s="215"/>
      <c r="FJ73" s="215"/>
      <c r="FK73" s="215"/>
      <c r="FL73" s="215"/>
      <c r="FM73" s="215"/>
      <c r="FN73" s="215"/>
      <c r="FO73" s="215"/>
      <c r="FP73" s="215"/>
      <c r="FQ73" s="215"/>
      <c r="FR73" s="215"/>
      <c r="JC73" s="505"/>
      <c r="JF73" s="505"/>
      <c r="JI73" s="505"/>
      <c r="JL73" s="505"/>
      <c r="JO73" s="505"/>
      <c r="JR73" s="505"/>
      <c r="JU73" s="505"/>
    </row>
    <row r="74" spans="150:281" ht="16.5">
      <c r="ET74" s="215"/>
      <c r="EU74" s="215"/>
      <c r="EV74" s="215"/>
      <c r="EW74" s="215"/>
      <c r="EX74" s="215"/>
      <c r="EY74" s="215"/>
      <c r="EZ74" s="215"/>
      <c r="FA74" s="215"/>
      <c r="FB74" s="215"/>
      <c r="FC74" s="215"/>
      <c r="FD74" s="215"/>
      <c r="FE74" s="215"/>
      <c r="FF74" s="215"/>
      <c r="FG74" s="215"/>
      <c r="FH74" s="215"/>
      <c r="FI74" s="215"/>
      <c r="FJ74" s="215"/>
      <c r="FK74" s="215"/>
      <c r="FL74" s="215"/>
      <c r="FM74" s="215"/>
      <c r="FN74" s="215"/>
      <c r="FO74" s="215"/>
      <c r="FP74" s="215"/>
      <c r="FQ74" s="215"/>
      <c r="FR74" s="215"/>
      <c r="JC74" s="505"/>
      <c r="JF74" s="505"/>
      <c r="JI74" s="505"/>
      <c r="JL74" s="505"/>
      <c r="JO74" s="505"/>
      <c r="JR74" s="505"/>
      <c r="JU74" s="505"/>
    </row>
    <row r="75" spans="150:281" ht="16.5">
      <c r="ET75" s="216" t="s">
        <v>1071</v>
      </c>
      <c r="EU75" s="1449"/>
      <c r="EV75" s="1450"/>
      <c r="EW75" s="1450"/>
      <c r="EX75" s="1450"/>
      <c r="EY75" s="1450"/>
      <c r="EZ75" s="1450"/>
      <c r="FA75" s="1451"/>
      <c r="FB75" s="215"/>
      <c r="FC75" s="215"/>
      <c r="FD75" s="215"/>
      <c r="FE75" s="215"/>
      <c r="FF75" s="215"/>
      <c r="FG75" s="215"/>
      <c r="FH75" s="215"/>
      <c r="FI75" s="215"/>
      <c r="FJ75" s="215"/>
      <c r="FK75" s="215"/>
      <c r="FL75" s="215"/>
      <c r="FM75" s="215"/>
      <c r="FN75" s="215"/>
      <c r="FO75" s="215"/>
      <c r="FP75" s="215"/>
      <c r="FQ75" s="215"/>
      <c r="FR75" s="215"/>
      <c r="JC75" s="505"/>
      <c r="JF75" s="505"/>
      <c r="JI75" s="505"/>
      <c r="JL75" s="505"/>
      <c r="JO75" s="505"/>
      <c r="JR75" s="505"/>
      <c r="JU75" s="505"/>
    </row>
    <row r="76" spans="150:281" ht="16.5">
      <c r="ET76" s="216"/>
      <c r="EU76" s="1455"/>
      <c r="EV76" s="1456"/>
      <c r="EW76" s="1456"/>
      <c r="EX76" s="1456"/>
      <c r="EY76" s="1456"/>
      <c r="EZ76" s="1456"/>
      <c r="FA76" s="1457"/>
      <c r="FB76" s="215"/>
      <c r="FC76" s="215"/>
      <c r="FD76" s="215"/>
      <c r="FE76" s="215"/>
      <c r="FF76" s="215"/>
      <c r="FG76" s="215"/>
      <c r="FH76" s="215"/>
      <c r="FI76" s="215"/>
      <c r="FJ76" s="215"/>
      <c r="FK76" s="215"/>
      <c r="FL76" s="215"/>
      <c r="FM76" s="215"/>
      <c r="FN76" s="215"/>
      <c r="FO76" s="215"/>
      <c r="FP76" s="215"/>
      <c r="FQ76" s="215"/>
      <c r="FR76" s="215"/>
      <c r="JC76" s="505"/>
      <c r="JF76" s="505"/>
      <c r="JI76" s="505"/>
      <c r="JL76" s="505"/>
      <c r="JO76" s="505"/>
      <c r="JR76" s="505"/>
      <c r="JU76" s="505"/>
    </row>
    <row r="77" spans="150:281" ht="16.5">
      <c r="ET77" s="216"/>
      <c r="EU77" s="1455"/>
      <c r="EV77" s="1456"/>
      <c r="EW77" s="1456"/>
      <c r="EX77" s="1456"/>
      <c r="EY77" s="1456"/>
      <c r="EZ77" s="1456"/>
      <c r="FA77" s="1457"/>
      <c r="FB77" s="215"/>
      <c r="FC77" s="215"/>
      <c r="FD77" s="215"/>
      <c r="FE77" s="215"/>
      <c r="FF77" s="215"/>
      <c r="FG77" s="215"/>
      <c r="FH77" s="215"/>
      <c r="FI77" s="215"/>
      <c r="FJ77" s="215"/>
      <c r="FK77" s="215"/>
      <c r="FL77" s="215"/>
      <c r="FM77" s="215"/>
      <c r="FN77" s="215"/>
      <c r="FO77" s="215"/>
      <c r="FP77" s="215"/>
      <c r="FQ77" s="215"/>
      <c r="FR77" s="215"/>
      <c r="JC77" s="505"/>
      <c r="JF77" s="505"/>
      <c r="JI77" s="505"/>
      <c r="JL77" s="505"/>
      <c r="JO77" s="505"/>
      <c r="JR77" s="505"/>
      <c r="JU77" s="505"/>
    </row>
    <row r="78" spans="150:281" ht="16.5">
      <c r="ET78" s="216"/>
      <c r="EU78" s="1455"/>
      <c r="EV78" s="1456"/>
      <c r="EW78" s="1456"/>
      <c r="EX78" s="1456"/>
      <c r="EY78" s="1456"/>
      <c r="EZ78" s="1456"/>
      <c r="FA78" s="1457"/>
      <c r="FB78" s="215"/>
      <c r="FC78" s="215"/>
      <c r="FD78" s="215"/>
      <c r="FE78" s="215"/>
      <c r="FF78" s="215"/>
      <c r="FG78" s="215"/>
      <c r="FH78" s="215"/>
      <c r="FI78" s="215"/>
      <c r="FJ78" s="215"/>
      <c r="FK78" s="215"/>
      <c r="FL78" s="215"/>
      <c r="FM78" s="215"/>
      <c r="FN78" s="215"/>
      <c r="FO78" s="215"/>
      <c r="FP78" s="215"/>
      <c r="FQ78" s="215"/>
      <c r="FR78" s="215"/>
      <c r="JC78" s="505"/>
      <c r="JF78" s="505"/>
      <c r="JI78" s="505"/>
      <c r="JL78" s="505"/>
      <c r="JO78" s="505"/>
      <c r="JR78" s="505"/>
      <c r="JU78" s="505"/>
    </row>
    <row r="79" spans="150:281" ht="16.5">
      <c r="ET79" s="215"/>
      <c r="EU79" s="1452"/>
      <c r="EV79" s="1453"/>
      <c r="EW79" s="1453"/>
      <c r="EX79" s="1453"/>
      <c r="EY79" s="1453"/>
      <c r="EZ79" s="1453"/>
      <c r="FA79" s="1454"/>
      <c r="FB79" s="215"/>
      <c r="FC79" s="215"/>
      <c r="FD79" s="215"/>
      <c r="FE79" s="215"/>
      <c r="FF79" s="215"/>
      <c r="FG79" s="215"/>
      <c r="FH79" s="215"/>
      <c r="FI79" s="215"/>
      <c r="FJ79" s="215"/>
      <c r="FK79" s="215"/>
      <c r="FL79" s="215"/>
      <c r="FM79" s="215"/>
      <c r="FN79" s="215"/>
      <c r="FO79" s="215"/>
      <c r="FP79" s="215"/>
      <c r="FQ79" s="215"/>
      <c r="FR79" s="215"/>
      <c r="JC79" s="505"/>
      <c r="JF79" s="505"/>
      <c r="JI79" s="505"/>
      <c r="JL79" s="505"/>
      <c r="JO79" s="505"/>
      <c r="JR79" s="505"/>
      <c r="JU79" s="505"/>
    </row>
    <row r="80" spans="150:281" ht="16.5">
      <c r="ET80" s="215"/>
      <c r="EU80" s="215"/>
      <c r="EV80" s="215"/>
      <c r="EW80" s="215"/>
      <c r="EX80" s="215"/>
      <c r="EY80" s="215"/>
      <c r="EZ80" s="215"/>
      <c r="FA80" s="215"/>
      <c r="FB80" s="215"/>
      <c r="FC80" s="215"/>
      <c r="FD80" s="215"/>
      <c r="FE80" s="215"/>
      <c r="FF80" s="215"/>
      <c r="FG80" s="215"/>
      <c r="FH80" s="215"/>
      <c r="FI80" s="215"/>
      <c r="FJ80" s="215"/>
      <c r="FK80" s="215"/>
      <c r="FL80" s="215"/>
      <c r="FM80" s="215"/>
      <c r="FN80" s="215"/>
      <c r="FO80" s="215"/>
      <c r="FP80" s="215"/>
      <c r="FQ80" s="215"/>
      <c r="FR80" s="215"/>
      <c r="JC80" s="505"/>
      <c r="JF80" s="505"/>
      <c r="JI80" s="505"/>
      <c r="JL80" s="505"/>
      <c r="JO80" s="505"/>
      <c r="JR80" s="505"/>
      <c r="JU80" s="505"/>
    </row>
    <row r="81" spans="149:281" ht="16.5">
      <c r="ET81" s="216" t="s">
        <v>1072</v>
      </c>
      <c r="EU81" s="1368" t="s">
        <v>3572</v>
      </c>
      <c r="EV81" s="1368"/>
      <c r="EW81" s="1368"/>
      <c r="EX81" s="1368"/>
      <c r="EY81" s="1354" t="s">
        <v>1074</v>
      </c>
      <c r="EZ81" s="1356"/>
      <c r="FA81" s="492" t="s">
        <v>4382</v>
      </c>
      <c r="FB81" s="491" t="s">
        <v>1686</v>
      </c>
      <c r="FC81" s="491" t="s">
        <v>1075</v>
      </c>
      <c r="FD81" s="1354" t="s">
        <v>1076</v>
      </c>
      <c r="FE81" s="1355"/>
      <c r="FF81" s="1356"/>
      <c r="FG81" s="491" t="s">
        <v>1077</v>
      </c>
      <c r="FH81" s="1354" t="s">
        <v>33</v>
      </c>
      <c r="FI81" s="1355"/>
      <c r="FJ81" s="1355"/>
      <c r="FK81" s="1355"/>
      <c r="FL81" s="1356"/>
      <c r="FM81" s="172" t="s">
        <v>1078</v>
      </c>
      <c r="FN81" s="172" t="s">
        <v>1079</v>
      </c>
      <c r="FO81" s="172" t="s">
        <v>1080</v>
      </c>
      <c r="FP81" s="492" t="s">
        <v>1081</v>
      </c>
      <c r="FQ81" s="492" t="s">
        <v>1082</v>
      </c>
      <c r="FR81" s="492" t="s">
        <v>1083</v>
      </c>
      <c r="JC81" s="505"/>
      <c r="JF81" s="505"/>
      <c r="JI81" s="505"/>
      <c r="JL81" s="505"/>
      <c r="JO81" s="505"/>
      <c r="JR81" s="505"/>
      <c r="JU81" s="505"/>
    </row>
    <row r="82" spans="149:281" ht="16.5">
      <c r="ET82" s="218" t="s">
        <v>1084</v>
      </c>
      <c r="EU82" s="1458"/>
      <c r="EV82" s="1458"/>
      <c r="EW82" s="1458"/>
      <c r="EX82" s="1458"/>
      <c r="EY82" s="1423"/>
      <c r="EZ82" s="1425"/>
      <c r="FA82" s="530"/>
      <c r="FB82" s="535"/>
      <c r="FC82" s="535"/>
      <c r="FD82" s="1443"/>
      <c r="FE82" s="1444"/>
      <c r="FF82" s="1445"/>
      <c r="FG82" s="220"/>
      <c r="FH82" s="1446"/>
      <c r="FI82" s="1447"/>
      <c r="FJ82" s="1447"/>
      <c r="FK82" s="1447"/>
      <c r="FL82" s="1448"/>
      <c r="FM82" s="688"/>
      <c r="FN82" s="688"/>
      <c r="FO82" s="688"/>
      <c r="FP82" s="217"/>
      <c r="FQ82" s="217"/>
      <c r="FR82" s="217"/>
      <c r="JC82" s="505"/>
      <c r="JF82" s="505"/>
      <c r="JI82" s="505"/>
      <c r="JL82" s="505"/>
      <c r="JO82" s="505"/>
      <c r="JR82" s="505"/>
      <c r="JU82" s="505"/>
    </row>
    <row r="83" spans="149:281" ht="16.5">
      <c r="ET83" s="215"/>
      <c r="EU83" s="1458"/>
      <c r="EV83" s="1458"/>
      <c r="EW83" s="1458"/>
      <c r="EX83" s="1458"/>
      <c r="EY83" s="1423"/>
      <c r="EZ83" s="1425"/>
      <c r="FA83" s="530"/>
      <c r="FB83" s="535"/>
      <c r="FC83" s="535"/>
      <c r="FD83" s="1443"/>
      <c r="FE83" s="1444"/>
      <c r="FF83" s="1445"/>
      <c r="FG83" s="220"/>
      <c r="FH83" s="1446"/>
      <c r="FI83" s="1447"/>
      <c r="FJ83" s="1447"/>
      <c r="FK83" s="1447"/>
      <c r="FL83" s="1448"/>
      <c r="FM83" s="688"/>
      <c r="FN83" s="688"/>
      <c r="FO83" s="688"/>
      <c r="FP83" s="217"/>
      <c r="FQ83" s="217"/>
      <c r="FR83" s="217"/>
      <c r="JC83" s="505"/>
      <c r="JF83" s="505"/>
      <c r="JI83" s="505"/>
      <c r="JL83" s="505"/>
      <c r="JO83" s="505"/>
      <c r="JR83" s="505"/>
      <c r="JU83" s="505"/>
    </row>
    <row r="84" spans="149:281" ht="16.5">
      <c r="ET84" s="215"/>
      <c r="EU84" s="1458"/>
      <c r="EV84" s="1458"/>
      <c r="EW84" s="1458"/>
      <c r="EX84" s="1458"/>
      <c r="EY84" s="1423"/>
      <c r="EZ84" s="1425"/>
      <c r="FA84" s="530"/>
      <c r="FB84" s="535"/>
      <c r="FC84" s="535"/>
      <c r="FD84" s="1443"/>
      <c r="FE84" s="1444"/>
      <c r="FF84" s="1445"/>
      <c r="FG84" s="220"/>
      <c r="FH84" s="1446"/>
      <c r="FI84" s="1447"/>
      <c r="FJ84" s="1447"/>
      <c r="FK84" s="1447"/>
      <c r="FL84" s="1448"/>
      <c r="FM84" s="688"/>
      <c r="FN84" s="688"/>
      <c r="FO84" s="688"/>
      <c r="FP84" s="217"/>
      <c r="FQ84" s="217"/>
      <c r="FR84" s="217"/>
      <c r="JC84" s="505"/>
      <c r="JF84" s="505"/>
      <c r="JI84" s="505"/>
      <c r="JL84" s="505"/>
      <c r="JO84" s="505"/>
      <c r="JR84" s="505"/>
      <c r="JU84" s="505"/>
    </row>
    <row r="85" spans="149:281">
      <c r="ES85" s="280" t="s">
        <v>1415</v>
      </c>
      <c r="JC85" s="505"/>
      <c r="JF85" s="505"/>
      <c r="JI85" s="505"/>
      <c r="JL85" s="505"/>
      <c r="JO85" s="505"/>
      <c r="JR85" s="505"/>
      <c r="JU85" s="505"/>
    </row>
    <row r="86" spans="149:281" ht="18.75">
      <c r="ES86" s="280" t="s">
        <v>1416</v>
      </c>
      <c r="FX86" s="280" t="s">
        <v>1417</v>
      </c>
      <c r="FY86" s="503">
        <v>1</v>
      </c>
      <c r="FZ86" s="824" t="str">
        <f>" / "&amp;IF(UNJC0030_IF_EDA_MAX&lt;UNJC0030_B_EDA,UNJC0030_B_EDA,UNJC0030_IF_EDA_MAX)</f>
        <v xml:space="preserve"> / 1</v>
      </c>
      <c r="GA86" s="207"/>
      <c r="GB86" s="207"/>
      <c r="GC86" s="207"/>
      <c r="GD86" s="207"/>
      <c r="GE86" s="207"/>
      <c r="GF86" s="207"/>
      <c r="GG86" s="207"/>
      <c r="GH86" s="502"/>
      <c r="GI86" s="502"/>
      <c r="GJ86" s="502"/>
      <c r="GK86" s="502"/>
      <c r="GL86" s="502"/>
      <c r="GM86" s="502"/>
      <c r="GN86" s="1240"/>
      <c r="GO86" s="1240"/>
      <c r="GP86" s="1240"/>
      <c r="GQ86" s="1240"/>
      <c r="GR86" s="502"/>
      <c r="GS86" s="502"/>
      <c r="GT86" s="207"/>
      <c r="GU86" s="207"/>
      <c r="GW86" s="280" t="s">
        <v>1418</v>
      </c>
      <c r="GX86" s="172"/>
      <c r="GY86" s="259"/>
      <c r="GZ86" s="950"/>
      <c r="HA86" s="509"/>
      <c r="HB86" s="1403"/>
      <c r="HC86" s="1403"/>
      <c r="HD86" s="1403"/>
      <c r="HE86" s="1403"/>
      <c r="HF86" s="1403"/>
      <c r="HG86" s="1403"/>
      <c r="HH86" s="10"/>
      <c r="HI86" s="10"/>
      <c r="HJ86" s="10"/>
      <c r="HK86" s="10"/>
      <c r="HL86" s="10"/>
      <c r="HM86" s="10"/>
      <c r="HN86" s="10"/>
      <c r="HO86" s="10"/>
      <c r="JC86" s="505"/>
      <c r="JF86" s="505"/>
      <c r="JI86" s="505"/>
      <c r="JL86" s="505"/>
      <c r="JO86" s="505"/>
      <c r="JR86" s="505"/>
      <c r="JU86" s="505"/>
    </row>
    <row r="87" spans="149:281" ht="18.75">
      <c r="FY87" s="502"/>
      <c r="FZ87" s="207"/>
      <c r="GA87" s="207"/>
      <c r="GB87" s="207"/>
      <c r="GC87" s="207"/>
      <c r="GD87" s="207"/>
      <c r="GE87" s="207"/>
      <c r="GF87" s="207"/>
      <c r="GG87" s="207"/>
      <c r="GH87" s="502"/>
      <c r="GI87" s="502"/>
      <c r="GJ87" s="502"/>
      <c r="GK87" s="502"/>
      <c r="GL87" s="502"/>
      <c r="GM87" s="502"/>
      <c r="GN87" s="1240"/>
      <c r="GO87" s="1240"/>
      <c r="GP87" s="1240"/>
      <c r="GQ87" s="1240"/>
      <c r="GR87" s="502"/>
      <c r="GS87" s="502"/>
      <c r="GT87" s="207"/>
      <c r="GU87" s="207"/>
      <c r="JC87" s="505"/>
      <c r="JF87" s="505"/>
      <c r="JI87" s="505"/>
      <c r="JL87" s="505"/>
      <c r="JO87" s="505"/>
      <c r="JR87" s="505"/>
      <c r="JU87" s="505"/>
    </row>
    <row r="88" spans="149:281" ht="18.75">
      <c r="ET88" s="210" t="s">
        <v>67</v>
      </c>
      <c r="EU88" s="259"/>
      <c r="EV88" s="207"/>
      <c r="EW88" s="210" t="s">
        <v>1006</v>
      </c>
      <c r="EX88" s="97"/>
      <c r="EY88" s="207"/>
      <c r="EZ88" s="208" t="s">
        <v>1007</v>
      </c>
      <c r="FA88" s="209"/>
      <c r="FB88" s="207"/>
      <c r="FC88" s="208"/>
      <c r="FD88" s="207"/>
      <c r="FE88" s="207"/>
      <c r="FF88" s="207"/>
      <c r="FG88" s="207"/>
      <c r="FH88" s="207"/>
      <c r="FI88" s="207"/>
      <c r="FJ88" s="207"/>
      <c r="FK88" s="207"/>
      <c r="FL88" s="207"/>
      <c r="FM88" s="207"/>
      <c r="FN88" s="207"/>
      <c r="FO88" s="207"/>
      <c r="FP88" s="207"/>
      <c r="FQ88" s="207"/>
      <c r="FR88" s="207"/>
      <c r="FY88" s="208" t="s">
        <v>1090</v>
      </c>
      <c r="FZ88" s="1383"/>
      <c r="GA88" s="1384"/>
      <c r="GB88" s="207"/>
      <c r="GC88" s="207"/>
      <c r="GD88" s="207"/>
      <c r="GE88" s="207"/>
      <c r="GF88" s="207"/>
      <c r="GG88" s="207"/>
      <c r="GH88" s="502"/>
      <c r="GI88" s="502"/>
      <c r="GJ88" s="502"/>
      <c r="GK88" s="502"/>
      <c r="GL88" s="502"/>
      <c r="GM88" s="502"/>
      <c r="GN88" s="1240"/>
      <c r="GO88" s="1240"/>
      <c r="GP88" s="208" t="s">
        <v>1091</v>
      </c>
      <c r="GQ88" s="97"/>
      <c r="GR88" s="502"/>
      <c r="GS88" s="502"/>
      <c r="GT88" s="1231"/>
      <c r="GU88" s="1231"/>
      <c r="JC88" s="505"/>
      <c r="JF88" s="505"/>
      <c r="JI88" s="505"/>
      <c r="JL88" s="505"/>
      <c r="JO88" s="505"/>
      <c r="JR88" s="505"/>
      <c r="JU88" s="505"/>
    </row>
    <row r="89" spans="149:281" ht="18.75">
      <c r="ET89" s="210" t="s">
        <v>1010</v>
      </c>
      <c r="EU89" s="259"/>
      <c r="EV89" s="207"/>
      <c r="EW89" s="208" t="s">
        <v>1011</v>
      </c>
      <c r="EX89" s="1336"/>
      <c r="EY89" s="1337"/>
      <c r="EZ89" s="208" t="s">
        <v>3550</v>
      </c>
      <c r="FA89" s="889"/>
      <c r="FB89" s="207"/>
      <c r="FC89" s="208"/>
      <c r="FD89" s="207"/>
      <c r="FE89" s="207"/>
      <c r="FF89" s="207"/>
      <c r="FG89" s="207"/>
      <c r="FH89" s="11"/>
      <c r="FI89" s="207"/>
      <c r="FJ89" s="207"/>
      <c r="FK89" s="207"/>
      <c r="FL89" s="207"/>
      <c r="FM89" s="207"/>
      <c r="FN89" s="207"/>
      <c r="FO89" s="207"/>
      <c r="FP89" s="207"/>
      <c r="FQ89" s="207"/>
      <c r="FR89" s="207"/>
      <c r="FY89" s="208" t="s">
        <v>1092</v>
      </c>
      <c r="FZ89" s="1383"/>
      <c r="GA89" s="1384"/>
      <c r="GB89" s="207"/>
      <c r="GC89" s="207"/>
      <c r="GD89" s="207"/>
      <c r="GE89" s="207"/>
      <c r="GF89" s="207"/>
      <c r="GG89" s="207"/>
      <c r="GH89" s="502"/>
      <c r="GI89" s="502"/>
      <c r="GJ89" s="502"/>
      <c r="GK89" s="502"/>
      <c r="GL89" s="502"/>
      <c r="GM89" s="502"/>
      <c r="GN89" s="1240"/>
      <c r="GO89" s="1240"/>
      <c r="GP89" s="208" t="s">
        <v>1093</v>
      </c>
      <c r="GQ89" s="903"/>
      <c r="GR89" s="502"/>
      <c r="GS89" s="502"/>
      <c r="GT89" s="1231"/>
      <c r="GU89" s="1231"/>
      <c r="JC89" s="505"/>
      <c r="JF89" s="505"/>
      <c r="JI89" s="505"/>
      <c r="JL89" s="505"/>
      <c r="JO89" s="505"/>
      <c r="JR89" s="505"/>
      <c r="JU89" s="505"/>
    </row>
    <row r="90" spans="149:281" ht="18.75">
      <c r="ET90" s="210" t="s">
        <v>114</v>
      </c>
      <c r="EU90" s="259"/>
      <c r="EV90" s="214"/>
      <c r="EW90" s="208" t="s">
        <v>116</v>
      </c>
      <c r="EX90" s="204"/>
      <c r="EY90" s="207"/>
      <c r="EZ90" s="208" t="s">
        <v>1013</v>
      </c>
      <c r="FA90" s="31"/>
      <c r="FB90" s="207"/>
      <c r="FC90" s="208"/>
      <c r="FD90" s="207"/>
      <c r="FE90" s="207"/>
      <c r="FF90" s="207"/>
      <c r="FG90" s="207"/>
      <c r="FH90" s="207"/>
      <c r="FI90" s="207"/>
      <c r="FJ90" s="207"/>
      <c r="FK90" s="207"/>
      <c r="FL90" s="207"/>
      <c r="FM90" s="207"/>
      <c r="FN90" s="207"/>
      <c r="FO90" s="207"/>
      <c r="FP90" s="207"/>
      <c r="FQ90" s="207"/>
      <c r="FR90" s="207"/>
      <c r="FY90" s="210" t="s">
        <v>1096</v>
      </c>
      <c r="FZ90" s="514"/>
      <c r="GA90" s="207"/>
      <c r="GB90" s="207"/>
      <c r="GC90" s="207"/>
      <c r="GD90" s="207"/>
      <c r="GE90" s="207"/>
      <c r="GF90" s="207"/>
      <c r="GG90" s="207"/>
      <c r="GH90" s="502"/>
      <c r="GI90" s="502"/>
      <c r="GJ90" s="502"/>
      <c r="GK90" s="502"/>
      <c r="GL90" s="502"/>
      <c r="GM90" s="502"/>
      <c r="GN90" s="1240"/>
      <c r="GO90" s="1240"/>
      <c r="GP90" s="208" t="s">
        <v>1097</v>
      </c>
      <c r="GQ90" s="903"/>
      <c r="GR90" s="502"/>
      <c r="GS90" s="502"/>
      <c r="GT90" s="1231"/>
      <c r="GU90" s="1231"/>
      <c r="JC90" s="505"/>
      <c r="JF90" s="505"/>
      <c r="JI90" s="505"/>
      <c r="JL90" s="505"/>
      <c r="JO90" s="505"/>
      <c r="JR90" s="505"/>
      <c r="JU90" s="505"/>
    </row>
    <row r="91" spans="149:281" ht="18.75">
      <c r="ET91" s="208" t="s">
        <v>1020</v>
      </c>
      <c r="EU91" s="687"/>
      <c r="EV91" s="207"/>
      <c r="EW91" s="208" t="s">
        <v>1018</v>
      </c>
      <c r="EX91" s="1407"/>
      <c r="EY91" s="1407"/>
      <c r="EZ91" s="207"/>
      <c r="FA91" s="207"/>
      <c r="FB91" s="207"/>
      <c r="FC91" s="207"/>
      <c r="FD91" s="207"/>
      <c r="FE91" s="207"/>
      <c r="FF91" s="207"/>
      <c r="FG91" s="207"/>
      <c r="FH91" s="207"/>
      <c r="FI91" s="207"/>
      <c r="FJ91" s="207"/>
      <c r="FK91" s="207"/>
      <c r="FL91" s="207"/>
      <c r="FM91" s="207"/>
      <c r="FN91" s="207"/>
      <c r="FO91" s="207"/>
      <c r="FP91" s="207"/>
      <c r="FQ91" s="207"/>
      <c r="FR91" s="207"/>
      <c r="FY91" s="208" t="s">
        <v>1100</v>
      </c>
      <c r="FZ91" s="1330"/>
      <c r="GA91" s="1385"/>
      <c r="GB91" s="1385"/>
      <c r="GC91" s="1385"/>
      <c r="GD91" s="1385"/>
      <c r="GE91" s="1385"/>
      <c r="GF91" s="1385"/>
      <c r="GG91" s="1386"/>
      <c r="GH91" s="502"/>
      <c r="GI91" s="502"/>
      <c r="GJ91" s="502"/>
      <c r="GK91" s="502"/>
      <c r="GL91" s="502"/>
      <c r="GM91" s="502"/>
      <c r="GN91" s="1240"/>
      <c r="GO91" s="1240"/>
      <c r="GP91" s="208" t="s">
        <v>4420</v>
      </c>
      <c r="GQ91" s="1197"/>
      <c r="GR91" s="502"/>
      <c r="GS91" s="502"/>
      <c r="GT91" s="1231"/>
      <c r="GU91" s="1231"/>
      <c r="JC91" s="505"/>
      <c r="JF91" s="505"/>
      <c r="JI91" s="505"/>
      <c r="JL91" s="505"/>
      <c r="JO91" s="505"/>
      <c r="JR91" s="505"/>
      <c r="JU91" s="505"/>
    </row>
    <row r="92" spans="149:281" ht="18.75">
      <c r="ET92" s="207"/>
      <c r="EU92" s="207"/>
      <c r="EV92" s="207"/>
      <c r="EW92" s="207"/>
      <c r="EX92" s="207"/>
      <c r="EY92" s="207"/>
      <c r="EZ92" s="207"/>
      <c r="FA92" s="207"/>
      <c r="FB92" s="207"/>
      <c r="FC92" s="207"/>
      <c r="FD92" s="207"/>
      <c r="FE92" s="207"/>
      <c r="FF92" s="207"/>
      <c r="FG92" s="207"/>
      <c r="FH92" s="207"/>
      <c r="FI92" s="207"/>
      <c r="FJ92" s="207"/>
      <c r="FK92" s="207"/>
      <c r="FL92" s="207"/>
      <c r="FM92" s="207"/>
      <c r="FN92" s="207"/>
      <c r="FO92" s="207"/>
      <c r="FP92" s="207"/>
      <c r="FQ92" s="207"/>
      <c r="FR92" s="207"/>
      <c r="FY92" s="208"/>
      <c r="FZ92" s="1387"/>
      <c r="GA92" s="1388"/>
      <c r="GB92" s="1388"/>
      <c r="GC92" s="1388"/>
      <c r="GD92" s="1388"/>
      <c r="GE92" s="1388"/>
      <c r="GF92" s="1388"/>
      <c r="GG92" s="1389"/>
      <c r="GH92" s="502"/>
      <c r="GI92" s="502"/>
      <c r="GJ92" s="502"/>
      <c r="GK92" s="502"/>
      <c r="GL92" s="502"/>
      <c r="GM92" s="502"/>
      <c r="GN92" s="1240"/>
      <c r="GO92" s="1240"/>
      <c r="GP92" s="208" t="s">
        <v>1101</v>
      </c>
      <c r="GQ92" s="486"/>
      <c r="GR92" s="502"/>
      <c r="GS92" s="502"/>
      <c r="GT92" s="1231"/>
      <c r="GU92" s="1231"/>
      <c r="JC92" s="505"/>
      <c r="JF92" s="505"/>
      <c r="JI92" s="505"/>
      <c r="JL92" s="505"/>
      <c r="JO92" s="505"/>
      <c r="JR92" s="505"/>
      <c r="JU92" s="505"/>
    </row>
    <row r="93" spans="149:281" ht="18.75">
      <c r="ET93" s="210" t="s">
        <v>1017</v>
      </c>
      <c r="EU93" s="31"/>
      <c r="EV93" s="1338"/>
      <c r="EW93" s="1339"/>
      <c r="EX93" s="1340"/>
      <c r="EY93" s="207"/>
      <c r="EZ93" s="210" t="s">
        <v>4424</v>
      </c>
      <c r="FA93" s="1197"/>
      <c r="FB93" s="207"/>
      <c r="FC93" s="208" t="s">
        <v>4487</v>
      </c>
      <c r="FD93" s="1404" t="str">
        <f>IFERROR(IF(UNJC0030_H_BUNSEKIHOHO="","",INDEX(UNJC0030_IF_LIST_BUN_SORT_MEI,(SUMPRODUCT((UNJC0030_IF_LIST_BUN_SORT_CODE=UNJC0030_H_BUNSEKIHOHO)*(UNJC0030_IF_LIST_BUN_SORT_SEQ=UNJC0030_H_BUN_SORT_SEQ)*ROW(UNJC0030_IF_LIST_BUN_SORT_CODE)))-ROW(UNJC0030_IF_LIST_BUN_SORT_START)+1)),"")</f>
        <v/>
      </c>
      <c r="FE93" s="1405"/>
      <c r="FF93" s="1406"/>
      <c r="FG93" s="207"/>
      <c r="FH93" s="207"/>
      <c r="FI93" s="207"/>
      <c r="FJ93" s="207"/>
      <c r="FK93" s="207"/>
      <c r="FL93" s="207"/>
      <c r="FM93" s="207"/>
      <c r="FN93" s="207"/>
      <c r="FO93" s="207"/>
      <c r="FP93" s="207"/>
      <c r="FQ93" s="207"/>
      <c r="FR93" s="207"/>
      <c r="FY93" s="12"/>
      <c r="FZ93" s="12"/>
      <c r="GA93" s="12"/>
      <c r="GB93" s="12"/>
      <c r="GC93" s="12"/>
      <c r="GD93" s="12"/>
      <c r="GE93" s="12"/>
      <c r="GF93" s="12"/>
      <c r="GG93" s="12"/>
      <c r="GH93" s="502"/>
      <c r="GI93" s="502"/>
      <c r="GJ93" s="502"/>
      <c r="GK93" s="502"/>
      <c r="GL93" s="502"/>
      <c r="GM93" s="502"/>
      <c r="GN93" s="1240"/>
      <c r="GO93" s="1240"/>
      <c r="GP93" s="1240"/>
      <c r="GQ93" s="1240"/>
      <c r="GR93" s="502"/>
      <c r="GS93" s="502"/>
      <c r="GT93" s="12"/>
      <c r="GU93" s="207"/>
      <c r="JC93" s="505"/>
      <c r="JF93" s="505"/>
      <c r="JI93" s="505"/>
      <c r="JL93" s="505"/>
      <c r="JO93" s="505"/>
      <c r="JR93" s="505"/>
      <c r="JU93" s="505"/>
    </row>
    <row r="94" spans="149:281" ht="16.5">
      <c r="ET94" s="210" t="s">
        <v>117</v>
      </c>
      <c r="EU94" s="31"/>
      <c r="EV94" s="1341"/>
      <c r="EW94" s="1342"/>
      <c r="EX94" s="1343"/>
      <c r="EY94" s="207"/>
      <c r="EZ94" s="208" t="s">
        <v>4414</v>
      </c>
      <c r="FA94" s="1197"/>
      <c r="FB94" s="207"/>
      <c r="FC94" s="207"/>
      <c r="FD94" s="207"/>
      <c r="FE94" s="207"/>
      <c r="FF94" s="207"/>
      <c r="FG94" s="207"/>
      <c r="FH94" s="207"/>
      <c r="FI94" s="207"/>
      <c r="FJ94" s="207"/>
      <c r="FK94" s="207"/>
      <c r="FL94" s="207"/>
      <c r="FM94" s="207"/>
      <c r="FN94" s="207"/>
      <c r="FO94" s="207"/>
      <c r="FP94" s="207"/>
      <c r="FQ94" s="207"/>
      <c r="FR94" s="207"/>
      <c r="FY94" s="208" t="s">
        <v>1104</v>
      </c>
      <c r="FZ94" s="478"/>
      <c r="GA94" s="208" t="s">
        <v>793</v>
      </c>
      <c r="GB94" s="1390"/>
      <c r="GC94" s="1391"/>
      <c r="GD94" s="1391"/>
      <c r="GE94" s="1391"/>
      <c r="GF94" s="1391"/>
      <c r="GG94" s="1392"/>
      <c r="GH94" s="207"/>
      <c r="GI94" s="207"/>
      <c r="GJ94" s="207"/>
      <c r="GK94" s="207"/>
      <c r="GL94" s="207"/>
      <c r="GM94" s="207"/>
      <c r="GN94" s="1235"/>
      <c r="GO94" s="1235"/>
      <c r="GP94" s="1235"/>
      <c r="GQ94" s="1235"/>
      <c r="GR94" s="1235"/>
      <c r="GS94" s="1235"/>
      <c r="GT94" s="1235"/>
      <c r="GU94" s="1235"/>
      <c r="JC94" s="505"/>
      <c r="JF94" s="505"/>
      <c r="JI94" s="505"/>
      <c r="JL94" s="505"/>
      <c r="JO94" s="505"/>
      <c r="JR94" s="505"/>
      <c r="JU94" s="505"/>
    </row>
    <row r="95" spans="149:281" ht="16.5">
      <c r="ET95" s="210" t="s">
        <v>4452</v>
      </c>
      <c r="EU95" s="1203"/>
      <c r="EV95" s="1352" t="str">
        <f>IFERROR(IF(UNJC0030_H_BUNSEKIHOHO="","",INDEX(UNJC_BUNSEKI_HOHO_IF_LIST,MATCH(UNJC0030_H_BUNSEKIHOHO,UNJC_BUNSEKI_HOHO_IF_LIST2,0),2)),"")</f>
        <v/>
      </c>
      <c r="EW95" s="1353"/>
      <c r="EX95" s="1353"/>
      <c r="EY95" s="207"/>
      <c r="EZ95" s="210" t="s">
        <v>1023</v>
      </c>
      <c r="FA95" s="72"/>
      <c r="FB95" s="207"/>
      <c r="FC95" s="207"/>
      <c r="FD95" s="207"/>
      <c r="FE95" s="207"/>
      <c r="FF95" s="207"/>
      <c r="FG95" s="207"/>
      <c r="FH95" s="207"/>
      <c r="FI95" s="207"/>
      <c r="FJ95" s="207"/>
      <c r="FK95" s="207"/>
      <c r="FL95" s="207"/>
      <c r="FM95" s="207"/>
      <c r="FN95" s="207"/>
      <c r="FO95" s="207"/>
      <c r="FP95" s="207"/>
      <c r="FQ95" s="207"/>
      <c r="FR95" s="207"/>
      <c r="FY95" s="12"/>
      <c r="FZ95" s="12"/>
      <c r="GA95" s="208" t="str">
        <f>IF(UNJC0030_B_IKKATSU_FLG=TRUE,"一括記載：","")</f>
        <v/>
      </c>
      <c r="GB95" s="504">
        <v>1</v>
      </c>
      <c r="GC95" s="1393" t="str">
        <f>IF(UNJC0030_B_IKKATSU_FLG=TRUE,"試料・単位","")</f>
        <v/>
      </c>
      <c r="GD95" s="1393"/>
      <c r="GE95" s="292" t="str">
        <f>IF(UNJC0030_B_IKKATSU_FLG=TRUE,"×","")</f>
        <v/>
      </c>
      <c r="GF95" s="504">
        <v>1</v>
      </c>
      <c r="GG95" s="83" t="str">
        <f>IF(UNJC0030_B_IKKATSU_FLG=TRUE,"ヶ所・点　＝","")</f>
        <v/>
      </c>
      <c r="GH95" s="207"/>
      <c r="GI95" s="207"/>
      <c r="GJ95" s="207"/>
      <c r="GK95" s="207"/>
      <c r="GL95" s="207"/>
      <c r="GM95" s="207"/>
      <c r="GN95" s="1235"/>
      <c r="GO95" s="1235"/>
      <c r="GP95" s="1235"/>
      <c r="GQ95" s="1235"/>
      <c r="GR95" s="1235"/>
      <c r="GS95" s="1235"/>
      <c r="GT95" s="1235"/>
      <c r="GU95" s="1235"/>
      <c r="JC95" s="505"/>
      <c r="JF95" s="505"/>
      <c r="JI95" s="505"/>
      <c r="JL95" s="505"/>
      <c r="JO95" s="505"/>
      <c r="JR95" s="505"/>
      <c r="JU95" s="505"/>
    </row>
    <row r="96" spans="149:281" ht="16.5">
      <c r="ET96" s="210" t="s">
        <v>1419</v>
      </c>
      <c r="EU96" s="755"/>
      <c r="EV96" s="207"/>
      <c r="EW96" s="207"/>
      <c r="EX96" s="207"/>
      <c r="EY96" s="207"/>
      <c r="EZ96" s="210" t="s">
        <v>1027</v>
      </c>
      <c r="FA96" s="204"/>
      <c r="FB96" s="207"/>
      <c r="FC96" s="207"/>
      <c r="FD96" s="207"/>
      <c r="FE96" s="207"/>
      <c r="FF96" s="207"/>
      <c r="FG96" s="207"/>
      <c r="FH96" s="207"/>
      <c r="FI96" s="207"/>
      <c r="FJ96" s="207"/>
      <c r="FK96" s="207"/>
      <c r="FL96" s="207"/>
      <c r="FM96" s="207"/>
      <c r="FN96" s="207"/>
      <c r="FO96" s="207"/>
      <c r="FP96" s="207"/>
      <c r="FQ96" s="207"/>
      <c r="FR96" s="207"/>
      <c r="FY96" s="208" t="s">
        <v>1109</v>
      </c>
      <c r="FZ96" s="31"/>
      <c r="GA96" s="1394"/>
      <c r="GB96" s="1395"/>
      <c r="GC96" s="1395"/>
      <c r="GD96" s="1395"/>
      <c r="GE96" s="1395"/>
      <c r="GF96" s="1395"/>
      <c r="GG96" s="1396"/>
      <c r="GH96" s="207"/>
      <c r="GI96" s="207"/>
      <c r="GJ96" s="207"/>
      <c r="GK96" s="207"/>
      <c r="GL96" s="207"/>
      <c r="GM96" s="207"/>
      <c r="GN96" s="1235"/>
      <c r="GO96" s="1235"/>
      <c r="GP96" s="1236" t="s">
        <v>4537</v>
      </c>
      <c r="GQ96" s="1375"/>
      <c r="GR96" s="1376"/>
      <c r="GS96" s="1376"/>
      <c r="GT96" s="1376"/>
      <c r="GU96" s="1377"/>
      <c r="JC96" s="505"/>
      <c r="JF96" s="505"/>
      <c r="JI96" s="505"/>
      <c r="JL96" s="505"/>
      <c r="JO96" s="505"/>
      <c r="JR96" s="505"/>
      <c r="JU96" s="505"/>
    </row>
    <row r="97" spans="150:281" ht="16.5">
      <c r="ET97" s="208" t="s">
        <v>1420</v>
      </c>
      <c r="EU97" s="478"/>
      <c r="EV97" s="207"/>
      <c r="EW97" s="208" t="s">
        <v>118</v>
      </c>
      <c r="EX97" s="1201"/>
      <c r="EY97" s="207"/>
      <c r="EZ97" s="208" t="s">
        <v>4415</v>
      </c>
      <c r="FA97" s="1197"/>
      <c r="FB97" s="207"/>
      <c r="FC97" s="207"/>
      <c r="FD97" s="207"/>
      <c r="FE97" s="207"/>
      <c r="FF97" s="207"/>
      <c r="FG97" s="207"/>
      <c r="FH97" s="207"/>
      <c r="FI97" s="207"/>
      <c r="FJ97" s="207"/>
      <c r="FK97" s="207"/>
      <c r="FL97" s="207"/>
      <c r="FM97" s="207"/>
      <c r="FN97" s="207"/>
      <c r="FO97" s="207"/>
      <c r="FP97" s="207"/>
      <c r="FQ97" s="207"/>
      <c r="FR97" s="207"/>
      <c r="FY97" s="1231"/>
      <c r="FZ97" s="1231"/>
      <c r="GA97" s="1231"/>
      <c r="GB97" s="1231"/>
      <c r="GC97" s="1231"/>
      <c r="GD97" s="1231"/>
      <c r="GE97" s="1231"/>
      <c r="GF97" s="1231"/>
      <c r="GG97" s="1231"/>
      <c r="GH97" s="1231"/>
      <c r="GI97" s="1231"/>
      <c r="GJ97" s="1231"/>
      <c r="GK97" s="1231"/>
      <c r="GL97" s="1231"/>
      <c r="GM97" s="1231"/>
      <c r="GN97" s="1231"/>
      <c r="GO97" s="1231"/>
      <c r="GP97" s="1235"/>
      <c r="GQ97" s="1378"/>
      <c r="GR97" s="1379"/>
      <c r="GS97" s="1379"/>
      <c r="GT97" s="1379"/>
      <c r="GU97" s="1380"/>
      <c r="JC97" s="505"/>
      <c r="JF97" s="505"/>
      <c r="JI97" s="505"/>
      <c r="JL97" s="505"/>
      <c r="JO97" s="505"/>
      <c r="JR97" s="505"/>
      <c r="JU97" s="505"/>
    </row>
    <row r="98" spans="150:281" ht="16.5">
      <c r="ET98" s="208" t="s">
        <v>3578</v>
      </c>
      <c r="EU98" s="951"/>
      <c r="EV98" s="207"/>
      <c r="EW98" s="207"/>
      <c r="EX98" s="207"/>
      <c r="EY98" s="207"/>
      <c r="EZ98" s="208" t="s">
        <v>4422</v>
      </c>
      <c r="FA98" s="1197"/>
      <c r="FB98" s="207"/>
      <c r="FC98" s="207"/>
      <c r="FD98" s="207"/>
      <c r="FE98" s="207"/>
      <c r="FF98" s="207"/>
      <c r="FG98" s="207"/>
      <c r="FH98" s="207"/>
      <c r="FI98" s="207"/>
      <c r="FJ98" s="207"/>
      <c r="FK98" s="207"/>
      <c r="FL98" s="207"/>
      <c r="FM98" s="207"/>
      <c r="FN98" s="207"/>
      <c r="FO98" s="207"/>
      <c r="FP98" s="207"/>
      <c r="FQ98" s="207"/>
      <c r="FR98" s="207"/>
      <c r="JC98" s="505"/>
      <c r="JF98" s="505"/>
      <c r="JI98" s="505"/>
      <c r="JL98" s="505"/>
      <c r="JO98" s="505"/>
      <c r="JR98" s="505"/>
      <c r="JU98" s="505"/>
    </row>
    <row r="99" spans="150:281" ht="16.5">
      <c r="ET99" s="207"/>
      <c r="EU99" s="207"/>
      <c r="EV99" s="207"/>
      <c r="EW99" s="207"/>
      <c r="EX99" s="207"/>
      <c r="EY99" s="207"/>
      <c r="EZ99" s="207"/>
      <c r="FA99" s="207"/>
      <c r="FB99" s="207"/>
      <c r="FC99" s="207"/>
      <c r="FD99" s="207"/>
      <c r="FE99" s="207"/>
      <c r="FF99" s="207"/>
      <c r="FG99" s="207"/>
      <c r="FH99" s="207"/>
      <c r="FI99" s="207"/>
      <c r="FJ99" s="207"/>
      <c r="FK99" s="207"/>
      <c r="FL99" s="207"/>
      <c r="FM99" s="207"/>
      <c r="FN99" s="207"/>
      <c r="FO99" s="207"/>
      <c r="FP99" s="207"/>
      <c r="FQ99" s="207"/>
      <c r="FR99" s="207"/>
      <c r="JC99" s="505"/>
      <c r="JF99" s="505"/>
      <c r="JI99" s="505"/>
      <c r="JL99" s="505"/>
      <c r="JO99" s="505"/>
      <c r="JR99" s="505"/>
      <c r="JU99" s="505"/>
    </row>
    <row r="100" spans="150:281" ht="16.5">
      <c r="ET100" s="210" t="s">
        <v>1036</v>
      </c>
      <c r="EU100" s="1344"/>
      <c r="EV100" s="1345"/>
      <c r="EW100" s="1345"/>
      <c r="EX100" s="1345"/>
      <c r="EY100" s="1345"/>
      <c r="EZ100" s="1345"/>
      <c r="FA100" s="1346"/>
      <c r="FB100" s="207"/>
      <c r="FC100" s="207"/>
      <c r="FD100" s="207"/>
      <c r="FE100" s="207"/>
      <c r="FF100" s="207"/>
      <c r="FG100" s="207"/>
      <c r="FH100" s="207"/>
      <c r="FI100" s="207"/>
      <c r="FJ100" s="207"/>
      <c r="FK100" s="207"/>
      <c r="FL100" s="207"/>
      <c r="FM100" s="207"/>
      <c r="FN100" s="207"/>
      <c r="FO100" s="207"/>
      <c r="FP100" s="207"/>
      <c r="FQ100" s="207"/>
      <c r="FR100" s="207"/>
      <c r="JC100" s="505"/>
      <c r="JF100" s="505"/>
      <c r="JI100" s="505"/>
      <c r="JL100" s="505"/>
      <c r="JO100" s="505"/>
      <c r="JR100" s="505"/>
      <c r="JU100" s="505"/>
    </row>
    <row r="101" spans="150:281" ht="16.5">
      <c r="ET101" s="210" t="s">
        <v>1040</v>
      </c>
      <c r="EU101" s="1344"/>
      <c r="EV101" s="1345"/>
      <c r="EW101" s="1345"/>
      <c r="EX101" s="1345"/>
      <c r="EY101" s="1345"/>
      <c r="EZ101" s="1345"/>
      <c r="FA101" s="1346"/>
      <c r="FB101" s="207"/>
      <c r="FC101" s="207"/>
      <c r="FD101" s="207"/>
      <c r="FE101" s="207"/>
      <c r="FF101" s="207"/>
      <c r="FG101" s="207"/>
      <c r="FH101" s="207"/>
      <c r="FI101" s="207"/>
      <c r="FJ101" s="207"/>
      <c r="FK101" s="207"/>
      <c r="FL101" s="207"/>
      <c r="FM101" s="207"/>
      <c r="FN101" s="207"/>
      <c r="FO101" s="207"/>
      <c r="FP101" s="207"/>
      <c r="FQ101" s="207"/>
      <c r="FR101" s="207"/>
      <c r="JC101" s="505"/>
      <c r="JF101" s="505"/>
      <c r="JI101" s="505"/>
      <c r="JL101" s="505"/>
      <c r="JO101" s="505"/>
      <c r="JR101" s="505"/>
      <c r="JU101" s="505"/>
    </row>
    <row r="102" spans="150:281" ht="16.5">
      <c r="ET102" s="208" t="s">
        <v>1043</v>
      </c>
      <c r="EU102" s="1344"/>
      <c r="EV102" s="1345"/>
      <c r="EW102" s="1345"/>
      <c r="EX102" s="1345"/>
      <c r="EY102" s="1345"/>
      <c r="EZ102" s="1345"/>
      <c r="FA102" s="1346"/>
      <c r="FB102" s="207"/>
      <c r="FC102" s="207"/>
      <c r="FD102" s="207"/>
      <c r="FE102" s="207"/>
      <c r="FF102" s="207"/>
      <c r="FG102" s="207"/>
      <c r="FH102" s="207"/>
      <c r="FI102" s="207"/>
      <c r="FJ102" s="207"/>
      <c r="FK102" s="207"/>
      <c r="FL102" s="207"/>
      <c r="FM102" s="207"/>
      <c r="FN102" s="207"/>
      <c r="FO102" s="207"/>
      <c r="FP102" s="207"/>
      <c r="FQ102" s="207"/>
      <c r="FR102" s="207"/>
      <c r="JC102" s="505"/>
      <c r="JF102" s="505"/>
      <c r="JI102" s="505"/>
      <c r="JL102" s="505"/>
      <c r="JO102" s="505"/>
      <c r="JR102" s="505"/>
      <c r="JU102" s="505"/>
    </row>
    <row r="103" spans="150:281" ht="16.5">
      <c r="ET103" s="207"/>
      <c r="EU103" s="207"/>
      <c r="EV103" s="207"/>
      <c r="EW103" s="207"/>
      <c r="EX103" s="207"/>
      <c r="EY103" s="207"/>
      <c r="EZ103" s="207"/>
      <c r="FA103" s="207"/>
      <c r="FB103" s="207"/>
      <c r="FC103" s="207"/>
      <c r="FD103" s="207"/>
      <c r="FE103" s="207"/>
      <c r="FF103" s="481"/>
      <c r="FG103" s="207"/>
      <c r="FH103" s="207"/>
      <c r="FI103" s="207"/>
      <c r="FJ103" s="207"/>
      <c r="FK103" s="207"/>
      <c r="FL103" s="207"/>
      <c r="FM103" s="207"/>
      <c r="FN103" s="207"/>
      <c r="FO103" s="207"/>
      <c r="FP103" s="207"/>
      <c r="FQ103" s="207"/>
      <c r="FR103" s="207"/>
      <c r="JC103" s="505"/>
      <c r="JF103" s="505"/>
      <c r="JI103" s="505"/>
      <c r="JL103" s="505"/>
      <c r="JO103" s="505"/>
      <c r="JR103" s="505"/>
      <c r="JU103" s="505"/>
    </row>
    <row r="104" spans="150:281" ht="16.5">
      <c r="ET104" s="207" t="s">
        <v>1421</v>
      </c>
      <c r="EU104" s="207"/>
      <c r="EV104" s="207"/>
      <c r="EW104" s="207"/>
      <c r="EX104" s="207"/>
      <c r="EY104" s="207"/>
      <c r="EZ104" s="207"/>
      <c r="FA104" s="207"/>
      <c r="FB104" s="207"/>
      <c r="FC104" s="207"/>
      <c r="FD104" s="207"/>
      <c r="FE104" s="207"/>
      <c r="FF104" s="207"/>
      <c r="FG104" s="207"/>
      <c r="FH104" s="207"/>
      <c r="FI104" s="207"/>
      <c r="FJ104" s="207"/>
      <c r="FK104" s="207"/>
      <c r="FL104" s="207"/>
      <c r="FM104" s="207"/>
      <c r="FN104" s="207"/>
      <c r="FO104" s="207"/>
      <c r="FP104" s="207"/>
      <c r="FQ104" s="207"/>
      <c r="FR104" s="207"/>
      <c r="JC104" s="505"/>
      <c r="JF104" s="505"/>
      <c r="JI104" s="505"/>
      <c r="JL104" s="505"/>
      <c r="JO104" s="505"/>
      <c r="JR104" s="505"/>
      <c r="JU104" s="505"/>
    </row>
    <row r="105" spans="150:281" ht="16.5">
      <c r="ET105" s="208" t="s">
        <v>1051</v>
      </c>
      <c r="EU105" s="1383"/>
      <c r="EV105" s="1408"/>
      <c r="EW105" s="1384"/>
      <c r="EX105" s="207"/>
      <c r="EY105" s="207"/>
      <c r="EZ105" s="208" t="s">
        <v>1052</v>
      </c>
      <c r="FA105" s="97"/>
      <c r="FB105" s="207"/>
      <c r="FC105" s="207"/>
      <c r="FD105" s="207"/>
      <c r="FE105" s="207"/>
      <c r="FF105" s="207"/>
      <c r="FG105" s="207"/>
      <c r="FH105" s="207"/>
      <c r="FI105" s="207"/>
      <c r="FJ105" s="207"/>
      <c r="FK105" s="207"/>
      <c r="FL105" s="207"/>
      <c r="FM105" s="207"/>
      <c r="FN105" s="207"/>
      <c r="FO105" s="207"/>
      <c r="FP105" s="207"/>
      <c r="FQ105" s="207"/>
      <c r="FR105" s="207"/>
      <c r="JC105" s="505"/>
      <c r="JF105" s="505"/>
      <c r="JI105" s="505"/>
      <c r="JL105" s="505"/>
      <c r="JO105" s="505"/>
      <c r="JR105" s="505"/>
      <c r="JU105" s="505"/>
    </row>
    <row r="106" spans="150:281" ht="16.5">
      <c r="ET106" s="208" t="s">
        <v>1054</v>
      </c>
      <c r="EU106" s="1383"/>
      <c r="EV106" s="1408"/>
      <c r="EW106" s="1384"/>
      <c r="EX106" s="207"/>
      <c r="EY106" s="207"/>
      <c r="EZ106" s="208" t="s">
        <v>1055</v>
      </c>
      <c r="FA106" s="903"/>
      <c r="FB106" s="207"/>
      <c r="FC106" s="207"/>
      <c r="FD106" s="207"/>
      <c r="FE106" s="207"/>
      <c r="FF106" s="207"/>
      <c r="FG106" s="207"/>
      <c r="FH106" s="207"/>
      <c r="FI106" s="207"/>
      <c r="FJ106" s="207"/>
      <c r="FK106" s="207"/>
      <c r="FL106" s="207"/>
      <c r="FM106" s="207"/>
      <c r="FN106" s="207"/>
      <c r="FO106" s="207"/>
      <c r="FP106" s="207"/>
      <c r="FQ106" s="207"/>
      <c r="FR106" s="207"/>
      <c r="JC106" s="505"/>
      <c r="JF106" s="505"/>
      <c r="JI106" s="505"/>
      <c r="JL106" s="505"/>
      <c r="JO106" s="505"/>
      <c r="JR106" s="505"/>
      <c r="JU106" s="505"/>
    </row>
    <row r="107" spans="150:281" ht="16.5">
      <c r="ET107" s="210" t="s">
        <v>1057</v>
      </c>
      <c r="EU107" s="1409"/>
      <c r="EV107" s="1410"/>
      <c r="EW107" s="207"/>
      <c r="EX107" s="207"/>
      <c r="EY107" s="207"/>
      <c r="EZ107" s="208" t="s">
        <v>1058</v>
      </c>
      <c r="FA107" s="903"/>
      <c r="FB107" s="207"/>
      <c r="FC107" s="207"/>
      <c r="FD107" s="207"/>
      <c r="FE107" s="207"/>
      <c r="FF107" s="207"/>
      <c r="FG107" s="207"/>
      <c r="FH107" s="207"/>
      <c r="FI107" s="207"/>
      <c r="FJ107" s="207"/>
      <c r="FK107" s="207"/>
      <c r="FL107" s="207"/>
      <c r="FM107" s="207"/>
      <c r="FN107" s="207"/>
      <c r="FO107" s="207"/>
      <c r="FP107" s="207"/>
      <c r="FQ107" s="207"/>
      <c r="FR107" s="207"/>
      <c r="JC107" s="505"/>
      <c r="JF107" s="505"/>
      <c r="JI107" s="505"/>
      <c r="JL107" s="505"/>
      <c r="JO107" s="505"/>
      <c r="JR107" s="505"/>
      <c r="JU107" s="505"/>
    </row>
    <row r="108" spans="150:281" ht="16.5">
      <c r="ET108" s="208" t="s">
        <v>1060</v>
      </c>
      <c r="EU108" s="1330"/>
      <c r="EV108" s="1331"/>
      <c r="EW108" s="1331"/>
      <c r="EX108" s="1331"/>
      <c r="EY108" s="1332"/>
      <c r="EZ108" s="208" t="s">
        <v>4417</v>
      </c>
      <c r="FA108" s="1197"/>
      <c r="FB108" s="207"/>
      <c r="FC108" s="207"/>
      <c r="FD108" s="207"/>
      <c r="FE108" s="207"/>
      <c r="FF108" s="207"/>
      <c r="FG108" s="207"/>
      <c r="FH108" s="207"/>
      <c r="FI108" s="207"/>
      <c r="FJ108" s="207"/>
      <c r="FK108" s="207"/>
      <c r="FL108" s="207"/>
      <c r="FM108" s="207"/>
      <c r="FN108" s="207"/>
      <c r="FO108" s="207"/>
      <c r="FP108" s="207"/>
      <c r="FQ108" s="207"/>
      <c r="FR108" s="207"/>
      <c r="JC108" s="505"/>
      <c r="JF108" s="505"/>
      <c r="JI108" s="505"/>
      <c r="JL108" s="505"/>
      <c r="JO108" s="505"/>
      <c r="JR108" s="505"/>
      <c r="JU108" s="505"/>
    </row>
    <row r="109" spans="150:281" ht="16.5">
      <c r="ET109" s="208"/>
      <c r="EU109" s="1333"/>
      <c r="EV109" s="1334"/>
      <c r="EW109" s="1334"/>
      <c r="EX109" s="1334"/>
      <c r="EY109" s="1335"/>
      <c r="EZ109" s="208" t="s">
        <v>1061</v>
      </c>
      <c r="FA109" s="486"/>
      <c r="FB109" s="208"/>
      <c r="FC109" s="207"/>
      <c r="FD109" s="11"/>
      <c r="FE109" s="207"/>
      <c r="FF109" s="207"/>
      <c r="FG109" s="207"/>
      <c r="FH109" s="207"/>
      <c r="FI109" s="207"/>
      <c r="FJ109" s="207"/>
      <c r="FK109" s="207"/>
      <c r="FL109" s="207"/>
      <c r="FM109" s="207"/>
      <c r="FN109" s="207"/>
      <c r="FO109" s="207"/>
      <c r="FP109" s="207"/>
      <c r="FQ109" s="207"/>
      <c r="FR109" s="207"/>
      <c r="JC109" s="505"/>
      <c r="JF109" s="505"/>
      <c r="JI109" s="505"/>
      <c r="JL109" s="505"/>
      <c r="JO109" s="505"/>
      <c r="JR109" s="505"/>
      <c r="JU109" s="505"/>
    </row>
    <row r="110" spans="150:281" ht="16.5">
      <c r="ET110" s="207"/>
      <c r="EU110" s="207"/>
      <c r="EV110" s="207"/>
      <c r="EW110" s="207"/>
      <c r="EX110" s="207"/>
      <c r="EY110" s="207"/>
      <c r="EZ110" s="207"/>
      <c r="FA110" s="207"/>
      <c r="FB110" s="208"/>
      <c r="FC110" s="207"/>
      <c r="FD110" s="11"/>
      <c r="FE110" s="207"/>
      <c r="FF110" s="207"/>
      <c r="FG110" s="207"/>
      <c r="FH110" s="207"/>
      <c r="FI110" s="207"/>
      <c r="FJ110" s="207"/>
      <c r="FK110" s="207"/>
      <c r="FL110" s="207"/>
      <c r="FM110" s="207"/>
      <c r="FN110" s="207"/>
      <c r="FO110" s="207"/>
      <c r="FP110" s="207"/>
      <c r="FQ110" s="207"/>
      <c r="FR110" s="207"/>
      <c r="JC110" s="505"/>
      <c r="JF110" s="505"/>
      <c r="JI110" s="505"/>
      <c r="JL110" s="505"/>
      <c r="JO110" s="505"/>
      <c r="JR110" s="505"/>
      <c r="JU110" s="505"/>
    </row>
    <row r="111" spans="150:281" ht="16.5">
      <c r="ET111" s="208" t="s">
        <v>1062</v>
      </c>
      <c r="EU111" s="225"/>
      <c r="EV111" s="207"/>
      <c r="EW111" s="207"/>
      <c r="EX111" s="207"/>
      <c r="EY111" s="207"/>
      <c r="EZ111" s="208" t="s">
        <v>1063</v>
      </c>
      <c r="FA111" s="97"/>
      <c r="FB111" s="207"/>
      <c r="FC111" s="207"/>
      <c r="FD111" s="207"/>
      <c r="FE111" s="207"/>
      <c r="FF111" s="207"/>
      <c r="FG111" s="207"/>
      <c r="FH111" s="207"/>
      <c r="FI111" s="207"/>
      <c r="FJ111" s="207"/>
      <c r="FK111" s="207"/>
      <c r="FL111" s="207"/>
      <c r="FM111" s="207"/>
      <c r="FN111" s="207"/>
      <c r="FO111" s="207"/>
      <c r="FP111" s="207"/>
      <c r="FQ111" s="207"/>
      <c r="FR111" s="207"/>
      <c r="JC111" s="505"/>
      <c r="JF111" s="505"/>
      <c r="JI111" s="505"/>
      <c r="JL111" s="505"/>
      <c r="JO111" s="505"/>
      <c r="JR111" s="505"/>
      <c r="JU111" s="505"/>
    </row>
    <row r="112" spans="150:281" ht="16.5">
      <c r="ET112" s="208" t="s">
        <v>1064</v>
      </c>
      <c r="EU112" s="97"/>
      <c r="EV112" s="11"/>
      <c r="EW112" s="207"/>
      <c r="EX112" s="207"/>
      <c r="EY112" s="207"/>
      <c r="EZ112" s="210" t="s">
        <v>1065</v>
      </c>
      <c r="FA112" s="517"/>
      <c r="FB112" s="207"/>
      <c r="FC112" s="207"/>
      <c r="FD112" s="207"/>
      <c r="FE112" s="207"/>
      <c r="FF112" s="207"/>
      <c r="FG112" s="207"/>
      <c r="FH112" s="207"/>
      <c r="FI112" s="207"/>
      <c r="FJ112" s="207"/>
      <c r="FK112" s="207"/>
      <c r="FL112" s="207"/>
      <c r="FM112" s="207"/>
      <c r="FN112" s="207"/>
      <c r="FO112" s="207"/>
      <c r="FP112" s="207"/>
      <c r="FQ112" s="207"/>
      <c r="FR112" s="207"/>
      <c r="JC112" s="505"/>
      <c r="JF112" s="505"/>
      <c r="JI112" s="505"/>
      <c r="JL112" s="505"/>
      <c r="JO112" s="505"/>
      <c r="JR112" s="505"/>
      <c r="JU112" s="505"/>
    </row>
    <row r="113" spans="150:281" ht="16.5">
      <c r="ET113" s="207"/>
      <c r="EU113" s="207"/>
      <c r="EV113" s="207"/>
      <c r="EW113" s="207"/>
      <c r="EX113" s="207"/>
      <c r="EY113" s="207"/>
      <c r="EZ113" s="207"/>
      <c r="FA113" s="207"/>
      <c r="FB113" s="207"/>
      <c r="FC113" s="207"/>
      <c r="FD113" s="207"/>
      <c r="FE113" s="207"/>
      <c r="FF113" s="207"/>
      <c r="FG113" s="207"/>
      <c r="FH113" s="207"/>
      <c r="FI113" s="207"/>
      <c r="FJ113" s="207"/>
      <c r="FK113" s="207"/>
      <c r="FL113" s="207"/>
      <c r="FM113" s="207"/>
      <c r="FN113" s="207"/>
      <c r="FO113" s="207"/>
      <c r="FP113" s="207"/>
      <c r="FQ113" s="207"/>
      <c r="FR113" s="207"/>
      <c r="JC113" s="505"/>
      <c r="JF113" s="505"/>
      <c r="JI113" s="505"/>
      <c r="JL113" s="505"/>
      <c r="JO113" s="505"/>
      <c r="JR113" s="505"/>
      <c r="JU113" s="505"/>
    </row>
    <row r="114" spans="150:281" ht="16.5">
      <c r="ET114" s="210" t="s">
        <v>1066</v>
      </c>
      <c r="EU114" s="97"/>
      <c r="EV114" s="208"/>
      <c r="EW114" s="491" t="s">
        <v>1067</v>
      </c>
      <c r="EX114" s="1354" t="s">
        <v>1068</v>
      </c>
      <c r="EY114" s="1355"/>
      <c r="EZ114" s="1355"/>
      <c r="FA114" s="1356"/>
      <c r="FB114" s="207"/>
      <c r="FC114" s="207"/>
      <c r="FD114" s="207"/>
      <c r="FE114" s="207"/>
      <c r="FF114" s="207"/>
      <c r="FG114" s="207"/>
      <c r="FH114" s="207"/>
      <c r="FI114" s="207"/>
      <c r="FJ114" s="207"/>
      <c r="FK114" s="207"/>
      <c r="FL114" s="207"/>
      <c r="FM114" s="207"/>
      <c r="FN114" s="207"/>
      <c r="FO114" s="207"/>
      <c r="FP114" s="207"/>
      <c r="FQ114" s="207"/>
      <c r="FR114" s="207"/>
      <c r="JC114" s="505"/>
      <c r="JF114" s="505"/>
      <c r="JI114" s="505"/>
      <c r="JL114" s="505"/>
      <c r="JO114" s="505"/>
      <c r="JR114" s="505"/>
      <c r="JU114" s="505"/>
    </row>
    <row r="115" spans="150:281" ht="16.5">
      <c r="ET115" s="210" t="s">
        <v>1069</v>
      </c>
      <c r="EU115" s="97"/>
      <c r="EV115" s="208" t="s">
        <v>1070</v>
      </c>
      <c r="EW115" s="72"/>
      <c r="EX115" s="1344"/>
      <c r="EY115" s="1345"/>
      <c r="EZ115" s="1345"/>
      <c r="FA115" s="1346"/>
      <c r="FB115" s="207"/>
      <c r="FC115" s="207"/>
      <c r="FD115" s="207"/>
      <c r="FE115" s="207"/>
      <c r="FF115" s="207"/>
      <c r="FG115" s="207"/>
      <c r="FH115" s="207"/>
      <c r="FI115" s="207"/>
      <c r="FJ115" s="207"/>
      <c r="FK115" s="207"/>
      <c r="FL115" s="207"/>
      <c r="FM115" s="207"/>
      <c r="FN115" s="207"/>
      <c r="FO115" s="207"/>
      <c r="FP115" s="207"/>
      <c r="FQ115" s="207"/>
      <c r="FR115" s="207"/>
      <c r="JC115" s="505"/>
      <c r="JF115" s="505"/>
      <c r="JI115" s="505"/>
      <c r="JL115" s="505"/>
      <c r="JO115" s="505"/>
      <c r="JR115" s="505"/>
      <c r="JU115" s="505"/>
    </row>
    <row r="116" spans="150:281" ht="16.5">
      <c r="ET116" s="207"/>
      <c r="EU116" s="207"/>
      <c r="EV116" s="208" t="s">
        <v>4418</v>
      </c>
      <c r="EW116" s="1197"/>
      <c r="EX116" s="1344"/>
      <c r="EY116" s="1345"/>
      <c r="EZ116" s="1345"/>
      <c r="FA116" s="1346"/>
      <c r="FB116" s="207"/>
      <c r="FC116" s="207"/>
      <c r="FD116" s="207"/>
      <c r="FE116" s="207"/>
      <c r="FF116" s="207"/>
      <c r="FG116" s="207"/>
      <c r="FH116" s="207"/>
      <c r="FI116" s="207"/>
      <c r="FJ116" s="207"/>
      <c r="FK116" s="207"/>
      <c r="FL116" s="207"/>
      <c r="FM116" s="207"/>
      <c r="FN116" s="207"/>
      <c r="FO116" s="207"/>
      <c r="FP116" s="207"/>
      <c r="FQ116" s="207"/>
      <c r="FR116" s="207"/>
      <c r="JC116" s="505"/>
      <c r="JF116" s="505"/>
      <c r="JI116" s="505"/>
      <c r="JL116" s="505"/>
      <c r="JO116" s="505"/>
      <c r="JR116" s="505"/>
      <c r="JU116" s="505"/>
    </row>
    <row r="117" spans="150:281" ht="16.5">
      <c r="ET117" s="207"/>
      <c r="EU117" s="207"/>
      <c r="EV117" s="208" t="s">
        <v>4423</v>
      </c>
      <c r="EW117" s="1197"/>
      <c r="EX117" s="1344"/>
      <c r="EY117" s="1345"/>
      <c r="EZ117" s="1345"/>
      <c r="FA117" s="1346"/>
      <c r="FB117" s="207"/>
      <c r="FC117" s="207"/>
      <c r="FD117" s="207"/>
      <c r="FE117" s="207"/>
      <c r="FF117" s="207"/>
      <c r="FG117" s="207"/>
      <c r="FH117" s="207"/>
      <c r="FI117" s="207"/>
      <c r="FJ117" s="207"/>
      <c r="FK117" s="207"/>
      <c r="FL117" s="207"/>
      <c r="FM117" s="207"/>
      <c r="FN117" s="207"/>
      <c r="FO117" s="207"/>
      <c r="FP117" s="207"/>
      <c r="FQ117" s="207"/>
      <c r="FR117" s="207"/>
      <c r="JC117" s="505"/>
      <c r="JF117" s="505"/>
      <c r="JI117" s="505"/>
      <c r="JL117" s="505"/>
      <c r="JO117" s="505"/>
      <c r="JR117" s="505"/>
      <c r="JU117" s="505"/>
    </row>
    <row r="118" spans="150:281" ht="16.5">
      <c r="ET118" s="207"/>
      <c r="EU118" s="207"/>
      <c r="EV118" s="207"/>
      <c r="EW118" s="207"/>
      <c r="EX118" s="207"/>
      <c r="EY118" s="207"/>
      <c r="EZ118" s="207"/>
      <c r="FA118" s="207"/>
      <c r="FB118" s="207"/>
      <c r="FC118" s="207"/>
      <c r="FD118" s="207"/>
      <c r="FE118" s="207"/>
      <c r="FF118" s="207"/>
      <c r="FG118" s="207"/>
      <c r="FH118" s="207"/>
      <c r="FI118" s="207"/>
      <c r="FJ118" s="207"/>
      <c r="FK118" s="207"/>
      <c r="FL118" s="207"/>
      <c r="FM118" s="207"/>
      <c r="FN118" s="207"/>
      <c r="FO118" s="207"/>
      <c r="FP118" s="207"/>
      <c r="FQ118" s="207"/>
      <c r="FR118" s="207"/>
      <c r="JC118" s="505"/>
      <c r="JF118" s="505"/>
      <c r="JI118" s="505"/>
      <c r="JL118" s="505"/>
      <c r="JO118" s="505"/>
      <c r="JR118" s="505"/>
      <c r="JU118" s="505"/>
    </row>
    <row r="119" spans="150:281" ht="16.5">
      <c r="ET119" s="208" t="s">
        <v>1071</v>
      </c>
      <c r="EU119" s="1330"/>
      <c r="EV119" s="1331"/>
      <c r="EW119" s="1331"/>
      <c r="EX119" s="1331"/>
      <c r="EY119" s="1331"/>
      <c r="EZ119" s="1331"/>
      <c r="FA119" s="1332"/>
      <c r="FB119" s="207"/>
      <c r="FC119" s="207"/>
      <c r="FD119" s="207"/>
      <c r="FE119" s="207"/>
      <c r="FF119" s="207"/>
      <c r="FG119" s="207"/>
      <c r="FH119" s="207"/>
      <c r="FI119" s="207"/>
      <c r="FJ119" s="207"/>
      <c r="FK119" s="207"/>
      <c r="FL119" s="207"/>
      <c r="FM119" s="207"/>
      <c r="FN119" s="207"/>
      <c r="FO119" s="207"/>
      <c r="FP119" s="207"/>
      <c r="FQ119" s="207"/>
      <c r="FR119" s="207"/>
      <c r="JC119" s="505"/>
      <c r="JF119" s="505"/>
      <c r="JI119" s="505"/>
      <c r="JL119" s="505"/>
      <c r="JO119" s="505"/>
      <c r="JR119" s="505"/>
      <c r="JU119" s="505"/>
    </row>
    <row r="120" spans="150:281" ht="16.5">
      <c r="ET120" s="208"/>
      <c r="EU120" s="1360"/>
      <c r="EV120" s="1361"/>
      <c r="EW120" s="1361"/>
      <c r="EX120" s="1361"/>
      <c r="EY120" s="1361"/>
      <c r="EZ120" s="1361"/>
      <c r="FA120" s="1362"/>
      <c r="FB120" s="207"/>
      <c r="FC120" s="207"/>
      <c r="FD120" s="207"/>
      <c r="FE120" s="207"/>
      <c r="FF120" s="207"/>
      <c r="FG120" s="207"/>
      <c r="FH120" s="207"/>
      <c r="FI120" s="207"/>
      <c r="FJ120" s="207"/>
      <c r="FK120" s="207"/>
      <c r="FL120" s="207"/>
      <c r="FM120" s="207"/>
      <c r="FN120" s="207"/>
      <c r="FO120" s="207"/>
      <c r="FP120" s="207"/>
      <c r="FQ120" s="207"/>
      <c r="FR120" s="207"/>
      <c r="JC120" s="505"/>
      <c r="JF120" s="505"/>
      <c r="JI120" s="505"/>
      <c r="JL120" s="505"/>
      <c r="JO120" s="505"/>
      <c r="JR120" s="505"/>
      <c r="JU120" s="505"/>
    </row>
    <row r="121" spans="150:281" ht="16.5">
      <c r="ET121" s="208"/>
      <c r="EU121" s="1360"/>
      <c r="EV121" s="1361"/>
      <c r="EW121" s="1361"/>
      <c r="EX121" s="1361"/>
      <c r="EY121" s="1361"/>
      <c r="EZ121" s="1361"/>
      <c r="FA121" s="1362"/>
      <c r="FB121" s="207"/>
      <c r="FC121" s="207"/>
      <c r="FD121" s="207"/>
      <c r="FE121" s="207"/>
      <c r="FF121" s="207"/>
      <c r="FG121" s="207"/>
      <c r="FH121" s="207"/>
      <c r="FI121" s="207"/>
      <c r="FJ121" s="207"/>
      <c r="FK121" s="207"/>
      <c r="FL121" s="207"/>
      <c r="FM121" s="207"/>
      <c r="FN121" s="207"/>
      <c r="FO121" s="207"/>
      <c r="FP121" s="207"/>
      <c r="FQ121" s="207"/>
      <c r="FR121" s="207"/>
      <c r="JC121" s="505"/>
      <c r="JF121" s="505"/>
      <c r="JI121" s="505"/>
      <c r="JL121" s="505"/>
      <c r="JO121" s="505"/>
      <c r="JR121" s="505"/>
      <c r="JU121" s="505"/>
    </row>
    <row r="122" spans="150:281" ht="16.5">
      <c r="ET122" s="208"/>
      <c r="EU122" s="1360"/>
      <c r="EV122" s="1361"/>
      <c r="EW122" s="1361"/>
      <c r="EX122" s="1361"/>
      <c r="EY122" s="1361"/>
      <c r="EZ122" s="1361"/>
      <c r="FA122" s="1362"/>
      <c r="FB122" s="207"/>
      <c r="FC122" s="207"/>
      <c r="FD122" s="207"/>
      <c r="FE122" s="207"/>
      <c r="FF122" s="207"/>
      <c r="FG122" s="207"/>
      <c r="FH122" s="207"/>
      <c r="FI122" s="207"/>
      <c r="FJ122" s="207"/>
      <c r="FK122" s="207"/>
      <c r="FL122" s="207"/>
      <c r="FM122" s="207"/>
      <c r="FN122" s="207"/>
      <c r="FO122" s="207"/>
      <c r="FP122" s="207"/>
      <c r="FQ122" s="207"/>
      <c r="FR122" s="207"/>
      <c r="JC122" s="505"/>
      <c r="JF122" s="505"/>
      <c r="JI122" s="505"/>
      <c r="JL122" s="505"/>
      <c r="JO122" s="505"/>
      <c r="JR122" s="505"/>
      <c r="JU122" s="505"/>
    </row>
    <row r="123" spans="150:281" ht="16.5">
      <c r="ET123" s="207"/>
      <c r="EU123" s="1333"/>
      <c r="EV123" s="1334"/>
      <c r="EW123" s="1334"/>
      <c r="EX123" s="1334"/>
      <c r="EY123" s="1334"/>
      <c r="EZ123" s="1334"/>
      <c r="FA123" s="1335"/>
      <c r="FB123" s="207"/>
      <c r="FC123" s="207"/>
      <c r="FD123" s="207"/>
      <c r="FE123" s="207"/>
      <c r="FF123" s="207"/>
      <c r="FG123" s="207"/>
      <c r="FH123" s="207"/>
      <c r="FI123" s="207"/>
      <c r="FJ123" s="207"/>
      <c r="FK123" s="207"/>
      <c r="FL123" s="207"/>
      <c r="FM123" s="207"/>
      <c r="FN123" s="207"/>
      <c r="FO123" s="207"/>
      <c r="FP123" s="207"/>
      <c r="FQ123" s="207"/>
      <c r="FR123" s="207"/>
      <c r="JC123" s="505"/>
      <c r="JF123" s="505"/>
      <c r="JI123" s="505"/>
      <c r="JL123" s="505"/>
      <c r="JO123" s="505"/>
      <c r="JR123" s="505"/>
      <c r="JU123" s="505"/>
    </row>
    <row r="124" spans="150:281" ht="16.5">
      <c r="ET124" s="215"/>
      <c r="EU124" s="207"/>
      <c r="EV124" s="207"/>
      <c r="EW124" s="207"/>
      <c r="EX124" s="207"/>
      <c r="EY124" s="207"/>
      <c r="EZ124" s="207"/>
      <c r="FA124" s="207"/>
      <c r="FB124" s="207"/>
      <c r="FC124" s="207"/>
      <c r="FD124" s="207"/>
      <c r="FE124" s="207"/>
      <c r="FF124" s="207"/>
      <c r="FG124" s="207"/>
      <c r="FH124" s="207"/>
      <c r="FI124" s="207"/>
      <c r="FJ124" s="207"/>
      <c r="FK124" s="207"/>
      <c r="FL124" s="207"/>
      <c r="FM124" s="207"/>
      <c r="FN124" s="207"/>
      <c r="FO124" s="207"/>
      <c r="FP124" s="207"/>
      <c r="FQ124" s="207"/>
      <c r="FR124" s="207"/>
      <c r="JC124" s="505"/>
      <c r="JF124" s="505"/>
      <c r="JI124" s="505"/>
      <c r="JL124" s="505"/>
      <c r="JO124" s="505"/>
      <c r="JR124" s="505"/>
      <c r="JU124" s="505"/>
    </row>
    <row r="125" spans="150:281" ht="16.5">
      <c r="ET125" s="216" t="s">
        <v>1072</v>
      </c>
      <c r="EU125" s="1368" t="s">
        <v>3572</v>
      </c>
      <c r="EV125" s="1368"/>
      <c r="EW125" s="1368"/>
      <c r="EX125" s="1368"/>
      <c r="EY125" s="1354" t="s">
        <v>1074</v>
      </c>
      <c r="EZ125" s="1356"/>
      <c r="FA125" s="492" t="s">
        <v>4382</v>
      </c>
      <c r="FB125" s="491" t="s">
        <v>2745</v>
      </c>
      <c r="FC125" s="491" t="s">
        <v>2746</v>
      </c>
      <c r="FD125" s="1354" t="s">
        <v>2747</v>
      </c>
      <c r="FE125" s="1355"/>
      <c r="FF125" s="1356"/>
      <c r="FG125" s="491" t="s">
        <v>1077</v>
      </c>
      <c r="FH125" s="1354" t="s">
        <v>33</v>
      </c>
      <c r="FI125" s="1355"/>
      <c r="FJ125" s="1355"/>
      <c r="FK125" s="1355"/>
      <c r="FL125" s="1356"/>
      <c r="FM125" s="172" t="s">
        <v>1078</v>
      </c>
      <c r="FN125" s="172" t="s">
        <v>1079</v>
      </c>
      <c r="FO125" s="172" t="s">
        <v>1080</v>
      </c>
      <c r="FP125" s="492" t="s">
        <v>1081</v>
      </c>
      <c r="FQ125" s="492" t="s">
        <v>1082</v>
      </c>
      <c r="FR125" s="492" t="s">
        <v>1083</v>
      </c>
      <c r="JC125" s="505"/>
      <c r="JF125" s="505"/>
      <c r="JI125" s="505"/>
      <c r="JL125" s="505"/>
      <c r="JO125" s="505"/>
      <c r="JR125" s="505"/>
      <c r="JU125" s="505"/>
    </row>
    <row r="126" spans="150:281" ht="16.5">
      <c r="ET126" s="218" t="s">
        <v>1084</v>
      </c>
      <c r="EU126" s="1367"/>
      <c r="EV126" s="1367"/>
      <c r="EW126" s="1367"/>
      <c r="EX126" s="1367"/>
      <c r="EY126" s="1369"/>
      <c r="EZ126" s="1370"/>
      <c r="FA126" s="493"/>
      <c r="FB126" s="520"/>
      <c r="FC126" s="520"/>
      <c r="FD126" s="1371"/>
      <c r="FE126" s="1372"/>
      <c r="FF126" s="1373"/>
      <c r="FG126" s="521"/>
      <c r="FH126" s="1412"/>
      <c r="FI126" s="1413"/>
      <c r="FJ126" s="1413"/>
      <c r="FK126" s="1413"/>
      <c r="FL126" s="1414"/>
      <c r="FM126" s="685"/>
      <c r="FN126" s="685"/>
      <c r="FO126" s="685"/>
      <c r="FP126" s="496"/>
      <c r="FQ126" s="496"/>
      <c r="FR126" s="496"/>
      <c r="JC126" s="505"/>
      <c r="JF126" s="505"/>
      <c r="JI126" s="505"/>
      <c r="JL126" s="505"/>
      <c r="JO126" s="505"/>
      <c r="JR126" s="505"/>
      <c r="JU126" s="505"/>
    </row>
    <row r="127" spans="150:281" ht="16.5">
      <c r="ET127" s="215"/>
      <c r="EU127" s="1366"/>
      <c r="EV127" s="1366"/>
      <c r="EW127" s="1366"/>
      <c r="EX127" s="1366"/>
      <c r="EY127" s="1363"/>
      <c r="EZ127" s="1364"/>
      <c r="FA127" s="497"/>
      <c r="FB127" s="522"/>
      <c r="FC127" s="522"/>
      <c r="FD127" s="1255"/>
      <c r="FE127" s="1256"/>
      <c r="FF127" s="1257"/>
      <c r="FG127" s="523"/>
      <c r="FH127" s="1415"/>
      <c r="FI127" s="1416"/>
      <c r="FJ127" s="1416"/>
      <c r="FK127" s="1416"/>
      <c r="FL127" s="1417"/>
      <c r="FM127" s="686"/>
      <c r="FN127" s="686"/>
      <c r="FO127" s="686"/>
      <c r="FP127" s="690"/>
      <c r="FQ127" s="690"/>
      <c r="FR127" s="690"/>
      <c r="JC127" s="505"/>
      <c r="JF127" s="505"/>
      <c r="JI127" s="505"/>
      <c r="JL127" s="505"/>
      <c r="JO127" s="505"/>
      <c r="JR127" s="505"/>
      <c r="JU127" s="505"/>
    </row>
    <row r="128" spans="150:281" ht="16.5">
      <c r="ET128" s="215"/>
      <c r="EU128" s="1366"/>
      <c r="EV128" s="1366"/>
      <c r="EW128" s="1366"/>
      <c r="EX128" s="1366"/>
      <c r="EY128" s="1363"/>
      <c r="EZ128" s="1364"/>
      <c r="FA128" s="497"/>
      <c r="FB128" s="522"/>
      <c r="FC128" s="522"/>
      <c r="FD128" s="1255"/>
      <c r="FE128" s="1256"/>
      <c r="FF128" s="1257"/>
      <c r="FG128" s="523"/>
      <c r="FH128" s="1415"/>
      <c r="FI128" s="1416"/>
      <c r="FJ128" s="1416"/>
      <c r="FK128" s="1416"/>
      <c r="FL128" s="1417"/>
      <c r="FM128" s="686"/>
      <c r="FN128" s="686"/>
      <c r="FO128" s="686"/>
      <c r="FP128" s="690"/>
      <c r="FQ128" s="690"/>
      <c r="FR128" s="690"/>
      <c r="JC128" s="505"/>
      <c r="JF128" s="505"/>
      <c r="JI128" s="505"/>
      <c r="JL128" s="505"/>
      <c r="JO128" s="505"/>
      <c r="JR128" s="505"/>
      <c r="JU128" s="505"/>
    </row>
    <row r="129" spans="263:281">
      <c r="JC129" s="505"/>
      <c r="JF129" s="505"/>
      <c r="JI129" s="505"/>
      <c r="JL129" s="505"/>
      <c r="JO129" s="505"/>
      <c r="JR129" s="505"/>
      <c r="JU129" s="505"/>
    </row>
    <row r="130" spans="263:281">
      <c r="JC130" s="505"/>
      <c r="JF130" s="505"/>
      <c r="JI130" s="505"/>
      <c r="JL130" s="505"/>
      <c r="JO130" s="505"/>
      <c r="JR130" s="505"/>
      <c r="JU130" s="505"/>
    </row>
    <row r="131" spans="263:281">
      <c r="JC131" s="505"/>
      <c r="JF131" s="505"/>
      <c r="JI131" s="505"/>
      <c r="JL131" s="505"/>
      <c r="JO131" s="505"/>
      <c r="JR131" s="505"/>
      <c r="JU131" s="505"/>
    </row>
  </sheetData>
  <mergeCells count="134">
    <mergeCell ref="EU125:EX125"/>
    <mergeCell ref="EU126:EX126"/>
    <mergeCell ref="EU127:EX127"/>
    <mergeCell ref="EU128:EX128"/>
    <mergeCell ref="P11:Q11"/>
    <mergeCell ref="EY127:EZ127"/>
    <mergeCell ref="FD127:FF127"/>
    <mergeCell ref="FH127:FL127"/>
    <mergeCell ref="EY128:EZ128"/>
    <mergeCell ref="FD128:FF128"/>
    <mergeCell ref="FH128:FL128"/>
    <mergeCell ref="EY125:EZ125"/>
    <mergeCell ref="FD125:FF125"/>
    <mergeCell ref="FH125:FL125"/>
    <mergeCell ref="EY126:EZ126"/>
    <mergeCell ref="FD126:FF126"/>
    <mergeCell ref="FH126:FL126"/>
    <mergeCell ref="EU108:EY109"/>
    <mergeCell ref="EX114:FA114"/>
    <mergeCell ref="EX115:FA115"/>
    <mergeCell ref="EX116:FA116"/>
    <mergeCell ref="EX117:FA117"/>
    <mergeCell ref="EU119:FA123"/>
    <mergeCell ref="EU100:FA100"/>
    <mergeCell ref="EU101:FA101"/>
    <mergeCell ref="EU102:FA102"/>
    <mergeCell ref="EU105:EW105"/>
    <mergeCell ref="EU106:EW106"/>
    <mergeCell ref="EU107:EV107"/>
    <mergeCell ref="EV94:EX94"/>
    <mergeCell ref="FZ91:GG92"/>
    <mergeCell ref="GB94:GG94"/>
    <mergeCell ref="GC95:GD95"/>
    <mergeCell ref="GA96:GG96"/>
    <mergeCell ref="EV95:EX95"/>
    <mergeCell ref="HB86:HE86"/>
    <mergeCell ref="HF86:HG86"/>
    <mergeCell ref="EX89:EY89"/>
    <mergeCell ref="FZ88:GA88"/>
    <mergeCell ref="FZ89:GA89"/>
    <mergeCell ref="EV93:EX93"/>
    <mergeCell ref="EX91:EY91"/>
    <mergeCell ref="EY83:EZ83"/>
    <mergeCell ref="FD83:FF83"/>
    <mergeCell ref="FH83:FL83"/>
    <mergeCell ref="EY84:EZ84"/>
    <mergeCell ref="FD84:FF84"/>
    <mergeCell ref="FH84:FL84"/>
    <mergeCell ref="EU83:EX83"/>
    <mergeCell ref="EU84:EX84"/>
    <mergeCell ref="FD93:FF93"/>
    <mergeCell ref="EY81:EZ81"/>
    <mergeCell ref="FD81:FF81"/>
    <mergeCell ref="FH81:FL81"/>
    <mergeCell ref="EY82:EZ82"/>
    <mergeCell ref="FD82:FF82"/>
    <mergeCell ref="FH82:FL82"/>
    <mergeCell ref="EU64:EY65"/>
    <mergeCell ref="EX70:FA70"/>
    <mergeCell ref="EX71:FA71"/>
    <mergeCell ref="EX72:FA72"/>
    <mergeCell ref="EX73:FA73"/>
    <mergeCell ref="EU75:FA79"/>
    <mergeCell ref="EU81:EX81"/>
    <mergeCell ref="EU82:EX82"/>
    <mergeCell ref="EU56:FA56"/>
    <mergeCell ref="EU57:FA57"/>
    <mergeCell ref="EU58:FA58"/>
    <mergeCell ref="EU61:EW61"/>
    <mergeCell ref="EU62:EW62"/>
    <mergeCell ref="EU63:EV63"/>
    <mergeCell ref="EV50:EX50"/>
    <mergeCell ref="FZ48:GG49"/>
    <mergeCell ref="GB51:GG51"/>
    <mergeCell ref="GC52:GD52"/>
    <mergeCell ref="GA53:GG53"/>
    <mergeCell ref="EV51:EX51"/>
    <mergeCell ref="EX45:EY45"/>
    <mergeCell ref="G45:I45"/>
    <mergeCell ref="FZ45:GA45"/>
    <mergeCell ref="G46:I46"/>
    <mergeCell ref="FZ46:GA46"/>
    <mergeCell ref="EV49:EX49"/>
    <mergeCell ref="EX47:EY47"/>
    <mergeCell ref="EY41:EZ41"/>
    <mergeCell ref="FD41:FF41"/>
    <mergeCell ref="FH41:FL41"/>
    <mergeCell ref="EU41:EX41"/>
    <mergeCell ref="FD49:FF49"/>
    <mergeCell ref="HB43:HE43"/>
    <mergeCell ref="HF43:HG43"/>
    <mergeCell ref="FH38:FL38"/>
    <mergeCell ref="EY39:EZ39"/>
    <mergeCell ref="FD39:FF39"/>
    <mergeCell ref="FH39:FL39"/>
    <mergeCell ref="EY40:EZ40"/>
    <mergeCell ref="FD40:FF40"/>
    <mergeCell ref="FH40:FL40"/>
    <mergeCell ref="EU40:EX40"/>
    <mergeCell ref="EX29:FA29"/>
    <mergeCell ref="EX30:FA30"/>
    <mergeCell ref="EU32:FA36"/>
    <mergeCell ref="EY38:EZ38"/>
    <mergeCell ref="FD38:FF38"/>
    <mergeCell ref="EU18:EW18"/>
    <mergeCell ref="EU19:EW19"/>
    <mergeCell ref="EU20:EV20"/>
    <mergeCell ref="EU21:EY22"/>
    <mergeCell ref="EX27:FA27"/>
    <mergeCell ref="EX28:FA28"/>
    <mergeCell ref="GQ53:GU54"/>
    <mergeCell ref="GQ96:GU97"/>
    <mergeCell ref="EX2:EY2"/>
    <mergeCell ref="HB2:HE2"/>
    <mergeCell ref="HF2:HG2"/>
    <mergeCell ref="FZ3:GA3"/>
    <mergeCell ref="IC3:IF3"/>
    <mergeCell ref="IG3:IH3"/>
    <mergeCell ref="GB9:GG9"/>
    <mergeCell ref="GC10:GD10"/>
    <mergeCell ref="GA11:GG11"/>
    <mergeCell ref="FD6:FF6"/>
    <mergeCell ref="GQ11:GU12"/>
    <mergeCell ref="EU13:FA13"/>
    <mergeCell ref="EU14:FA14"/>
    <mergeCell ref="EU15:FA15"/>
    <mergeCell ref="FZ4:GA4"/>
    <mergeCell ref="EV6:EX6"/>
    <mergeCell ref="EX4:EY4"/>
    <mergeCell ref="EV7:EX7"/>
    <mergeCell ref="FZ6:GG7"/>
    <mergeCell ref="EV8:EX8"/>
    <mergeCell ref="EU38:EX38"/>
    <mergeCell ref="EU39:EX39"/>
  </mergeCells>
  <phoneticPr fontId="2"/>
  <conditionalFormatting sqref="GF10 GB10">
    <cfRule type="expression" dxfId="149" priority="3">
      <formula>UNJC0030_B_IKKATSU_FLG=TRUE</formula>
    </cfRule>
  </conditionalFormatting>
  <conditionalFormatting sqref="GF52 GB52">
    <cfRule type="expression" dxfId="148" priority="2">
      <formula>UNJC0030_B_IKKATSU_FLG=TRUE</formula>
    </cfRule>
  </conditionalFormatting>
  <conditionalFormatting sqref="GF95 GB95">
    <cfRule type="expression" dxfId="147" priority="1">
      <formula>UNJC0030_B_IKKATSU_FLG=TRUE</formula>
    </cfRule>
  </conditionalFormatting>
  <dataValidations count="28">
    <dataValidation type="custom" allowBlank="1" showInputMessage="1" showErrorMessage="1" sqref="EV6:EX6 EV93:EX93 EU39:EU41 EU82:EU84 EV49:EX49 EU126:EU128">
      <formula1>LEN(EU6)&lt;=50</formula1>
    </dataValidation>
    <dataValidation type="list" allowBlank="1" showInputMessage="1" sqref="EU20:EV20 EU63:EV63 EU107:EV107 FZ5 FZ90">
      <formula1>UNJC0030_IF_LIST_SAISHU_HOHO</formula1>
    </dataValidation>
    <dataValidation type="list" allowBlank="1" showInputMessage="1" sqref="FA25 FA68 FA112">
      <formula1>UNJC0030_IF_LIST_YOKI_HENKYAKU</formula1>
    </dataValidation>
    <dataValidation type="custom" allowBlank="1" showInputMessage="1" showErrorMessage="1" sqref="HF2:HG2 HF86:HG86 HF43:HG43">
      <formula1>AND(LEN(HF2)=LENB(HF2),LEN(HF2)&lt;=10)</formula1>
    </dataValidation>
    <dataValidation type="custom" allowBlank="1" showInputMessage="1" showErrorMessage="1" sqref="EU97 HA2 EU10 HA43 HA86">
      <formula1>LENB(EU2)&lt;=10</formula1>
    </dataValidation>
    <dataValidation type="custom" allowBlank="1" showInputMessage="1" showErrorMessage="1" sqref="EU13:EU15 EU56:EU58 EU100:EU102">
      <formula1>LENB(EU13)&lt;=90</formula1>
    </dataValidation>
    <dataValidation type="custom" allowBlank="1" showInputMessage="1" showErrorMessage="1" sqref="EX28:EX30 EX71:EX73 EX115:EX117">
      <formula1>LENB(EX28)&lt;=60</formula1>
    </dataValidation>
    <dataValidation type="custom" allowBlank="1" showInputMessage="1" showErrorMessage="1" sqref="EU32 EU75 EU119">
      <formula1>LENB(EU32)&lt;=512</formula1>
    </dataValidation>
    <dataValidation type="custom" allowBlank="1" showInputMessage="1" showErrorMessage="1" sqref="FB39:FC41 FB82:FC84 FB126:FC128">
      <formula1>AND(LEN(FB39)=LENB(FB39),LEN(FB39)&lt;=13)</formula1>
    </dataValidation>
    <dataValidation type="custom" allowBlank="1" showInputMessage="1" showErrorMessage="1" sqref="FD39:FD41 FD82:FD84 FD126:FD128">
      <formula1>AND(LEN(FD39)=LENB(FD39),LEN(FD39)&lt;=320)</formula1>
    </dataValidation>
    <dataValidation type="custom" allowBlank="1" showInputMessage="1" showErrorMessage="1" sqref="FG39:FG41 FG82:FG84 FG126:FG128">
      <formula1>AND(LEN(FG39)=LENB(FG39),LEN(FG39)&lt;=8)</formula1>
    </dataValidation>
    <dataValidation type="custom" allowBlank="1" showInputMessage="1" showErrorMessage="1" sqref="FH39:FH41 FH82:FH84 FH126:FH128">
      <formula1>LENB(FH39)&lt;=200</formula1>
    </dataValidation>
    <dataValidation type="list" allowBlank="1" showInputMessage="1" showErrorMessage="1" sqref="EX1 EX44 EX88">
      <formula1>UNJC0030_IF_LIST_BUNSEKI_KBN</formula1>
    </dataValidation>
    <dataValidation type="list" allowBlank="1" showInputMessage="1" showErrorMessage="1" sqref="EX3 EX46 EX90">
      <formula1>UNJC0030_IF_LIST_DEMPYO_HAKKO_KBN</formula1>
    </dataValidation>
    <dataValidation type="list" allowBlank="1" showInputMessage="1" showErrorMessage="1" sqref="EU9 EU52 EU96">
      <formula1>UNJC0030_IF_LIST_HOKOKUSHO_KEISHIKI_KBN</formula1>
    </dataValidation>
    <dataValidation type="list" allowBlank="1" showInputMessage="1" showErrorMessage="1" sqref="FA9 FA52 FA96">
      <formula1>UNJC0030_IF_LIST_SOKUHO_KBN</formula1>
    </dataValidation>
    <dataValidation type="list" allowBlank="1" showInputMessage="1" showErrorMessage="1" sqref="EU25 EU68 EU112">
      <formula1>UNJC0030_IF_LIST_HOKOKU_GAISO_KBN</formula1>
    </dataValidation>
    <dataValidation type="list" allowBlank="1" showInputMessage="1" showErrorMessage="1" sqref="EU28 EU71 EU115">
      <formula1>UNJC0030_IF_LIST_HOKOKU_HOHO_KBN</formula1>
    </dataValidation>
    <dataValidation type="custom" allowBlank="1" showInputMessage="1" showErrorMessage="1" sqref="FZ3:GA4 EU105:EU106 EU18:EU19 FZ88:GA89 FZ45:GA46 EU61:EU62">
      <formula1>LENB(EU3)&lt;=50</formula1>
    </dataValidation>
    <dataValidation type="custom" allowBlank="1" showInputMessage="1" showErrorMessage="1" sqref="FZ6:GG7 EU21 EU64 FZ48:GG49 FZ91:GG92 EU108">
      <formula1>LENB(EU6)&lt;=128</formula1>
    </dataValidation>
    <dataValidation type="custom" allowBlank="1" showInputMessage="1" showErrorMessage="1" sqref="FA105:FA107 FA111 FA24 FA18:FA20 FA67 GQ3:GQ5 GQ45:GQ47 FA61:FA63 GQ88:GQ90">
      <formula1>LENB(FA3)&lt;=20</formula1>
    </dataValidation>
    <dataValidation type="time" allowBlank="1" showInputMessage="1" showErrorMessage="1" sqref="GQ7 FA22 FA65 GQ49 GQ92 FA109">
      <formula1>0</formula1>
      <formula2>0.999305555555556</formula2>
    </dataValidation>
    <dataValidation type="whole" allowBlank="1" showInputMessage="1" showErrorMessage="1" sqref="GB10 GF10 EU27 EU70 GB52 GF52 GF95 GB95 EU114">
      <formula1>0</formula1>
      <formula2>999</formula2>
    </dataValidation>
    <dataValidation type="custom" allowBlank="1" showInputMessage="1" showErrorMessage="1" sqref="GB9:GG9 FA39:FA41 EY39:EY41 HB2:HE2 FA82:FA84 EY82:EY84 GB51:GG51 FA126:FA128 EY126:EY128 GB94:GG94 HB86:HE86 HB43:HE43 FZ9 FZ51 FZ94">
      <formula1>LENB(EY2)&lt;=40</formula1>
    </dataValidation>
    <dataValidation type="list" allowBlank="1" showInputMessage="1" showErrorMessage="1" sqref="FZ47">
      <formula1>UNJC0030_IF_LIST_SAISHU_HOHO</formula1>
    </dataValidation>
    <dataValidation type="custom" allowBlank="1" showInputMessage="1" showErrorMessage="1" sqref="FA2 FA89">
      <formula1>AND(LEN(FA2)=LENB(FA2),LEN(FA2)=10)</formula1>
    </dataValidation>
    <dataValidation type="list" allowBlank="1" showDropDown="1" showInputMessage="1" showErrorMessage="1" sqref="EU8 EU95">
      <formula1>UNJC_BUNSEKI_HOHO_IF_LIST2</formula1>
    </dataValidation>
    <dataValidation type="date" allowBlank="1" showInputMessage="1" showErrorMessage="1" sqref="FA6:FA7 FA10:FA11 FA21 EW29:EW30 GQ6 FA93:FA94 FA97:FA98 FA108 EW116:EW117 GQ91">
      <formula1>36526</formula1>
      <formula2>73415</formula2>
    </dataValidation>
  </dataValidation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2:H104"/>
  <sheetViews>
    <sheetView zoomScale="85" zoomScaleNormal="85" workbookViewId="0">
      <pane ySplit="5" topLeftCell="A65" activePane="bottomLeft" state="frozen"/>
      <selection activeCell="C12" sqref="C12"/>
      <selection pane="bottomLeft" activeCell="D65" sqref="D65"/>
    </sheetView>
  </sheetViews>
  <sheetFormatPr defaultRowHeight="13.5"/>
  <cols>
    <col min="1" max="1" width="7.875" style="278" customWidth="1"/>
    <col min="2" max="2" width="17.625" style="278" customWidth="1"/>
    <col min="3" max="3" width="49.375" style="278" bestFit="1" customWidth="1"/>
    <col min="4" max="4" width="50.625" style="278" customWidth="1"/>
    <col min="5" max="5" width="9" style="278"/>
    <col min="6" max="6" width="13.5" style="278" bestFit="1" customWidth="1"/>
    <col min="7" max="7" width="14.25" style="278" customWidth="1"/>
    <col min="8" max="16384" width="9" style="278"/>
  </cols>
  <sheetData>
    <row r="2" spans="1:8" s="279" customFormat="1">
      <c r="A2" s="278"/>
      <c r="C2" s="536" t="s">
        <v>28</v>
      </c>
      <c r="D2" s="536" t="str">
        <f>IF(UNJC0030_IF_JURI_NO=0,"",UNJC0030_IF_JURI_NO)</f>
        <v/>
      </c>
      <c r="E2" s="537"/>
      <c r="F2" s="536" t="s">
        <v>1422</v>
      </c>
      <c r="G2" s="536">
        <f>UNJC0030_IF_W_USER_ID</f>
        <v>0</v>
      </c>
    </row>
    <row r="3" spans="1:8">
      <c r="C3" s="255" t="s">
        <v>1120</v>
      </c>
      <c r="D3" s="255">
        <f>UNJC0030_IF_EDA</f>
        <v>1</v>
      </c>
      <c r="F3" s="255" t="s">
        <v>1324</v>
      </c>
      <c r="G3" s="255">
        <f>UNJC0030_IF_W_MODE</f>
        <v>0</v>
      </c>
      <c r="H3" s="278" t="s">
        <v>1834</v>
      </c>
    </row>
    <row r="4" spans="1:8">
      <c r="C4" s="255" t="s">
        <v>1422</v>
      </c>
      <c r="D4" s="255">
        <f>UNJC0030_IF_W_USER_ID</f>
        <v>0</v>
      </c>
    </row>
    <row r="5" spans="1:8">
      <c r="C5" s="255" t="s">
        <v>1423</v>
      </c>
      <c r="D5" s="255">
        <f>UNJC0030_IF_W_SERIAL</f>
        <v>0</v>
      </c>
    </row>
    <row r="8" spans="1:8">
      <c r="B8" s="264" t="s">
        <v>1424</v>
      </c>
      <c r="C8" s="289" t="s">
        <v>1425</v>
      </c>
      <c r="D8" s="273" t="str">
        <f>D9&amp;D10&amp;D11&amp;D12</f>
        <v xml:space="preserve">SELECT *
  FROM V_BUN_JUCHU_H
 WHERE 1 = 1
   AND V_BUN_JUCHU_H.W_USER_ID = '0'
   AND V_BUN_JUCHU_H.W_SERIAL  = '0'
</v>
      </c>
    </row>
    <row r="9" spans="1:8" ht="40.5">
      <c r="B9" s="290"/>
      <c r="C9" s="289" t="s">
        <v>1426</v>
      </c>
      <c r="D9" s="538" t="s">
        <v>1427</v>
      </c>
    </row>
    <row r="10" spans="1:8" ht="27">
      <c r="B10" s="290"/>
      <c r="C10" s="289" t="s">
        <v>1428</v>
      </c>
      <c r="D10" s="538" t="s">
        <v>3094</v>
      </c>
    </row>
    <row r="11" spans="1:8">
      <c r="B11" s="290"/>
      <c r="C11" s="289" t="s">
        <v>1429</v>
      </c>
      <c r="D11" s="278" t="str">
        <f>"   AND V_BUN_JUCHU_H.W_USER_ID = '"&amp;D4&amp;"'
"</f>
        <v xml:space="preserve">   AND V_BUN_JUCHU_H.W_USER_ID = '0'
</v>
      </c>
    </row>
    <row r="12" spans="1:8">
      <c r="B12" s="290"/>
      <c r="C12" s="289" t="s">
        <v>1430</v>
      </c>
      <c r="D12" s="278" t="str">
        <f>"   AND V_BUN_JUCHU_H.W_SERIAL  = '"&amp;D5&amp;"'
"</f>
        <v xml:space="preserve">   AND V_BUN_JUCHU_H.W_SERIAL  = '0'
</v>
      </c>
    </row>
    <row r="13" spans="1:8">
      <c r="B13" s="290"/>
      <c r="C13" s="290"/>
    </row>
    <row r="14" spans="1:8">
      <c r="B14" s="264" t="s">
        <v>1836</v>
      </c>
      <c r="C14" s="289" t="s">
        <v>1837</v>
      </c>
      <c r="D14" s="273" t="str">
        <f>D15&amp;D16</f>
        <v xml:space="preserve">SELECT MOD_DATE_TIME   AS MOD_DATE_TIME
      ,M_SHAIN.SHIMEI  AS SHIMEI
  FROM T_BUN_STS_R AS TBL_A
  LEFT JOIN
       M_SHAIN
    ON M_SHAIN.SHAIN_CD = TBL_A.DBS_UPDATE_USER
 WHERE TBL_A.MOD_DATE_TIME = ( SELECT MAX(MOD_DATE_TIME)
                                       FROM T_BUN_STS_R AS TBL_B
                                      WHERE TBL_B.JURI_NO = TBL_A.JURI_NO )
   AND TBL_A.JURI_NO = ''
</v>
      </c>
    </row>
    <row r="15" spans="1:8" ht="162">
      <c r="B15" s="290"/>
      <c r="C15" s="289" t="s">
        <v>1426</v>
      </c>
      <c r="D15" s="538" t="s">
        <v>3790</v>
      </c>
    </row>
    <row r="16" spans="1:8">
      <c r="B16" s="290"/>
      <c r="C16" s="289" t="s">
        <v>1428</v>
      </c>
      <c r="D16" s="278" t="str">
        <f>"   AND TBL_A.JURI_NO = '"&amp;
IF(OR(G3=5,G3=6),"",D2)&amp;"'
"</f>
        <v xml:space="preserve">   AND TBL_A.JURI_NO = ''
</v>
      </c>
    </row>
    <row r="17" spans="2:4">
      <c r="B17" s="290"/>
      <c r="C17" s="289"/>
    </row>
    <row r="18" spans="2:4">
      <c r="B18" s="290"/>
      <c r="C18" s="290"/>
    </row>
    <row r="19" spans="2:4">
      <c r="B19" s="264" t="s">
        <v>1431</v>
      </c>
      <c r="C19" s="289" t="s">
        <v>1432</v>
      </c>
      <c r="D19" s="273" t="str">
        <f>D20&amp;D21&amp;D22&amp;D23&amp;D24</f>
        <v xml:space="preserve">SELECT *
  FROM V_BUN_JUCHU_B
 WHERE 1 = 1
   AND V_BUN_JUCHU_B.JURI_EDA_NO = 1
   AND V_BUN_JUCHU_B.W_USER_ID   = '0'
   AND V_BUN_JUCHU_B.W_SERIAL    = '0'
</v>
      </c>
    </row>
    <row r="20" spans="2:4" ht="40.5">
      <c r="B20" s="290"/>
      <c r="C20" s="290" t="s">
        <v>1426</v>
      </c>
      <c r="D20" s="538" t="s">
        <v>1433</v>
      </c>
    </row>
    <row r="21" spans="2:4" ht="27">
      <c r="B21" s="290"/>
      <c r="C21" s="289" t="s">
        <v>1428</v>
      </c>
      <c r="D21" s="538" t="s">
        <v>3094</v>
      </c>
    </row>
    <row r="22" spans="2:4">
      <c r="B22" s="290"/>
      <c r="C22" s="289" t="s">
        <v>1434</v>
      </c>
      <c r="D22" s="278" t="str">
        <f>"   AND V_BUN_JUCHU_B.JURI_EDA_NO = "&amp;D3&amp;"
"</f>
        <v xml:space="preserve">   AND V_BUN_JUCHU_B.JURI_EDA_NO = 1
</v>
      </c>
    </row>
    <row r="23" spans="2:4">
      <c r="B23" s="290"/>
      <c r="C23" s="289" t="s">
        <v>1429</v>
      </c>
      <c r="D23" s="278" t="str">
        <f>"   AND V_BUN_JUCHU_B.W_USER_ID   = '"&amp;D4&amp;"'
"</f>
        <v xml:space="preserve">   AND V_BUN_JUCHU_B.W_USER_ID   = '0'
</v>
      </c>
    </row>
    <row r="24" spans="2:4">
      <c r="B24" s="290"/>
      <c r="C24" s="289" t="s">
        <v>1430</v>
      </c>
      <c r="D24" s="278" t="str">
        <f>"   AND V_BUN_JUCHU_B.W_SERIAL    = '"&amp;D5&amp;"'
"</f>
        <v xml:space="preserve">   AND V_BUN_JUCHU_B.W_SERIAL    = '0'
</v>
      </c>
    </row>
    <row r="25" spans="2:4">
      <c r="B25" s="290"/>
      <c r="C25" s="289"/>
    </row>
    <row r="28" spans="2:4">
      <c r="B28" s="264" t="s">
        <v>1435</v>
      </c>
      <c r="C28" s="289" t="s">
        <v>1436</v>
      </c>
      <c r="D28" s="273" t="str">
        <f>D29&amp;D30&amp;D31&amp;D32&amp;D33</f>
        <v xml:space="preserve">SELECT *
  FROM V_BUN_JUCHU_SHOSAI
 WHERE 1 = 1
   AND V_BUN_JUCHU_SHOSAI.JURI_EDA_NO = 1
   AND V_BUN_JUCHU_SHOSAI.W_USER_ID   = '0'
   AND V_BUN_JUCHU_SHOSAI.W_SERIAL    = '0'
</v>
      </c>
    </row>
    <row r="29" spans="2:4" ht="40.5">
      <c r="C29" s="290" t="s">
        <v>1426</v>
      </c>
      <c r="D29" s="538" t="s">
        <v>1437</v>
      </c>
    </row>
    <row r="30" spans="2:4" ht="27">
      <c r="C30" s="289" t="s">
        <v>1428</v>
      </c>
      <c r="D30" s="538" t="s">
        <v>3094</v>
      </c>
    </row>
    <row r="31" spans="2:4">
      <c r="C31" s="289" t="s">
        <v>1434</v>
      </c>
      <c r="D31" s="278" t="str">
        <f>"   AND V_BUN_JUCHU_SHOSAI.JURI_EDA_NO = "&amp;D3&amp;"
"</f>
        <v xml:space="preserve">   AND V_BUN_JUCHU_SHOSAI.JURI_EDA_NO = 1
</v>
      </c>
    </row>
    <row r="32" spans="2:4">
      <c r="C32" s="289" t="s">
        <v>1429</v>
      </c>
      <c r="D32" s="278" t="str">
        <f>"   AND V_BUN_JUCHU_SHOSAI.W_USER_ID   = '"&amp;D4&amp;"'
"</f>
        <v xml:space="preserve">   AND V_BUN_JUCHU_SHOSAI.W_USER_ID   = '0'
</v>
      </c>
    </row>
    <row r="33" spans="2:4">
      <c r="C33" s="289" t="s">
        <v>1430</v>
      </c>
      <c r="D33" s="278" t="str">
        <f>"   AND V_BUN_JUCHU_SHOSAI.W_SERIAL    = '"&amp;D5&amp;"'
"</f>
        <v xml:space="preserve">   AND V_BUN_JUCHU_SHOSAI.W_SERIAL    = '0'
</v>
      </c>
    </row>
    <row r="34" spans="2:4">
      <c r="C34" s="289"/>
    </row>
    <row r="37" spans="2:4">
      <c r="B37" s="264" t="s">
        <v>1438</v>
      </c>
      <c r="C37" s="289" t="s">
        <v>1439</v>
      </c>
      <c r="D37" s="273" t="str">
        <f>D38&amp;D39&amp;D40&amp;D41&amp;D42</f>
        <v xml:space="preserve">SELECT *
  FROM W_BUN_JUCHU
 WHERE 1 = 1
   AND W_BUN_JUCHU.JURI_EDA_NO = 1
   AND W_BUN_JUCHU.W_USER_ID   = '0'
   AND W_BUN_JUCHU.W_SERIAL    = '0'
</v>
      </c>
    </row>
    <row r="38" spans="2:4" ht="40.5">
      <c r="C38" s="290" t="s">
        <v>1426</v>
      </c>
      <c r="D38" s="538" t="s">
        <v>1440</v>
      </c>
    </row>
    <row r="39" spans="2:4" ht="27">
      <c r="C39" s="289" t="s">
        <v>1428</v>
      </c>
      <c r="D39" s="538" t="s">
        <v>3094</v>
      </c>
    </row>
    <row r="40" spans="2:4">
      <c r="C40" s="289" t="s">
        <v>1434</v>
      </c>
      <c r="D40" s="278" t="str">
        <f>"   AND W_BUN_JUCHU.JURI_EDA_NO = "&amp;D3&amp;"
"</f>
        <v xml:space="preserve">   AND W_BUN_JUCHU.JURI_EDA_NO = 1
</v>
      </c>
    </row>
    <row r="41" spans="2:4">
      <c r="C41" s="289" t="s">
        <v>1429</v>
      </c>
      <c r="D41" s="278" t="str">
        <f>"   AND W_BUN_JUCHU.W_USER_ID   = '"&amp;D4&amp;"'
"</f>
        <v xml:space="preserve">   AND W_BUN_JUCHU.W_USER_ID   = '0'
</v>
      </c>
    </row>
    <row r="42" spans="2:4">
      <c r="C42" s="289" t="s">
        <v>1430</v>
      </c>
      <c r="D42" s="278" t="str">
        <f>"   AND W_BUN_JUCHU.W_SERIAL    = '"&amp;D5&amp;"'
"</f>
        <v xml:space="preserve">   AND W_BUN_JUCHU.W_SERIAL    = '0'
</v>
      </c>
    </row>
    <row r="44" spans="2:4">
      <c r="B44" s="279" t="s">
        <v>2212</v>
      </c>
      <c r="C44" s="289" t="s">
        <v>2211</v>
      </c>
      <c r="D44" s="273" t="str">
        <f>D45&amp;D46&amp;D47</f>
        <v xml:space="preserve">SELECT MAX(W_BUN_JUCHU.JURI_EDA_NO)
  FROM W_BUN_JUCHU
 WHERE W_BUN_JUCHU.W_USER_ID = '0'
   AND W_BUN_JUCHU.W_SERIAL  = '0'
</v>
      </c>
    </row>
    <row r="45" spans="2:4" ht="40.5">
      <c r="C45" s="290" t="s">
        <v>1426</v>
      </c>
      <c r="D45" s="538" t="s">
        <v>2210</v>
      </c>
    </row>
    <row r="46" spans="2:4">
      <c r="C46" s="289" t="s">
        <v>1429</v>
      </c>
      <c r="D46" s="278" t="str">
        <f>" WHERE W_BUN_JUCHU.W_USER_ID = '"&amp;D4&amp;"'
"</f>
        <v xml:space="preserve"> WHERE W_BUN_JUCHU.W_USER_ID = '0'
</v>
      </c>
    </row>
    <row r="47" spans="2:4">
      <c r="C47" s="289" t="s">
        <v>1430</v>
      </c>
      <c r="D47" s="278" t="str">
        <f>"   AND W_BUN_JUCHU.W_SERIAL  = '"&amp;D5&amp;"'
"</f>
        <v xml:space="preserve">   AND W_BUN_JUCHU.W_SERIAL  = '0'
</v>
      </c>
    </row>
    <row r="49" spans="2:4">
      <c r="B49" s="279" t="s">
        <v>1441</v>
      </c>
      <c r="C49" s="289" t="s">
        <v>1442</v>
      </c>
      <c r="D49" s="273" t="str">
        <f>D50&amp;D51&amp;D52</f>
        <v xml:space="preserve">SELECT MAX(W_BUN_JUCHU.JURI_EDA_NO) + 1
  FROM W_BUN_JUCHU
 WHERE W_BUN_JUCHU.W_USER_ID = '0'
   AND W_BUN_JUCHU.W_SERIAL  = '0'
</v>
      </c>
    </row>
    <row r="50" spans="2:4" ht="40.5">
      <c r="C50" s="290" t="s">
        <v>1426</v>
      </c>
      <c r="D50" s="538" t="s">
        <v>1443</v>
      </c>
    </row>
    <row r="51" spans="2:4">
      <c r="C51" s="289" t="s">
        <v>1429</v>
      </c>
      <c r="D51" s="278" t="str">
        <f>" WHERE W_BUN_JUCHU.W_USER_ID = '"&amp;D4&amp;"'
"</f>
        <v xml:space="preserve"> WHERE W_BUN_JUCHU.W_USER_ID = '0'
</v>
      </c>
    </row>
    <row r="52" spans="2:4">
      <c r="C52" s="289" t="s">
        <v>1430</v>
      </c>
      <c r="D52" s="278" t="str">
        <f>"   AND W_BUN_JUCHU.W_SERIAL  = '"&amp;D5&amp;"'
"</f>
        <v xml:space="preserve">   AND W_BUN_JUCHU.W_SERIAL  = '0'
</v>
      </c>
    </row>
    <row r="54" spans="2:4">
      <c r="B54" s="279" t="s">
        <v>1444</v>
      </c>
      <c r="C54" s="539" t="s">
        <v>1445</v>
      </c>
      <c r="D54" s="273" t="str">
        <f>D55&amp;D56&amp;D57</f>
        <v xml:space="preserve">SELECT M_BUNSEKI_GUN_B.SEQ          AS GYO_NO           --行番号
      ,M_BUNSEKI_GUN_B.BUNSEKI_CD   AS BUNSEKI_CD       --分析項目CD
      ,M_SHOHIN.SHOHIN_MEI          AS BUNSEKI_MEI      --分析項目名
      ,M_SHOHIN.BUNSEKI_TANI        AS BUNSEKI_TANI     --単位
      ,NULL                         AS BLANK1           --空白１
      ,NULL                         AS BLANK2           --空白２
      ,NULL                         AS BLANK3           --空白３
      ,NULL                         AS BLANK4           --空白４
      ,M_SHOHIN.BUNSEKI_NO          AS BUNSEKI_NO       --分析番号
  FROM M_BUNSEKI_GUN_H
  LEFT JOIN
       M_BUNSEKI_GUN_B
    ON M_BUNSEKI_GUN_B.BUNSEKI_GUN_CD = M_BUNSEKI_GUN_H.BUNSEKI_GUN_CD
  LEFT JOIN
       M_SHOHIN
    ON M_SHOHIN.SHOHIN_CD = M_BUNSEKI_GUN_B.BUNSEKI_CD
 WHERE M_BUNSEKI_GUN_H.BUNSEKI_GUN_CD = ''
 ORDER BY
       M_BUNSEKI_GUN_B.SEQ
</v>
      </c>
    </row>
    <row r="55" spans="2:4" ht="31.5" customHeight="1">
      <c r="C55" s="540" t="s">
        <v>1426</v>
      </c>
      <c r="D55" s="538" t="s">
        <v>1446</v>
      </c>
    </row>
    <row r="56" spans="2:4">
      <c r="C56" s="541" t="s">
        <v>1447</v>
      </c>
      <c r="D56" s="278" t="str">
        <f>" WHERE M_BUNSEKI_GUN_H.BUNSEKI_GUN_CD = '"&amp;UNJC0030_B_BUNSEKI_GUN_CD&amp;"'
"</f>
        <v xml:space="preserve"> WHERE M_BUNSEKI_GUN_H.BUNSEKI_GUN_CD = ''
</v>
      </c>
    </row>
    <row r="57" spans="2:4" ht="40.5">
      <c r="C57" s="541" t="s">
        <v>1448</v>
      </c>
      <c r="D57" s="538" t="s">
        <v>1449</v>
      </c>
    </row>
    <row r="59" spans="2:4">
      <c r="B59" s="279" t="s">
        <v>1450</v>
      </c>
      <c r="C59" s="539" t="s">
        <v>1451</v>
      </c>
      <c r="D59" s="273" t="str">
        <f>D60&amp;D61</f>
        <v xml:space="preserve">SELECT *
  FROM V_BUN_JUCHU_LABEL_DATA
 WHERE V_BUN_JUCHU_LABEL_DATA.JURI_NO = ''
</v>
      </c>
    </row>
    <row r="60" spans="2:4" ht="40.5">
      <c r="C60" s="540" t="s">
        <v>1426</v>
      </c>
      <c r="D60" s="538" t="s">
        <v>1452</v>
      </c>
    </row>
    <row r="61" spans="2:4">
      <c r="C61" s="541" t="s">
        <v>1428</v>
      </c>
      <c r="D61" s="278" t="str">
        <f>" WHERE V_BUN_JUCHU_LABEL_DATA.JURI_NO = '"&amp;D2&amp;"'
"</f>
        <v xml:space="preserve"> WHERE V_BUN_JUCHU_LABEL_DATA.JURI_NO = ''
</v>
      </c>
    </row>
    <row r="63" spans="2:4">
      <c r="B63" s="279" t="s">
        <v>1453</v>
      </c>
      <c r="C63" s="539" t="s">
        <v>1454</v>
      </c>
      <c r="D63" s="273" t="s">
        <v>1455</v>
      </c>
    </row>
    <row r="65" spans="2:7">
      <c r="B65" s="279" t="s">
        <v>1456</v>
      </c>
      <c r="C65" s="539" t="s">
        <v>1457</v>
      </c>
      <c r="D65" s="273" t="str">
        <f>"SELECT *
  FROM V_BUN_JUCHU_B_EXCEL
 WHERE V_BUN_JUCHU_B_EXCEL.JURI_NO = '"&amp;D2&amp;"'"</f>
        <v>SELECT *
  FROM V_BUN_JUCHU_B_EXCEL
 WHERE V_BUN_JUCHU_B_EXCEL.JURI_NO = ''</v>
      </c>
    </row>
    <row r="68" spans="2:7" ht="45" customHeight="1">
      <c r="B68" s="539" t="s">
        <v>1458</v>
      </c>
      <c r="C68" s="289" t="s">
        <v>1459</v>
      </c>
      <c r="D68" s="266" t="str">
        <f>D69&amp;D70&amp;D71</f>
        <v xml:space="preserve">SELECT M_MEISHO_B.MEISHO_CD             AS ステータスCD
      ,M_MEISHO_B.DATA_1                AS ステータス名
      ,M_SHAIN.SHIMEI                   AS 更新者名
      ,MAX_BUN_STS_R.MOD_DATE_TIME      AS 更新日時
  FROM M_MEISHO_B
  LEFT JOIN
       (SELECT JURI_NO
              ,AFTER_STS
              ,MAX(MOD_DATE_TIME) AS MOD_DATE_TIME
          FROM T_BUN_STS_R
         GROUP BY
              JURI_NO
             ,AFTER_STS
       ) AS MAX_BUN_STS_R
    ON MAX_BUN_STS_R.AFTER_STS = M_MEISHO_B.MEISHO_CD
   AND MAX_BUN_STS_R.JURI_NO = ''
  LEFT JOIN
       T_BUN_STS_R AS J_BUN_STS_R
    ON J_BUN_STS_R.JURI_NO        = MAX_BUN_STS_R.JURI_NO
   AND J_BUN_STS_R.AFTER_STS      = MAX_BUN_STS_R.AFTER_STS
   AND J_BUN_STS_R.MOD_DATE_TIME  = MAX_BUN_STS_R.MOD_DATE_TIME
  LEFT JOIN
       M_SHAIN
    ON M_SHAIN.SHAIN_CD = J_BUN_STS_R.DBS_UPDATE_USER
  WHERE M_MEISHO_B.MEISHO_KBN = 'S003'
  ORDER BY
        M_MEISHO_B.SORT_NO ASC
       ,CAST(M_MEISHO_B.MEISHO_CD AS INT) ASC
</v>
      </c>
    </row>
    <row r="69" spans="2:7" ht="45" customHeight="1">
      <c r="C69" s="540" t="s">
        <v>1426</v>
      </c>
      <c r="D69" s="538" t="s">
        <v>2780</v>
      </c>
    </row>
    <row r="70" spans="2:7" ht="45" customHeight="1">
      <c r="C70" s="540" t="s">
        <v>1460</v>
      </c>
      <c r="D70" s="538" t="str">
        <f>"  LEFT JOIN
       (SELECT JURI_NO
              ,AFTER_STS
              ,MAX(MOD_DATE_TIME) AS MOD_DATE_TIME
          FROM T_BUN_STS_R
         GROUP BY
              JURI_NO
             ,AFTER_STS
       ) AS MAX_BUN_STS_R"&amp;"
    ON MAX_BUN_STS_R.AFTER_STS = M_MEISHO_B.MEISHO_CD
   AND MAX_BUN_STS_R.JURI_NO = '"&amp;D2&amp;"'
  LEFT JOIN
       T_BUN_STS_R AS J_BUN_STS_R
    ON J_BUN_STS_R.JURI_NO        = MAX_BUN_STS_R.JURI_NO
   AND J_BUN_STS_R.AFTER_STS      = MAX_BUN_STS_R.AFTER_STS
   AND J_BUN_STS_R.MOD_DATE_TIME  = MAX_BUN_STS_R.MOD_DATE_TIME"&amp;"
  LEFT JOIN
       M_SHAIN
    ON M_SHAIN.SHAIN_CD = J_BUN_STS_R.DBS_UPDATE_USER
"</f>
        <v xml:space="preserve">  LEFT JOIN
       (SELECT JURI_NO
              ,AFTER_STS
              ,MAX(MOD_DATE_TIME) AS MOD_DATE_TIME
          FROM T_BUN_STS_R
         GROUP BY
              JURI_NO
             ,AFTER_STS
       ) AS MAX_BUN_STS_R
    ON MAX_BUN_STS_R.AFTER_STS = M_MEISHO_B.MEISHO_CD
   AND MAX_BUN_STS_R.JURI_NO = ''
  LEFT JOIN
       T_BUN_STS_R AS J_BUN_STS_R
    ON J_BUN_STS_R.JURI_NO        = MAX_BUN_STS_R.JURI_NO
   AND J_BUN_STS_R.AFTER_STS      = MAX_BUN_STS_R.AFTER_STS
   AND J_BUN_STS_R.MOD_DATE_TIME  = MAX_BUN_STS_R.MOD_DATE_TIME
  LEFT JOIN
       M_SHAIN
    ON M_SHAIN.SHAIN_CD = J_BUN_STS_R.DBS_UPDATE_USER
</v>
      </c>
    </row>
    <row r="71" spans="2:7" ht="45" customHeight="1">
      <c r="C71" s="541" t="s">
        <v>2782</v>
      </c>
      <c r="D71" s="538" t="s">
        <v>2781</v>
      </c>
    </row>
    <row r="75" spans="2:7" ht="17.25" customHeight="1">
      <c r="B75" s="278" t="s">
        <v>1461</v>
      </c>
      <c r="C75" s="280" t="s">
        <v>1462</v>
      </c>
      <c r="D75" s="238" t="str">
        <f>D76&amp;D78</f>
        <v>SELECT MAX(CONCAT(M_CALENDAR.YEAR,RIGHT('00' + CAST(M_CALENDAR.MONTH AS NVARCHAR), 2),RIGHT('00' + CAST(M_CALENDAR.DAY AS NVARCHAR), 2))) AS DATE
FROM M_CALENDAR
WHERE M_CALENDAR.CALENDAR_KBN = '1'</v>
      </c>
      <c r="G75" s="278" t="s">
        <v>1463</v>
      </c>
    </row>
    <row r="76" spans="2:7" ht="17.25" customHeight="1">
      <c r="C76" s="280" t="s">
        <v>1464</v>
      </c>
      <c r="D76" s="238" t="s">
        <v>1465</v>
      </c>
      <c r="G76" s="278" t="s">
        <v>1466</v>
      </c>
    </row>
    <row r="77" spans="2:7">
      <c r="C77" s="280" t="s">
        <v>827</v>
      </c>
      <c r="D77" s="238" t="str">
        <f>IF(OR(UNJC0030_H_HOKOKU_KANSEI_DATE=0,UNJC0030_H_HOKOKU_KANSEI_DATE=""),"",YEAR(UNJC0030_H_HOKOKU_KANSEI_DATE)
&amp;RIGHT(MONTH(UNJC0030_H_HOKOKU_KANSEI_DATE)+100,2)
&amp;RIGHT(DAY(UNJC0030_H_HOKOKU_KANSEI_DATE)+100,2)
)</f>
        <v/>
      </c>
      <c r="G77" s="278" t="s">
        <v>1467</v>
      </c>
    </row>
    <row r="78" spans="2:7">
      <c r="C78" s="280" t="s">
        <v>969</v>
      </c>
      <c r="D78" s="273" t="str">
        <f>IF(OR(D77=0,D77=""),"","AND CONCAT(M_CALENDAR.YEAR,RIGHT('00' + CAST(M_CALENDAR.MONTH AS NVARCHAR), 2),RIGHT('00' + CAST(M_CALENDAR.DAY AS NVARCHAR), 2)) &lt;'"&amp;D77&amp;"'")</f>
        <v/>
      </c>
      <c r="G78" s="278" t="s">
        <v>1468</v>
      </c>
    </row>
    <row r="79" spans="2:7">
      <c r="D79" s="538"/>
    </row>
    <row r="80" spans="2:7" ht="54">
      <c r="B80" s="278" t="s">
        <v>1469</v>
      </c>
      <c r="C80" s="280" t="s">
        <v>1470</v>
      </c>
      <c r="D80" s="238" t="s">
        <v>2191</v>
      </c>
    </row>
    <row r="81" spans="2:4" ht="54">
      <c r="B81" s="278" t="s">
        <v>1471</v>
      </c>
      <c r="C81" s="280" t="s">
        <v>1472</v>
      </c>
      <c r="D81" s="238" t="s">
        <v>2190</v>
      </c>
    </row>
    <row r="82" spans="2:4" ht="54">
      <c r="B82" s="278" t="s">
        <v>1473</v>
      </c>
      <c r="C82" s="280" t="s">
        <v>1474</v>
      </c>
      <c r="D82" s="238" t="s">
        <v>2189</v>
      </c>
    </row>
    <row r="83" spans="2:4" ht="54">
      <c r="B83" s="278" t="s">
        <v>1475</v>
      </c>
      <c r="C83" s="280" t="s">
        <v>1476</v>
      </c>
      <c r="D83" s="238" t="s">
        <v>2188</v>
      </c>
    </row>
    <row r="84" spans="2:4" ht="54">
      <c r="B84" s="278" t="s">
        <v>1477</v>
      </c>
      <c r="C84" s="280" t="s">
        <v>1478</v>
      </c>
      <c r="D84" s="238" t="s">
        <v>2184</v>
      </c>
    </row>
    <row r="85" spans="2:4" ht="54">
      <c r="B85" s="278" t="s">
        <v>1479</v>
      </c>
      <c r="C85" s="280" t="s">
        <v>1480</v>
      </c>
      <c r="D85" s="238" t="s">
        <v>2187</v>
      </c>
    </row>
    <row r="86" spans="2:4" ht="54">
      <c r="B86" s="278" t="s">
        <v>1481</v>
      </c>
      <c r="C86" s="280" t="s">
        <v>1482</v>
      </c>
      <c r="D86" s="238" t="s">
        <v>2185</v>
      </c>
    </row>
    <row r="87" spans="2:4" ht="54">
      <c r="B87" s="282" t="s">
        <v>1483</v>
      </c>
      <c r="C87" s="466" t="s">
        <v>1484</v>
      </c>
      <c r="D87" s="238" t="s">
        <v>2186</v>
      </c>
    </row>
    <row r="88" spans="2:4" ht="56.25" customHeight="1">
      <c r="B88" s="282" t="s">
        <v>3629</v>
      </c>
      <c r="C88" s="466" t="s">
        <v>3628</v>
      </c>
      <c r="D88" s="238" t="s">
        <v>4516</v>
      </c>
    </row>
    <row r="89" spans="2:4" s="970" customFormat="1" ht="56.25" customHeight="1">
      <c r="B89" s="282" t="s">
        <v>4505</v>
      </c>
      <c r="C89" s="466" t="s">
        <v>4506</v>
      </c>
      <c r="D89" s="238" t="s">
        <v>4515</v>
      </c>
    </row>
    <row r="91" spans="2:4" ht="99.75" customHeight="1">
      <c r="B91" s="278" t="s">
        <v>1485</v>
      </c>
      <c r="C91" s="280" t="s">
        <v>1486</v>
      </c>
      <c r="D91" s="238" t="s">
        <v>3619</v>
      </c>
    </row>
    <row r="92" spans="2:4" ht="50.25" customHeight="1"/>
    <row r="93" spans="2:4">
      <c r="B93" s="278" t="s">
        <v>4482</v>
      </c>
      <c r="C93" s="1126" t="s">
        <v>4483</v>
      </c>
      <c r="D93" s="273" t="str">
        <f>D94&amp;D95&amp;D96&amp;D97&amp;D98</f>
        <v>SELECT DISTINCT W_BUN_JUCHU.JURI_EDA_NO AS 枝番,COUNT(*) AS 分析項目数,EBIKO AS 枝番備考
 FROM W_BUN_JUCHU WHERE W_BUN_JUCHU.W_USER_ID = '0'
   AND W_BUN_JUCHU.W_SERIAL  = '0'
 GROUP BY W_BUN_JUCHU.JURI_EDA_NO,EBIKO ORDER BY W_BUN_JUCHU.JURI_EDA_NO</v>
      </c>
    </row>
    <row r="94" spans="2:4" ht="40.5">
      <c r="C94" s="1127" t="s">
        <v>1426</v>
      </c>
      <c r="D94" s="538" t="s">
        <v>4543</v>
      </c>
    </row>
    <row r="95" spans="2:4">
      <c r="C95" s="1126" t="s">
        <v>1429</v>
      </c>
      <c r="D95" s="970" t="str">
        <f>" WHERE W_BUN_JUCHU.W_USER_ID = '"&amp;D4&amp;"'
"</f>
        <v xml:space="preserve"> WHERE W_BUN_JUCHU.W_USER_ID = '0'
</v>
      </c>
    </row>
    <row r="96" spans="2:4" s="970" customFormat="1">
      <c r="C96" s="1126" t="s">
        <v>1430</v>
      </c>
      <c r="D96" s="970" t="str">
        <f>"   AND W_BUN_JUCHU.W_SERIAL  = '"&amp;D5&amp;"'
"</f>
        <v xml:space="preserve">   AND W_BUN_JUCHU.W_SERIAL  = '0'
</v>
      </c>
    </row>
    <row r="97" spans="2:4" s="970" customFormat="1">
      <c r="C97" s="1126" t="s">
        <v>4484</v>
      </c>
      <c r="D97" s="970" t="s">
        <v>4544</v>
      </c>
    </row>
    <row r="98" spans="2:4" s="970" customFormat="1">
      <c r="C98" s="1126" t="s">
        <v>4485</v>
      </c>
      <c r="D98" s="970" t="s">
        <v>4486</v>
      </c>
    </row>
    <row r="99" spans="2:4" s="970" customFormat="1"/>
    <row r="100" spans="2:4" ht="26.25" customHeight="1">
      <c r="B100" s="278" t="s">
        <v>1487</v>
      </c>
    </row>
    <row r="101" spans="2:4" ht="26.25" customHeight="1">
      <c r="B101" s="282" t="s">
        <v>264</v>
      </c>
      <c r="C101" s="466" t="s">
        <v>1488</v>
      </c>
      <c r="D101" s="238" t="s">
        <v>1489</v>
      </c>
    </row>
    <row r="102" spans="2:4" ht="26.25" customHeight="1">
      <c r="B102" s="278" t="s">
        <v>1490</v>
      </c>
      <c r="C102" s="466" t="s">
        <v>1491</v>
      </c>
      <c r="D102" s="238" t="str">
        <f>"SELECT M_SHAIN.SHAIN_CD     AS 社員CD
      ,M_SHAIN.BUSHO_CD     AS 所属部署CD
      ,M_MEISHO_B.DATA_1    AS 所属部署
      ,M_SHAIN.SHIMEI       AS 氏名
  FROM M_SHAIN"&amp;"
  LEFT JOIN
       M_MEISHO_B
    ON M_MEISHO_B.MEISHO_KBN = 'M001'
   AND M_MEISHO_B.MEISHO_CD  = M_SHAIN.BUSHO_CD
 WHERE M_SHAIN.SHAIN_CD = '"&amp;G2&amp;"'
"</f>
        <v xml:space="preserve">SELECT M_SHAIN.SHAIN_CD     AS 社員CD
      ,M_SHAIN.BUSHO_CD     AS 所属部署CD
      ,M_MEISHO_B.DATA_1    AS 所属部署
      ,M_SHAIN.SHIMEI       AS 氏名
  FROM M_SHAIN
  LEFT JOIN
       M_MEISHO_B
    ON M_MEISHO_B.MEISHO_KBN = 'M001'
   AND M_MEISHO_B.MEISHO_CD  = M_SHAIN.BUSHO_CD
 WHERE M_SHAIN.SHAIN_CD = '0'
</v>
      </c>
    </row>
    <row r="103" spans="2:4" ht="26.25" customHeight="1">
      <c r="B103" s="278" t="s">
        <v>440</v>
      </c>
      <c r="C103" s="466" t="s">
        <v>1492</v>
      </c>
      <c r="D103" s="238" t="s">
        <v>1493</v>
      </c>
    </row>
    <row r="104" spans="2:4" ht="26.25" customHeight="1">
      <c r="B104" s="278" t="s">
        <v>820</v>
      </c>
      <c r="C104" s="466" t="s">
        <v>1494</v>
      </c>
      <c r="D104" s="238" t="s">
        <v>1495</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V62"/>
  <sheetViews>
    <sheetView zoomScale="85" zoomScaleNormal="85" zoomScaleSheetLayoutView="85" workbookViewId="0">
      <selection activeCell="G38" sqref="G38"/>
    </sheetView>
  </sheetViews>
  <sheetFormatPr defaultRowHeight="16.5"/>
  <cols>
    <col min="1" max="1" width="2.5" style="231" customWidth="1"/>
    <col min="2" max="2" width="3.625" style="230" customWidth="1"/>
    <col min="3" max="14" width="8.625" style="230" customWidth="1"/>
    <col min="15" max="15" width="8.5" style="230" customWidth="1"/>
    <col min="16" max="16" width="5.375" style="230" customWidth="1"/>
    <col min="17" max="17" width="8.5" style="230" customWidth="1"/>
    <col min="18" max="18" width="2.5" style="231" customWidth="1"/>
    <col min="19" max="16384" width="9" style="231"/>
  </cols>
  <sheetData>
    <row r="1" spans="1:22" ht="15" customHeight="1"/>
    <row r="2" spans="1:22" ht="19.5">
      <c r="P2" s="1468">
        <f ca="1">NOW()</f>
        <v>43005.636301273102</v>
      </c>
      <c r="Q2" s="1468"/>
    </row>
    <row r="3" spans="1:22" ht="35.25">
      <c r="A3" s="1469" t="s">
        <v>1496</v>
      </c>
      <c r="B3" s="1469"/>
      <c r="C3" s="1469"/>
      <c r="D3" s="1469"/>
      <c r="E3" s="1469"/>
      <c r="F3" s="1469"/>
      <c r="G3" s="1469"/>
      <c r="H3" s="1469"/>
      <c r="I3" s="1469"/>
      <c r="J3" s="1469"/>
      <c r="K3" s="1469"/>
      <c r="L3" s="1469"/>
      <c r="M3" s="1469"/>
      <c r="N3" s="1469"/>
      <c r="O3" s="1469"/>
      <c r="P3" s="1469"/>
      <c r="Q3" s="1469"/>
      <c r="R3" s="1469"/>
      <c r="T3" s="231" t="s">
        <v>1497</v>
      </c>
      <c r="U3" s="231" t="s">
        <v>1498</v>
      </c>
      <c r="V3" s="232" t="s">
        <v>1499</v>
      </c>
    </row>
    <row r="4" spans="1:22" ht="12" customHeight="1">
      <c r="E4" s="247"/>
      <c r="P4" s="231"/>
    </row>
    <row r="5" spans="1:22">
      <c r="B5" s="231"/>
      <c r="T5" s="231" t="s">
        <v>1500</v>
      </c>
      <c r="U5" s="231" t="s">
        <v>1501</v>
      </c>
      <c r="V5" s="232"/>
    </row>
    <row r="6" spans="1:22" ht="24.75">
      <c r="C6" s="1470" t="str">
        <f>IF(UNJC0030_H_ATENA_MEI="","",UNJC0030_H_ATENA_MEI&amp;" "&amp;UNJC0030_FAX_KEISHO)</f>
        <v/>
      </c>
      <c r="D6" s="1470"/>
      <c r="E6" s="1470"/>
      <c r="F6" s="1470"/>
      <c r="G6" s="1470"/>
      <c r="H6" s="1470"/>
      <c r="I6" s="1470"/>
      <c r="J6" s="1470"/>
      <c r="K6" s="1470"/>
      <c r="L6" s="1470"/>
    </row>
    <row r="7" spans="1:22">
      <c r="B7" s="231"/>
    </row>
    <row r="12" spans="1:22">
      <c r="P12" s="231"/>
      <c r="Q12" s="250" t="s">
        <v>1502</v>
      </c>
    </row>
    <row r="13" spans="1:22" ht="53.25" customHeight="1">
      <c r="C13" s="542" t="s">
        <v>11</v>
      </c>
      <c r="D13" s="1471" t="str">
        <f>IF(UNJC0030_H_KENMEI="","",UNJC0030_H_KENMEI)</f>
        <v/>
      </c>
      <c r="E13" s="1471"/>
      <c r="F13" s="1471"/>
      <c r="G13" s="1471"/>
      <c r="H13" s="1471"/>
      <c r="I13" s="1471"/>
      <c r="J13" s="1471"/>
      <c r="K13" s="1471"/>
      <c r="L13" s="1471"/>
      <c r="M13" s="1471"/>
      <c r="N13" s="1471"/>
      <c r="O13" s="1471"/>
      <c r="P13" s="231"/>
      <c r="Q13" s="6"/>
    </row>
    <row r="15" spans="1:22">
      <c r="B15" s="1472" t="s">
        <v>1503</v>
      </c>
      <c r="C15" s="1473"/>
      <c r="D15" s="1474"/>
      <c r="E15" s="1474"/>
      <c r="F15" s="1474"/>
      <c r="G15" s="1474"/>
      <c r="H15" s="1474"/>
      <c r="I15" s="1474"/>
      <c r="J15" s="1474"/>
      <c r="K15" s="1474"/>
      <c r="L15" s="1474"/>
      <c r="M15" s="1474"/>
      <c r="N15" s="1474"/>
      <c r="O15" s="1474"/>
      <c r="P15" s="1474"/>
      <c r="Q15" s="1474"/>
    </row>
    <row r="16" spans="1:22">
      <c r="B16" s="1474"/>
      <c r="C16" s="1474"/>
      <c r="D16" s="1474"/>
      <c r="E16" s="1474"/>
      <c r="F16" s="1474"/>
      <c r="G16" s="1474"/>
      <c r="H16" s="1474"/>
      <c r="I16" s="1474"/>
      <c r="J16" s="1474"/>
      <c r="K16" s="1474"/>
      <c r="L16" s="1474"/>
      <c r="M16" s="1474"/>
      <c r="N16" s="1474"/>
      <c r="O16" s="1474"/>
      <c r="P16" s="1474"/>
      <c r="Q16" s="1474"/>
    </row>
    <row r="17" spans="1:22">
      <c r="B17" s="1475"/>
      <c r="C17" s="1475"/>
      <c r="D17" s="1475"/>
      <c r="E17" s="1475"/>
      <c r="F17" s="1475"/>
      <c r="G17" s="1475"/>
      <c r="H17" s="1475"/>
      <c r="I17" s="1475"/>
      <c r="J17" s="1475"/>
      <c r="K17" s="1475"/>
      <c r="L17" s="1475"/>
      <c r="M17" s="1475"/>
      <c r="N17" s="1475"/>
      <c r="O17" s="1475"/>
      <c r="P17" s="1475"/>
      <c r="Q17" s="1475"/>
    </row>
    <row r="19" spans="1:22" s="230" customFormat="1">
      <c r="A19" s="231"/>
      <c r="L19" s="543"/>
      <c r="M19" s="543"/>
      <c r="N19" s="543"/>
      <c r="R19" s="231"/>
      <c r="S19" s="231"/>
      <c r="T19" s="231"/>
      <c r="U19" s="231"/>
      <c r="V19" s="231"/>
    </row>
    <row r="48" spans="2:17">
      <c r="B48" s="231"/>
      <c r="C48" s="231"/>
      <c r="D48" s="231"/>
      <c r="E48" s="231"/>
      <c r="F48" s="231"/>
      <c r="G48" s="231"/>
      <c r="H48" s="231"/>
      <c r="I48" s="231"/>
      <c r="J48" s="231"/>
      <c r="K48" s="231"/>
      <c r="L48" s="231"/>
      <c r="M48" s="231"/>
      <c r="N48" s="231"/>
      <c r="O48" s="231"/>
      <c r="P48" s="231"/>
      <c r="Q48" s="231"/>
    </row>
    <row r="49" spans="2:17" ht="15" customHeight="1">
      <c r="B49" s="231"/>
      <c r="C49" s="231"/>
      <c r="D49" s="231"/>
      <c r="E49" s="231"/>
      <c r="F49" s="231"/>
      <c r="G49" s="231"/>
      <c r="H49" s="231"/>
      <c r="I49" s="231"/>
      <c r="J49" s="231"/>
      <c r="K49" s="231"/>
      <c r="L49" s="231"/>
      <c r="M49" s="231"/>
      <c r="N49" s="231"/>
      <c r="O49" s="231"/>
      <c r="P49" s="231"/>
      <c r="Q49" s="231"/>
    </row>
    <row r="52" spans="2:17">
      <c r="B52" s="231"/>
      <c r="C52" s="231"/>
      <c r="D52" s="231"/>
      <c r="E52" s="231"/>
      <c r="F52" s="231"/>
      <c r="G52" s="231"/>
      <c r="H52" s="231"/>
      <c r="I52" s="231"/>
      <c r="J52" s="231"/>
      <c r="K52" s="231"/>
      <c r="L52" s="231"/>
      <c r="M52" s="231"/>
      <c r="N52" s="231"/>
      <c r="O52" s="231"/>
      <c r="P52" s="231"/>
      <c r="Q52" s="231"/>
    </row>
    <row r="61" spans="2:17">
      <c r="B61" s="1460" t="s">
        <v>1504</v>
      </c>
      <c r="C61" s="1462" t="s">
        <v>1505</v>
      </c>
      <c r="D61" s="1463"/>
      <c r="E61" s="1463"/>
      <c r="F61" s="1464"/>
    </row>
    <row r="62" spans="2:17">
      <c r="B62" s="1461"/>
      <c r="C62" s="1465">
        <f>UNJC0030_FAX_NO</f>
        <v>0</v>
      </c>
      <c r="D62" s="1466"/>
      <c r="E62" s="1466"/>
      <c r="F62" s="1467"/>
    </row>
  </sheetData>
  <mergeCells count="8">
    <mergeCell ref="B61:B62"/>
    <mergeCell ref="C61:F61"/>
    <mergeCell ref="C62:F62"/>
    <mergeCell ref="P2:Q2"/>
    <mergeCell ref="A3:R3"/>
    <mergeCell ref="C6:L6"/>
    <mergeCell ref="D13:O13"/>
    <mergeCell ref="B15:Q17"/>
  </mergeCells>
  <phoneticPr fontId="2"/>
  <pageMargins left="0.39370078740157483" right="0.11811023622047245" top="0.74803149606299213" bottom="0.74803149606299213" header="0.31496062992125984" footer="0.31496062992125984"/>
  <pageSetup paperSize="9" scale="75" orientation="portrait" verticalDpi="1200" r:id="rId1"/>
  <headerFooter>
    <oddHeader>&amp;R&amp;"メイリオ,レギュラー"No.&amp;P/&amp;N</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39997558519241921"/>
    <pageSetUpPr fitToPage="1"/>
  </sheetPr>
  <dimension ref="B1:AM63"/>
  <sheetViews>
    <sheetView view="pageBreakPreview" zoomScaleNormal="100" zoomScaleSheetLayoutView="100" workbookViewId="0">
      <selection activeCell="Z24" sqref="Z24:AD24"/>
    </sheetView>
  </sheetViews>
  <sheetFormatPr defaultRowHeight="16.5"/>
  <cols>
    <col min="1" max="1" width="3.5" style="231" customWidth="1"/>
    <col min="2" max="14" width="2.875" style="230" customWidth="1"/>
    <col min="15" max="34" width="2.875" style="231" customWidth="1"/>
    <col min="35" max="36" width="2.75" style="231" customWidth="1"/>
    <col min="37" max="16384" width="9" style="231"/>
  </cols>
  <sheetData>
    <row r="1" spans="2:39">
      <c r="B1" s="1479" t="s">
        <v>1506</v>
      </c>
      <c r="C1" s="1479"/>
      <c r="D1" s="1479"/>
      <c r="E1" s="1479"/>
      <c r="F1" s="1479"/>
      <c r="G1" s="1479"/>
      <c r="H1" s="1479"/>
      <c r="I1" s="1479"/>
      <c r="J1" s="1479"/>
      <c r="K1" s="1481" t="str">
        <f>IF(UNJC0030_REPORT_IF_H_NEW_FLG=TRUE,"新規","")</f>
        <v/>
      </c>
      <c r="L1" s="1481"/>
      <c r="M1" s="1481"/>
      <c r="N1" s="1481"/>
      <c r="O1" s="1481"/>
      <c r="P1" s="1481"/>
      <c r="Q1" s="1481"/>
      <c r="R1" s="1481" t="str">
        <f>IF(UNJC0030_REPORT_IF_H_HENKO_FLG=TRUE,"変更予定","")</f>
        <v/>
      </c>
      <c r="S1" s="1481"/>
      <c r="T1" s="1481"/>
      <c r="U1" s="1481"/>
      <c r="V1" s="1481"/>
      <c r="W1" s="1481"/>
      <c r="X1" s="1481"/>
      <c r="Y1" s="1481"/>
      <c r="Z1" s="1004"/>
      <c r="AA1" s="1004"/>
      <c r="AB1" s="1004"/>
      <c r="AC1" s="1004"/>
      <c r="AD1" s="1004"/>
      <c r="AE1" s="1004"/>
      <c r="AF1" s="1004"/>
      <c r="AG1" s="1004"/>
      <c r="AH1" s="1004"/>
      <c r="AK1" s="231" t="s">
        <v>1507</v>
      </c>
      <c r="AL1" s="231" t="s">
        <v>1508</v>
      </c>
      <c r="AM1" s="231" t="str">
        <f>ADDRESS(ROW(UNJC0030_REPORT_H_AREA),COLUMN(UNJC0030_REPORT_H_AREA))&amp;":"&amp;ADDRESS(ROW(UNJC0030_REPORT_H_AREA)+ROWS(UNJC0030_REPORT_H_AREA)-1,COLUMN(UNJC0030_REPORT_H_AREA)+COLUMNS(UNJC0030_REPORT_H_AREA)-1)</f>
        <v>$A$1:$AI$52</v>
      </c>
    </row>
    <row r="2" spans="2:39">
      <c r="B2" s="1480"/>
      <c r="C2" s="1480"/>
      <c r="D2" s="1480"/>
      <c r="E2" s="1480"/>
      <c r="F2" s="1480"/>
      <c r="G2" s="1480"/>
      <c r="H2" s="1480"/>
      <c r="I2" s="1480"/>
      <c r="J2" s="1480"/>
      <c r="K2" s="1482"/>
      <c r="L2" s="1482"/>
      <c r="M2" s="1482"/>
      <c r="N2" s="1482"/>
      <c r="O2" s="1482"/>
      <c r="P2" s="1482"/>
      <c r="Q2" s="1482"/>
      <c r="R2" s="1482"/>
      <c r="S2" s="1482"/>
      <c r="T2" s="1482"/>
      <c r="U2" s="1482"/>
      <c r="V2" s="1482"/>
      <c r="W2" s="1482"/>
      <c r="X2" s="1482"/>
      <c r="Y2" s="1482"/>
      <c r="Z2" s="1004"/>
      <c r="AA2" s="1004"/>
      <c r="AB2" s="1004"/>
      <c r="AC2" s="1004"/>
      <c r="AD2" s="1004"/>
      <c r="AE2" s="1004"/>
      <c r="AF2" s="1004"/>
      <c r="AG2" s="1004"/>
      <c r="AH2" s="1048" t="str">
        <f>IF(UNJC0030_REPORT_IF_H_JURI_NO="","",UNJC0030_REPORT_IF_H_JURI_NO)</f>
        <v/>
      </c>
      <c r="AK2" s="231" t="s">
        <v>1509</v>
      </c>
      <c r="AL2" s="231" t="s">
        <v>1510</v>
      </c>
      <c r="AM2" s="231" t="str">
        <f>ADDRESS(ROW(UNJC0030_REPORT_EDA_START),COLUMN(UNJC0030_REPORT_EDA_START))</f>
        <v>$B$53</v>
      </c>
    </row>
    <row r="3" spans="2:39">
      <c r="B3" s="1476" t="s">
        <v>1511</v>
      </c>
      <c r="C3" s="1476"/>
      <c r="D3" s="1476"/>
      <c r="E3" s="1476" t="s">
        <v>1512</v>
      </c>
      <c r="F3" s="1476"/>
      <c r="G3" s="1476"/>
      <c r="H3" s="1476" t="s">
        <v>1513</v>
      </c>
      <c r="I3" s="1476"/>
      <c r="J3" s="1476"/>
      <c r="K3" s="1476" t="s">
        <v>1514</v>
      </c>
      <c r="L3" s="1476"/>
      <c r="M3" s="1476"/>
      <c r="N3" s="1476" t="s">
        <v>1549</v>
      </c>
      <c r="O3" s="1476"/>
      <c r="P3" s="1476"/>
      <c r="Q3" s="1476" t="s">
        <v>2770</v>
      </c>
      <c r="R3" s="1476"/>
      <c r="S3" s="1476"/>
      <c r="T3" s="1476" t="s">
        <v>1515</v>
      </c>
      <c r="U3" s="1476"/>
      <c r="V3" s="1476"/>
      <c r="W3" s="1476" t="s">
        <v>1516</v>
      </c>
      <c r="X3" s="1476"/>
      <c r="Y3" s="1476"/>
      <c r="Z3" s="1476" t="s">
        <v>1517</v>
      </c>
      <c r="AA3" s="1476"/>
      <c r="AB3" s="1476"/>
      <c r="AC3" s="1476" t="s">
        <v>1518</v>
      </c>
      <c r="AD3" s="1476"/>
      <c r="AE3" s="1476"/>
      <c r="AF3" s="1476" t="s">
        <v>95</v>
      </c>
      <c r="AG3" s="1476"/>
      <c r="AH3" s="1476"/>
      <c r="AK3" s="231" t="s">
        <v>417</v>
      </c>
      <c r="AL3" s="231" t="s">
        <v>1519</v>
      </c>
      <c r="AM3" s="231" t="e">
        <f>ADDRESS(ROW(UNJC0030_REPORT_EDA_START),COLUMN(UNJC0030_REPORT_EDA_START))&amp;":"&amp;ADDRESS(UNJC0030_REPORT_LAST_ROW,COLUMN(UNJC0030_REPORT_EDA_START)+COLUMNS(UNJC0030_REPORT_IF_B_COPY_MOTO)-1)</f>
        <v>#VALUE!</v>
      </c>
    </row>
    <row r="4" spans="2:39" ht="46.5" customHeight="1">
      <c r="B4" s="1477" t="str">
        <f>IF(UNJC0030_REPORT_IF_H_NYURYOKUSHA_MEI="","",UNJC0030_REPORT_IF_H_NYURYOKUSHA_MEI)</f>
        <v/>
      </c>
      <c r="C4" s="1477"/>
      <c r="D4" s="1477"/>
      <c r="E4" s="1478"/>
      <c r="F4" s="1478"/>
      <c r="G4" s="1478"/>
      <c r="H4" s="1478"/>
      <c r="I4" s="1478"/>
      <c r="J4" s="1478"/>
      <c r="K4" s="1478"/>
      <c r="L4" s="1478"/>
      <c r="M4" s="1478"/>
      <c r="N4" s="1492"/>
      <c r="O4" s="1492"/>
      <c r="P4" s="1492"/>
      <c r="Q4" s="1478"/>
      <c r="R4" s="1478"/>
      <c r="S4" s="1478"/>
      <c r="T4" s="1478"/>
      <c r="U4" s="1478"/>
      <c r="V4" s="1478"/>
      <c r="W4" s="1478"/>
      <c r="X4" s="1478"/>
      <c r="Y4" s="1478"/>
      <c r="Z4" s="1492"/>
      <c r="AA4" s="1492"/>
      <c r="AB4" s="1492"/>
      <c r="AC4" s="1492"/>
      <c r="AD4" s="1492"/>
      <c r="AE4" s="1492"/>
      <c r="AF4" s="1478"/>
      <c r="AG4" s="1478"/>
      <c r="AH4" s="1478"/>
      <c r="AK4" s="231" t="s">
        <v>1520</v>
      </c>
      <c r="AL4" s="231" t="s">
        <v>1521</v>
      </c>
    </row>
    <row r="5" spans="2:39" ht="11.25" customHeight="1">
      <c r="B5" s="1021"/>
      <c r="C5" s="1021"/>
      <c r="D5" s="1021"/>
      <c r="E5" s="1021"/>
      <c r="F5" s="1021"/>
      <c r="G5" s="1004"/>
      <c r="H5" s="1004"/>
      <c r="I5" s="1021"/>
      <c r="J5" s="1021"/>
      <c r="K5" s="1021"/>
      <c r="L5" s="1021"/>
      <c r="M5" s="1021"/>
      <c r="N5" s="1021"/>
      <c r="O5" s="1004"/>
      <c r="P5" s="1004"/>
      <c r="Q5" s="1004"/>
      <c r="R5" s="1004"/>
      <c r="S5" s="1004"/>
      <c r="T5" s="1004"/>
      <c r="U5" s="1004"/>
      <c r="V5" s="1004"/>
      <c r="W5" s="1004"/>
      <c r="X5" s="1004"/>
      <c r="Y5" s="1004"/>
      <c r="Z5" s="1004"/>
      <c r="AA5" s="1004"/>
      <c r="AB5" s="1004"/>
      <c r="AC5" s="1004"/>
      <c r="AD5" s="1004"/>
      <c r="AE5" s="1004"/>
      <c r="AF5" s="1004"/>
      <c r="AG5" s="1004"/>
      <c r="AH5" s="1004"/>
    </row>
    <row r="6" spans="2:39">
      <c r="B6" s="1493" t="s">
        <v>829</v>
      </c>
      <c r="C6" s="1494"/>
      <c r="D6" s="1494"/>
      <c r="E6" s="1494"/>
      <c r="F6" s="1495"/>
      <c r="G6" s="1496" t="str">
        <f>IF(UNJC0030_REPORT_IF_H_ATENA="","",UNJC0030_REPORT_IF_H_ATENA)</f>
        <v/>
      </c>
      <c r="H6" s="1497"/>
      <c r="I6" s="1497"/>
      <c r="J6" s="1497"/>
      <c r="K6" s="1497"/>
      <c r="L6" s="1497"/>
      <c r="M6" s="1497"/>
      <c r="N6" s="1497"/>
      <c r="O6" s="1497"/>
      <c r="P6" s="1497"/>
      <c r="Q6" s="1497"/>
      <c r="R6" s="1497"/>
      <c r="S6" s="1497"/>
      <c r="T6" s="1497"/>
      <c r="U6" s="1498"/>
      <c r="V6" s="1004"/>
      <c r="W6" s="1493" t="s">
        <v>823</v>
      </c>
      <c r="X6" s="1494"/>
      <c r="Y6" s="1494"/>
      <c r="Z6" s="1494"/>
      <c r="AA6" s="1494"/>
      <c r="AB6" s="1495"/>
      <c r="AC6" s="1499" t="str">
        <f>IF(UNJC0030_REPORT_IF_H_IRAI_DATE="","",UNJC0030_REPORT_IF_H_IRAI_DATE)</f>
        <v/>
      </c>
      <c r="AD6" s="1500"/>
      <c r="AE6" s="1500"/>
      <c r="AF6" s="1500"/>
      <c r="AG6" s="1500"/>
      <c r="AH6" s="1501"/>
      <c r="AK6" s="973" t="s">
        <v>2757</v>
      </c>
      <c r="AL6" s="973" t="s">
        <v>2758</v>
      </c>
      <c r="AM6" s="973" t="str">
        <f>ADDRESS(ROW(UNJC0030_REPORT_H_AREA),COLUMN(UNJC0030_REPORT_H_AREA))&amp;":"&amp;ADDRESS(ROW(UNJC0030_REPORT_H_AREA)+IF(UNJC0030_REPORT_LAST_ROW=0,ROWS(UNJC0030_REPORT_H_AREA),UNJC0030_REPORT_LAST_ROW)-1,COLUMN(UNJC0030_REPORT_H_AREA)+COLUMNS(UNJC0030_REPORT_H_AREA)-1)</f>
        <v>$A$1:$AI$52</v>
      </c>
    </row>
    <row r="7" spans="2:39">
      <c r="B7" s="1483" t="s">
        <v>1522</v>
      </c>
      <c r="C7" s="1484"/>
      <c r="D7" s="1484"/>
      <c r="E7" s="1484"/>
      <c r="F7" s="1485"/>
      <c r="G7" s="1486" t="str">
        <f>IF(UNJC0030_REPORT_IF_H_SEIKYU_MEI="","",UNJC0030_REPORT_IF_H_SEIKYU_MEI)</f>
        <v/>
      </c>
      <c r="H7" s="1487"/>
      <c r="I7" s="1487"/>
      <c r="J7" s="1487"/>
      <c r="K7" s="1487"/>
      <c r="L7" s="1487"/>
      <c r="M7" s="1487"/>
      <c r="N7" s="1487"/>
      <c r="O7" s="1487"/>
      <c r="P7" s="1487"/>
      <c r="Q7" s="1487"/>
      <c r="R7" s="1487"/>
      <c r="S7" s="1487"/>
      <c r="T7" s="1487"/>
      <c r="U7" s="1488"/>
      <c r="V7" s="1004"/>
      <c r="W7" s="1483" t="s">
        <v>1523</v>
      </c>
      <c r="X7" s="1484"/>
      <c r="Y7" s="1484"/>
      <c r="Z7" s="1484"/>
      <c r="AA7" s="1484"/>
      <c r="AB7" s="1485"/>
      <c r="AC7" s="1489" t="str">
        <f>IF(UNJC0030_REPORT_IF_H_KANRYO_DATE="","",UNJC0030_REPORT_IF_H_KANRYO_DATE)</f>
        <v/>
      </c>
      <c r="AD7" s="1490"/>
      <c r="AE7" s="1490"/>
      <c r="AF7" s="1490"/>
      <c r="AG7" s="1490"/>
      <c r="AH7" s="1491"/>
    </row>
    <row r="8" spans="2:39">
      <c r="B8" s="1483" t="s">
        <v>1524</v>
      </c>
      <c r="C8" s="1484"/>
      <c r="D8" s="1484"/>
      <c r="E8" s="1484"/>
      <c r="F8" s="1485"/>
      <c r="G8" s="1486" t="str">
        <f>IF(UNJC0030_REPORT_IF_H_BUNSEKI_HOHO="","",UNJC0030_REPORT_IF_H_BUNSEKI_HOHO)</f>
        <v/>
      </c>
      <c r="H8" s="1487"/>
      <c r="I8" s="1487"/>
      <c r="J8" s="1487"/>
      <c r="K8" s="1487"/>
      <c r="L8" s="1487"/>
      <c r="M8" s="1487"/>
      <c r="N8" s="1487"/>
      <c r="O8" s="1487"/>
      <c r="P8" s="1487"/>
      <c r="Q8" s="1487"/>
      <c r="R8" s="1487"/>
      <c r="S8" s="1487"/>
      <c r="T8" s="1487"/>
      <c r="U8" s="1488"/>
      <c r="V8" s="1004"/>
      <c r="W8" s="1483" t="s">
        <v>1525</v>
      </c>
      <c r="X8" s="1484"/>
      <c r="Y8" s="1484"/>
      <c r="Z8" s="1484"/>
      <c r="AA8" s="1484"/>
      <c r="AB8" s="1485"/>
      <c r="AC8" s="1489" t="str">
        <f>IF(UNJC0030_REPORT_IF_H_KANSEI_DATE="","",UNJC0030_REPORT_IF_H_KANSEI_DATE)</f>
        <v/>
      </c>
      <c r="AD8" s="1490"/>
      <c r="AE8" s="1490"/>
      <c r="AF8" s="1490"/>
      <c r="AG8" s="1490"/>
      <c r="AH8" s="1491"/>
    </row>
    <row r="9" spans="2:39">
      <c r="B9" s="1514" t="s">
        <v>1526</v>
      </c>
      <c r="C9" s="1515"/>
      <c r="D9" s="1515"/>
      <c r="E9" s="1515"/>
      <c r="F9" s="1516"/>
      <c r="G9" s="1517" t="str">
        <f>IF(UNJC0030_REPORT_IF_H_KEISHIKI_KBN_MEI="","",UNJC0030_REPORT_IF_H_KEISHIKI_KBN_MEI)</f>
        <v/>
      </c>
      <c r="H9" s="1518"/>
      <c r="I9" s="1518"/>
      <c r="J9" s="1518"/>
      <c r="K9" s="1518"/>
      <c r="L9" s="1518"/>
      <c r="M9" s="1518"/>
      <c r="N9" s="1518"/>
      <c r="O9" s="1518"/>
      <c r="P9" s="1518"/>
      <c r="Q9" s="1518"/>
      <c r="R9" s="1518"/>
      <c r="S9" s="1518"/>
      <c r="T9" s="1518"/>
      <c r="U9" s="1519"/>
      <c r="V9" s="1004"/>
      <c r="W9" s="1483" t="s">
        <v>1517</v>
      </c>
      <c r="X9" s="1484"/>
      <c r="Y9" s="1484"/>
      <c r="Z9" s="1484"/>
      <c r="AA9" s="1484"/>
      <c r="AB9" s="1485"/>
      <c r="AC9" s="1520" t="str">
        <f>IF(UNJC0030_REPORT_IF_H_SOKUHO_KBN_MEI="","",UNJC0030_REPORT_IF_H_SOKUHO_KBN_MEI)</f>
        <v/>
      </c>
      <c r="AD9" s="1521"/>
      <c r="AE9" s="1521"/>
      <c r="AF9" s="1521"/>
      <c r="AG9" s="1521"/>
      <c r="AH9" s="1522"/>
    </row>
    <row r="10" spans="2:39">
      <c r="B10" s="1523" t="s">
        <v>1586</v>
      </c>
      <c r="C10" s="1523"/>
      <c r="D10" s="1523"/>
      <c r="E10" s="1523"/>
      <c r="F10" s="1523"/>
      <c r="G10" s="1524" t="str">
        <f>IF(UNJC0030_REPORT_IF_H_NOHIN_HOHO="","",UNJC0030_REPORT_IF_H_NOHIN_HOHO)</f>
        <v/>
      </c>
      <c r="H10" s="1524"/>
      <c r="I10" s="1524"/>
      <c r="J10" s="1524"/>
      <c r="K10" s="1524"/>
      <c r="L10" s="1525"/>
      <c r="M10" s="1526" t="s">
        <v>626</v>
      </c>
      <c r="N10" s="1527"/>
      <c r="O10" s="1527"/>
      <c r="P10" s="1527"/>
      <c r="Q10" s="1528"/>
      <c r="R10" s="1529" t="str">
        <f>IF(UNJC0030_REPORT_IF_H_EIGYO_TANTO_MEI="","",UNJC0030_REPORT_IF_H_EIGYO_TANTO_MEI)</f>
        <v/>
      </c>
      <c r="S10" s="1530"/>
      <c r="T10" s="1530"/>
      <c r="U10" s="1531"/>
      <c r="V10" s="1004"/>
      <c r="W10" s="1483" t="s">
        <v>1527</v>
      </c>
      <c r="X10" s="1484"/>
      <c r="Y10" s="1484"/>
      <c r="Z10" s="1484"/>
      <c r="AA10" s="1484"/>
      <c r="AB10" s="1485"/>
      <c r="AC10" s="1489" t="str">
        <f>IF(UNJC0030_REPORT_IF_H_HAKKO_DATE="","",UNJC0030_REPORT_IF_H_HAKKO_DATE)</f>
        <v/>
      </c>
      <c r="AD10" s="1490"/>
      <c r="AE10" s="1490"/>
      <c r="AF10" s="1490"/>
      <c r="AG10" s="1490"/>
      <c r="AH10" s="1491"/>
    </row>
    <row r="11" spans="2:39">
      <c r="B11" s="1532" t="s">
        <v>3577</v>
      </c>
      <c r="C11" s="1532"/>
      <c r="D11" s="1532"/>
      <c r="E11" s="1532"/>
      <c r="F11" s="1532"/>
      <c r="G11" s="1533" t="str">
        <f>IF(UNJC0030_REPORT_IF_H_KOSU="","",UNJC0030_REPORT_IF_H_KOSU)</f>
        <v/>
      </c>
      <c r="H11" s="1533"/>
      <c r="I11" s="1533"/>
      <c r="J11" s="1533"/>
      <c r="K11" s="1533"/>
      <c r="L11" s="1533"/>
      <c r="M11" s="1021"/>
      <c r="N11" s="1021"/>
      <c r="O11" s="1021"/>
      <c r="P11" s="1021"/>
      <c r="Q11" s="1021"/>
      <c r="R11" s="1021"/>
      <c r="S11" s="1021"/>
      <c r="T11" s="1021"/>
      <c r="U11" s="1004"/>
      <c r="V11" s="1004"/>
      <c r="W11" s="1502" t="s">
        <v>29</v>
      </c>
      <c r="X11" s="1503"/>
      <c r="Y11" s="1503"/>
      <c r="Z11" s="1503"/>
      <c r="AA11" s="1503"/>
      <c r="AB11" s="1504"/>
      <c r="AC11" s="1505" t="str">
        <f>IF(UNJC0030_REPORT_IF_H_NOHIN_DATE="","",UNJC0030_REPORT_IF_H_NOHIN_DATE)</f>
        <v/>
      </c>
      <c r="AD11" s="1506"/>
      <c r="AE11" s="1506"/>
      <c r="AF11" s="1506"/>
      <c r="AG11" s="1506"/>
      <c r="AH11" s="1507"/>
    </row>
    <row r="12" spans="2:39" ht="11.25" customHeight="1">
      <c r="B12" s="1021"/>
      <c r="C12" s="1021"/>
      <c r="D12" s="1021"/>
      <c r="E12" s="1021"/>
      <c r="F12" s="1021"/>
      <c r="G12" s="1021"/>
      <c r="H12" s="1021"/>
      <c r="I12" s="1021"/>
      <c r="J12" s="1021"/>
      <c r="K12" s="1021"/>
      <c r="L12" s="1021"/>
      <c r="M12" s="1021"/>
      <c r="N12" s="1021"/>
      <c r="O12" s="1021"/>
      <c r="P12" s="1021"/>
      <c r="Q12" s="1021"/>
      <c r="R12" s="1021"/>
      <c r="S12" s="1021"/>
      <c r="T12" s="1021"/>
      <c r="U12" s="1004"/>
      <c r="V12" s="1004"/>
      <c r="W12" s="1004"/>
      <c r="X12" s="1004"/>
      <c r="Y12" s="1004"/>
      <c r="Z12" s="1004"/>
      <c r="AA12" s="1004"/>
      <c r="AB12" s="1004"/>
      <c r="AC12" s="1004"/>
      <c r="AD12" s="1004"/>
      <c r="AE12" s="1004"/>
      <c r="AF12" s="1004"/>
      <c r="AG12" s="1004"/>
      <c r="AH12" s="1004"/>
    </row>
    <row r="13" spans="2:39">
      <c r="B13" s="1508" t="s">
        <v>584</v>
      </c>
      <c r="C13" s="1509"/>
      <c r="D13" s="1509"/>
      <c r="E13" s="1509"/>
      <c r="F13" s="1509"/>
      <c r="G13" s="1510" t="str">
        <f>IF(UNJC0030_REPORT_IF_H_NYURYOKU_DATETIME="","",UNJC0030_REPORT_IF_H_NYURYOKU_DATETIME)</f>
        <v/>
      </c>
      <c r="H13" s="1510"/>
      <c r="I13" s="1510"/>
      <c r="J13" s="1510"/>
      <c r="K13" s="1510"/>
      <c r="L13" s="1510"/>
      <c r="M13" s="1510"/>
      <c r="N13" s="1510"/>
      <c r="O13" s="1510"/>
      <c r="P13" s="1509" t="s">
        <v>1528</v>
      </c>
      <c r="Q13" s="1511"/>
      <c r="R13" s="1511"/>
      <c r="S13" s="1511"/>
      <c r="T13" s="1511"/>
      <c r="U13" s="1512" t="str">
        <f>IF(UNJC0030_REPORT_IF_H_BUSHO_MEI="","",UNJC0030_REPORT_IF_H_BUSHO_MEI)</f>
        <v/>
      </c>
      <c r="V13" s="1511"/>
      <c r="W13" s="1511"/>
      <c r="X13" s="1511"/>
      <c r="Y13" s="1511"/>
      <c r="Z13" s="1509" t="s">
        <v>28</v>
      </c>
      <c r="AA13" s="1511"/>
      <c r="AB13" s="1511"/>
      <c r="AC13" s="1511"/>
      <c r="AD13" s="1511"/>
      <c r="AE13" s="1512" t="str">
        <f>IF(UNJC0030_REPORT_IF_H_JURI_NO="","",UNJC0030_REPORT_IF_H_JURI_NO)</f>
        <v/>
      </c>
      <c r="AF13" s="1511"/>
      <c r="AG13" s="1511"/>
      <c r="AH13" s="1513"/>
    </row>
    <row r="14" spans="2:39">
      <c r="B14" s="1542" t="s">
        <v>5</v>
      </c>
      <c r="C14" s="1539"/>
      <c r="D14" s="1539"/>
      <c r="E14" s="1539"/>
      <c r="F14" s="1539"/>
      <c r="G14" s="1543" t="str">
        <f>IF(UNJC0030_REPORT_IF_H_KENMEI="","",UNJC0030_REPORT_IF_H_KENMEI)</f>
        <v/>
      </c>
      <c r="H14" s="1543"/>
      <c r="I14" s="1543"/>
      <c r="J14" s="1543"/>
      <c r="K14" s="1543"/>
      <c r="L14" s="1543"/>
      <c r="M14" s="1543"/>
      <c r="N14" s="1543"/>
      <c r="O14" s="1543"/>
      <c r="P14" s="1543"/>
      <c r="Q14" s="1543"/>
      <c r="R14" s="1543"/>
      <c r="S14" s="1543"/>
      <c r="T14" s="1543"/>
      <c r="U14" s="1543"/>
      <c r="V14" s="1543"/>
      <c r="W14" s="1543"/>
      <c r="X14" s="1543"/>
      <c r="Y14" s="1543"/>
      <c r="Z14" s="1543"/>
      <c r="AA14" s="1543"/>
      <c r="AB14" s="1543"/>
      <c r="AC14" s="1543"/>
      <c r="AD14" s="1543"/>
      <c r="AE14" s="1543"/>
      <c r="AF14" s="1543"/>
      <c r="AG14" s="1543"/>
      <c r="AH14" s="1544"/>
    </row>
    <row r="15" spans="2:39">
      <c r="B15" s="1542" t="s">
        <v>1529</v>
      </c>
      <c r="C15" s="1539"/>
      <c r="D15" s="1539"/>
      <c r="E15" s="1539"/>
      <c r="F15" s="1539"/>
      <c r="G15" s="1543" t="str">
        <f>IF(UNJC0030_REPORT_IF_H_MOKUTEKI="","",UNJC0030_REPORT_IF_H_MOKUTEKI)</f>
        <v/>
      </c>
      <c r="H15" s="1543"/>
      <c r="I15" s="1543"/>
      <c r="J15" s="1543"/>
      <c r="K15" s="1543"/>
      <c r="L15" s="1543"/>
      <c r="M15" s="1543"/>
      <c r="N15" s="1543"/>
      <c r="O15" s="1543"/>
      <c r="P15" s="1543"/>
      <c r="Q15" s="1543"/>
      <c r="R15" s="1543"/>
      <c r="S15" s="1543"/>
      <c r="T15" s="1543"/>
      <c r="U15" s="1543"/>
      <c r="V15" s="1543"/>
      <c r="W15" s="1543"/>
      <c r="X15" s="1543"/>
      <c r="Y15" s="1543"/>
      <c r="Z15" s="1543"/>
      <c r="AA15" s="1543"/>
      <c r="AB15" s="1543"/>
      <c r="AC15" s="1543"/>
      <c r="AD15" s="1543"/>
      <c r="AE15" s="1543"/>
      <c r="AF15" s="1543"/>
      <c r="AG15" s="1543"/>
      <c r="AH15" s="1544"/>
    </row>
    <row r="16" spans="2:39">
      <c r="B16" s="1545" t="s">
        <v>1530</v>
      </c>
      <c r="C16" s="1546"/>
      <c r="D16" s="1546"/>
      <c r="E16" s="1546"/>
      <c r="F16" s="1546"/>
      <c r="G16" s="1547" t="str">
        <f>IF(UNJC0030_REPORT_IF_H_KISAI_JIKO="","",UNJC0030_REPORT_IF_H_KISAI_JIKO)</f>
        <v/>
      </c>
      <c r="H16" s="1547"/>
      <c r="I16" s="1547"/>
      <c r="J16" s="1547"/>
      <c r="K16" s="1547"/>
      <c r="L16" s="1547"/>
      <c r="M16" s="1547"/>
      <c r="N16" s="1547"/>
      <c r="O16" s="1547"/>
      <c r="P16" s="1547"/>
      <c r="Q16" s="1547"/>
      <c r="R16" s="1547"/>
      <c r="S16" s="1547"/>
      <c r="T16" s="1547"/>
      <c r="U16" s="1547"/>
      <c r="V16" s="1547"/>
      <c r="W16" s="1547"/>
      <c r="X16" s="1547"/>
      <c r="Y16" s="1547"/>
      <c r="Z16" s="1547"/>
      <c r="AA16" s="1547"/>
      <c r="AB16" s="1547"/>
      <c r="AC16" s="1547"/>
      <c r="AD16" s="1547"/>
      <c r="AE16" s="1547"/>
      <c r="AF16" s="1547"/>
      <c r="AG16" s="1547"/>
      <c r="AH16" s="1548"/>
    </row>
    <row r="17" spans="2:38" ht="11.25" customHeight="1">
      <c r="B17" s="1021"/>
      <c r="C17" s="1021"/>
      <c r="D17" s="1021"/>
      <c r="E17" s="1021"/>
      <c r="F17" s="1021"/>
      <c r="G17" s="1021"/>
      <c r="H17" s="1021"/>
      <c r="I17" s="1021"/>
      <c r="J17" s="1021"/>
      <c r="K17" s="1021"/>
      <c r="L17" s="1021"/>
      <c r="M17" s="1021"/>
      <c r="N17" s="1021"/>
      <c r="O17" s="1004"/>
      <c r="P17" s="1004"/>
      <c r="Q17" s="1004"/>
      <c r="R17" s="1004"/>
      <c r="S17" s="1004"/>
      <c r="T17" s="1004"/>
      <c r="U17" s="1004"/>
      <c r="V17" s="1004"/>
      <c r="W17" s="1004"/>
      <c r="X17" s="1004"/>
      <c r="Y17" s="1004"/>
      <c r="Z17" s="1004"/>
      <c r="AA17" s="1004"/>
      <c r="AB17" s="1004"/>
      <c r="AC17" s="1004"/>
      <c r="AD17" s="1004"/>
      <c r="AE17" s="1004"/>
      <c r="AF17" s="1004"/>
      <c r="AG17" s="1004"/>
      <c r="AH17" s="1004"/>
      <c r="AJ17" s="545"/>
      <c r="AK17" s="231" t="s">
        <v>1049</v>
      </c>
      <c r="AL17" s="231" t="s">
        <v>1531</v>
      </c>
    </row>
    <row r="18" spans="2:38">
      <c r="B18" s="1534" t="s">
        <v>1532</v>
      </c>
      <c r="C18" s="1523"/>
      <c r="D18" s="1523"/>
      <c r="E18" s="1523"/>
      <c r="F18" s="1523"/>
      <c r="G18" s="1535" t="str">
        <f>IF(UNJC0030_REPORT_IF_H_SAISHU_KAISHA_MEI="","",UNJC0030_REPORT_IF_H_SAISHU_KAISHA_MEI)</f>
        <v/>
      </c>
      <c r="H18" s="1535"/>
      <c r="I18" s="1535"/>
      <c r="J18" s="1535"/>
      <c r="K18" s="1535"/>
      <c r="L18" s="1535"/>
      <c r="M18" s="1535"/>
      <c r="N18" s="1535"/>
      <c r="O18" s="1535"/>
      <c r="P18" s="1535"/>
      <c r="Q18" s="1535"/>
      <c r="R18" s="1535"/>
      <c r="S18" s="1535"/>
      <c r="T18" s="1535"/>
      <c r="U18" s="1535"/>
      <c r="V18" s="1535"/>
      <c r="W18" s="1535"/>
      <c r="X18" s="1509" t="s">
        <v>1533</v>
      </c>
      <c r="Y18" s="1509"/>
      <c r="Z18" s="1509"/>
      <c r="AA18" s="1509"/>
      <c r="AB18" s="1509"/>
      <c r="AC18" s="1512" t="str">
        <f>IF(UNJC0030_REPORT_IF_H_TENKO="","",UNJC0030_REPORT_IF_H_TENKO)</f>
        <v/>
      </c>
      <c r="AD18" s="1512"/>
      <c r="AE18" s="1512"/>
      <c r="AF18" s="1512"/>
      <c r="AG18" s="1512"/>
      <c r="AH18" s="1536"/>
      <c r="AJ18" s="479"/>
    </row>
    <row r="19" spans="2:38">
      <c r="B19" s="1537" t="s">
        <v>1534</v>
      </c>
      <c r="C19" s="1532"/>
      <c r="D19" s="1532"/>
      <c r="E19" s="1532"/>
      <c r="F19" s="1532"/>
      <c r="G19" s="1538" t="str">
        <f>IF(UNJC0030_REPORT_IF_H_SAISHU_SHA="","",UNJC0030_REPORT_IF_H_SAISHU_SHA)</f>
        <v/>
      </c>
      <c r="H19" s="1538"/>
      <c r="I19" s="1538"/>
      <c r="J19" s="1538"/>
      <c r="K19" s="1538"/>
      <c r="L19" s="1538"/>
      <c r="M19" s="1538"/>
      <c r="N19" s="1538"/>
      <c r="O19" s="1538"/>
      <c r="P19" s="1538"/>
      <c r="Q19" s="1538"/>
      <c r="R19" s="1538"/>
      <c r="S19" s="1538"/>
      <c r="T19" s="1538"/>
      <c r="U19" s="1538"/>
      <c r="V19" s="1538"/>
      <c r="W19" s="1538"/>
      <c r="X19" s="1539" t="s">
        <v>1535</v>
      </c>
      <c r="Y19" s="1539"/>
      <c r="Z19" s="1539"/>
      <c r="AA19" s="1539"/>
      <c r="AB19" s="1539"/>
      <c r="AC19" s="1540" t="str">
        <f>IF(UNJC0030_REPORT_IF_H_KION="","",UNJC0030_REPORT_IF_H_KION)</f>
        <v/>
      </c>
      <c r="AD19" s="1540"/>
      <c r="AE19" s="1540"/>
      <c r="AF19" s="1540"/>
      <c r="AG19" s="1540"/>
      <c r="AH19" s="1541"/>
      <c r="AJ19" s="479"/>
    </row>
    <row r="20" spans="2:38">
      <c r="B20" s="1537" t="s">
        <v>1163</v>
      </c>
      <c r="C20" s="1532"/>
      <c r="D20" s="1532"/>
      <c r="E20" s="1532"/>
      <c r="F20" s="1532"/>
      <c r="G20" s="1538" t="str">
        <f>IF(UNJC0030_REPORT_IF_H_SAISHU_HOHO="","",UNJC0030_REPORT_IF_H_SAISHU_HOHO)</f>
        <v/>
      </c>
      <c r="H20" s="1538"/>
      <c r="I20" s="1538"/>
      <c r="J20" s="1538"/>
      <c r="K20" s="1538"/>
      <c r="L20" s="1538"/>
      <c r="M20" s="1538"/>
      <c r="N20" s="1538"/>
      <c r="O20" s="1538"/>
      <c r="P20" s="1538"/>
      <c r="Q20" s="1538"/>
      <c r="R20" s="1538"/>
      <c r="S20" s="1538"/>
      <c r="T20" s="1538"/>
      <c r="U20" s="1538"/>
      <c r="V20" s="1538"/>
      <c r="W20" s="1538"/>
      <c r="X20" s="1539" t="s">
        <v>1536</v>
      </c>
      <c r="Y20" s="1539"/>
      <c r="Z20" s="1539"/>
      <c r="AA20" s="1539"/>
      <c r="AB20" s="1539"/>
      <c r="AC20" s="1540" t="str">
        <f>IF(UNJC0030_REPORT_IF_H_SUION="","",UNJC0030_REPORT_IF_H_SUION)</f>
        <v/>
      </c>
      <c r="AD20" s="1540"/>
      <c r="AE20" s="1540"/>
      <c r="AF20" s="1540"/>
      <c r="AG20" s="1540"/>
      <c r="AH20" s="1541"/>
      <c r="AJ20" s="479"/>
    </row>
    <row r="21" spans="2:38">
      <c r="B21" s="1537" t="s">
        <v>1537</v>
      </c>
      <c r="C21" s="1532"/>
      <c r="D21" s="1532"/>
      <c r="E21" s="1532"/>
      <c r="F21" s="1532"/>
      <c r="G21" s="1555" t="str">
        <f>IF(UNJC0030_REPORT_IF_H_SAISHU_BASHO="","",UNJC0030_REPORT_IF_H_SAISHU_BASHO)</f>
        <v/>
      </c>
      <c r="H21" s="1555"/>
      <c r="I21" s="1555"/>
      <c r="J21" s="1555"/>
      <c r="K21" s="1555"/>
      <c r="L21" s="1555"/>
      <c r="M21" s="1555"/>
      <c r="N21" s="1555"/>
      <c r="O21" s="1555"/>
      <c r="P21" s="1555"/>
      <c r="Q21" s="1555"/>
      <c r="R21" s="1555"/>
      <c r="S21" s="1555"/>
      <c r="T21" s="1555"/>
      <c r="U21" s="1555"/>
      <c r="V21" s="1555"/>
      <c r="W21" s="1555"/>
      <c r="X21" s="1539" t="s">
        <v>1538</v>
      </c>
      <c r="Y21" s="1539"/>
      <c r="Z21" s="1539"/>
      <c r="AA21" s="1539"/>
      <c r="AB21" s="1539"/>
      <c r="AC21" s="1557" t="str">
        <f>IF(UNJC0030_REPORT_IF_H_SAISHU_DATE="","",UNJC0030_REPORT_IF_H_SAISHU_DATE)</f>
        <v/>
      </c>
      <c r="AD21" s="1557"/>
      <c r="AE21" s="1557"/>
      <c r="AF21" s="1557"/>
      <c r="AG21" s="1557"/>
      <c r="AH21" s="1558"/>
      <c r="AJ21" s="479"/>
    </row>
    <row r="22" spans="2:38">
      <c r="B22" s="1553"/>
      <c r="C22" s="1554"/>
      <c r="D22" s="1554"/>
      <c r="E22" s="1554"/>
      <c r="F22" s="1554"/>
      <c r="G22" s="1556"/>
      <c r="H22" s="1556"/>
      <c r="I22" s="1556"/>
      <c r="J22" s="1556"/>
      <c r="K22" s="1556"/>
      <c r="L22" s="1556"/>
      <c r="M22" s="1556"/>
      <c r="N22" s="1556"/>
      <c r="O22" s="1556"/>
      <c r="P22" s="1556"/>
      <c r="Q22" s="1556"/>
      <c r="R22" s="1556"/>
      <c r="S22" s="1556"/>
      <c r="T22" s="1556"/>
      <c r="U22" s="1556"/>
      <c r="V22" s="1556"/>
      <c r="W22" s="1556"/>
      <c r="X22" s="1546" t="s">
        <v>1539</v>
      </c>
      <c r="Y22" s="1546"/>
      <c r="Z22" s="1546"/>
      <c r="AA22" s="1546"/>
      <c r="AB22" s="1546"/>
      <c r="AC22" s="1559" t="str">
        <f>IF(UNJC0030_REPORT_IF_H_SAISHU_TIME="","",UNJC0030_REPORT_IF_H_SAISHU_TIME)</f>
        <v/>
      </c>
      <c r="AD22" s="1559"/>
      <c r="AE22" s="1559"/>
      <c r="AF22" s="1559"/>
      <c r="AG22" s="1559"/>
      <c r="AH22" s="1560"/>
      <c r="AJ22" s="546"/>
      <c r="AK22" s="231" t="s">
        <v>1049</v>
      </c>
    </row>
    <row r="23" spans="2:38" ht="11.25" customHeight="1">
      <c r="B23" s="1021"/>
      <c r="C23" s="1021"/>
      <c r="D23" s="1021"/>
      <c r="E23" s="1021"/>
      <c r="F23" s="1021"/>
      <c r="G23" s="1021"/>
      <c r="H23" s="1021"/>
      <c r="I23" s="1021"/>
      <c r="J23" s="1021"/>
      <c r="K23" s="1021"/>
      <c r="L23" s="1021"/>
      <c r="M23" s="1021"/>
      <c r="N23" s="1021"/>
      <c r="O23" s="1004"/>
      <c r="P23" s="1004"/>
      <c r="Q23" s="1004"/>
      <c r="R23" s="1004"/>
      <c r="S23" s="1004"/>
      <c r="T23" s="1004"/>
      <c r="U23" s="1004"/>
      <c r="V23" s="1004"/>
      <c r="W23" s="1004"/>
      <c r="X23" s="1004"/>
      <c r="Y23" s="1004"/>
      <c r="Z23" s="1004"/>
      <c r="AA23" s="1004"/>
      <c r="AB23" s="1004"/>
      <c r="AC23" s="1004"/>
      <c r="AD23" s="1004"/>
      <c r="AE23" s="1004"/>
      <c r="AF23" s="1004"/>
      <c r="AG23" s="1004"/>
      <c r="AH23" s="1004"/>
    </row>
    <row r="24" spans="2:38">
      <c r="B24" s="1508" t="s">
        <v>1540</v>
      </c>
      <c r="C24" s="1509"/>
      <c r="D24" s="1509"/>
      <c r="E24" s="1509"/>
      <c r="F24" s="1509"/>
      <c r="G24" s="1512" t="str">
        <f>IF(UNJC0030_REPORT_IF_H_YOKI="","",UNJC0030_REPORT_IF_H_YOKI)</f>
        <v/>
      </c>
      <c r="H24" s="1512"/>
      <c r="I24" s="1512"/>
      <c r="J24" s="1512"/>
      <c r="K24" s="1536"/>
      <c r="L24" s="1021"/>
      <c r="M24" s="1021"/>
      <c r="N24" s="1021"/>
      <c r="O24" s="1004"/>
      <c r="P24" s="1004"/>
      <c r="Q24" s="1004"/>
      <c r="R24" s="1004"/>
      <c r="S24" s="1004"/>
      <c r="T24" s="1004"/>
      <c r="U24" s="1004"/>
      <c r="V24" s="1004"/>
      <c r="W24" s="1004"/>
      <c r="X24" s="1004"/>
      <c r="Y24" s="1004"/>
      <c r="Z24" s="1493" t="s">
        <v>1119</v>
      </c>
      <c r="AA24" s="1551"/>
      <c r="AB24" s="1551"/>
      <c r="AC24" s="1551"/>
      <c r="AD24" s="1552"/>
      <c r="AE24" s="1561" t="str">
        <f>IF(UNJC0030_REPORT_IF_H_REF_JURI_NO="","",UNJC0030_REPORT_IF_H_REF_JURI_NO)</f>
        <v/>
      </c>
      <c r="AF24" s="1551"/>
      <c r="AG24" s="1551"/>
      <c r="AH24" s="1562"/>
    </row>
    <row r="25" spans="2:38">
      <c r="B25" s="1545" t="s">
        <v>1164</v>
      </c>
      <c r="C25" s="1546"/>
      <c r="D25" s="1546"/>
      <c r="E25" s="1546"/>
      <c r="F25" s="1546"/>
      <c r="G25" s="1549" t="str">
        <f>IF(UNJC0030_REPORT_IF_H_HENKYAKU="","",UNJC0030_REPORT_IF_H_HENKYAKU)</f>
        <v/>
      </c>
      <c r="H25" s="1549"/>
      <c r="I25" s="1549"/>
      <c r="J25" s="1549"/>
      <c r="K25" s="1550"/>
      <c r="L25" s="1021"/>
      <c r="M25" s="1004"/>
      <c r="N25" s="1021"/>
      <c r="O25" s="1004"/>
      <c r="P25" s="1004"/>
      <c r="Q25" s="1004"/>
      <c r="R25" s="1004"/>
      <c r="S25" s="1004"/>
      <c r="T25" s="1004"/>
      <c r="U25" s="1004"/>
      <c r="V25" s="1004"/>
      <c r="W25" s="1004"/>
      <c r="X25" s="1004"/>
      <c r="Y25" s="1004"/>
      <c r="Z25" s="1502" t="s">
        <v>2</v>
      </c>
      <c r="AA25" s="1563"/>
      <c r="AB25" s="1563"/>
      <c r="AC25" s="1563"/>
      <c r="AD25" s="1564"/>
      <c r="AE25" s="1565" t="str">
        <f>IF(UNJC0030_REPORT_IF_H_MITSU_NO="","",UNJC0030_REPORT_IF_H_MITSU_NO)</f>
        <v/>
      </c>
      <c r="AF25" s="1563"/>
      <c r="AG25" s="1563"/>
      <c r="AH25" s="1566"/>
    </row>
    <row r="26" spans="2:38" ht="11.25" customHeight="1">
      <c r="B26" s="1021"/>
      <c r="C26" s="1021"/>
      <c r="D26" s="1021"/>
      <c r="E26" s="1021"/>
      <c r="F26" s="1021"/>
      <c r="G26" s="1021"/>
      <c r="H26" s="1021"/>
      <c r="I26" s="1021"/>
      <c r="J26" s="1021"/>
      <c r="K26" s="1021"/>
      <c r="L26" s="1021"/>
      <c r="M26" s="1021"/>
      <c r="N26" s="1021"/>
      <c r="O26" s="1004"/>
      <c r="P26" s="1004"/>
      <c r="Q26" s="1004"/>
      <c r="R26" s="1004"/>
      <c r="S26" s="1004"/>
      <c r="T26" s="1004"/>
      <c r="U26" s="1004"/>
      <c r="V26" s="1004"/>
      <c r="W26" s="1004"/>
      <c r="X26" s="1004"/>
      <c r="Y26" s="1004"/>
      <c r="Z26" s="1004"/>
      <c r="AA26" s="1004"/>
      <c r="AB26" s="1004"/>
      <c r="AC26" s="1004"/>
      <c r="AD26" s="1004"/>
      <c r="AE26" s="1004"/>
      <c r="AF26" s="1004"/>
      <c r="AG26" s="1004"/>
      <c r="AH26" s="1004"/>
    </row>
    <row r="27" spans="2:38">
      <c r="B27" s="1508" t="s">
        <v>1541</v>
      </c>
      <c r="C27" s="1509"/>
      <c r="D27" s="1509"/>
      <c r="E27" s="1509"/>
      <c r="F27" s="1509"/>
      <c r="G27" s="1512" t="str">
        <f>IF(UNJC0030_REPORT_IF_H_JURI_NO="","",IF(UNJC0030_REPORT_IF_H_SHOKEN_FLG=TRUE,"必要","不要"))</f>
        <v/>
      </c>
      <c r="H27" s="1512"/>
      <c r="I27" s="1512"/>
      <c r="J27" s="1512"/>
      <c r="K27" s="1536"/>
      <c r="L27" s="1021"/>
      <c r="M27" s="1534" t="s">
        <v>920</v>
      </c>
      <c r="N27" s="1523"/>
      <c r="O27" s="1523"/>
      <c r="P27" s="1523"/>
      <c r="Q27" s="1523"/>
      <c r="R27" s="1523"/>
      <c r="S27" s="1523" t="s">
        <v>1542</v>
      </c>
      <c r="T27" s="1523"/>
      <c r="U27" s="1523"/>
      <c r="V27" s="1523"/>
      <c r="W27" s="1523"/>
      <c r="X27" s="1523"/>
      <c r="Y27" s="1523"/>
      <c r="Z27" s="1523"/>
      <c r="AA27" s="1523"/>
      <c r="AB27" s="1523"/>
      <c r="AC27" s="1523"/>
      <c r="AD27" s="1523"/>
      <c r="AE27" s="1523"/>
      <c r="AF27" s="1523"/>
      <c r="AG27" s="1523"/>
      <c r="AH27" s="1576"/>
    </row>
    <row r="28" spans="2:38">
      <c r="B28" s="1542" t="s">
        <v>1543</v>
      </c>
      <c r="C28" s="1539"/>
      <c r="D28" s="1539"/>
      <c r="E28" s="1539"/>
      <c r="F28" s="1539"/>
      <c r="G28" s="1577" t="str">
        <f>IF(UNJC0030_REPORT_IF_H_GAISO_KBN_MEI="","",UNJC0030_REPORT_IF_H_GAISO_KBN_MEI)</f>
        <v/>
      </c>
      <c r="H28" s="1577"/>
      <c r="I28" s="1577"/>
      <c r="J28" s="1577"/>
      <c r="K28" s="1578"/>
      <c r="L28" s="1021"/>
      <c r="M28" s="1569" t="str">
        <f>IF(UNJC0030_REPORT_IF_H_CHUKAN_DATE_1="","",UNJC0030_REPORT_IF_H_CHUKAN_DATE_1)</f>
        <v/>
      </c>
      <c r="N28" s="1557"/>
      <c r="O28" s="1557"/>
      <c r="P28" s="1557"/>
      <c r="Q28" s="1557"/>
      <c r="R28" s="1557"/>
      <c r="S28" s="1570" t="str">
        <f>IF(UNJC0030_REPORT_IF_H_CHUKAN_NAIYO_1="","",UNJC0030_REPORT_IF_H_CHUKAN_NAIYO_1)</f>
        <v/>
      </c>
      <c r="T28" s="1570"/>
      <c r="U28" s="1570"/>
      <c r="V28" s="1570"/>
      <c r="W28" s="1570"/>
      <c r="X28" s="1570"/>
      <c r="Y28" s="1570"/>
      <c r="Z28" s="1570"/>
      <c r="AA28" s="1570"/>
      <c r="AB28" s="1570"/>
      <c r="AC28" s="1570"/>
      <c r="AD28" s="1570"/>
      <c r="AE28" s="1570"/>
      <c r="AF28" s="1570"/>
      <c r="AG28" s="1570"/>
      <c r="AH28" s="1571"/>
    </row>
    <row r="29" spans="2:38">
      <c r="B29" s="1542" t="s">
        <v>1544</v>
      </c>
      <c r="C29" s="1539"/>
      <c r="D29" s="1539"/>
      <c r="E29" s="1539"/>
      <c r="F29" s="1539"/>
      <c r="G29" s="1567" t="str">
        <f>IF(UNJC0030_REPORT_IF_H_BUSU="","",UNJC0030_REPORT_IF_H_BUSU)</f>
        <v/>
      </c>
      <c r="H29" s="1567"/>
      <c r="I29" s="1567"/>
      <c r="J29" s="1567"/>
      <c r="K29" s="1568"/>
      <c r="L29" s="1021"/>
      <c r="M29" s="1569" t="str">
        <f>IF(UNJC0030_REPORT_IF_H_CHUKAN_DATE_2="","",UNJC0030_REPORT_IF_H_CHUKAN_DATE_2)</f>
        <v/>
      </c>
      <c r="N29" s="1557"/>
      <c r="O29" s="1557"/>
      <c r="P29" s="1557"/>
      <c r="Q29" s="1557"/>
      <c r="R29" s="1557"/>
      <c r="S29" s="1570" t="str">
        <f>IF(UNJC0030_REPORT_IF_H_CHUKAN_NAIYO_2="","",UNJC0030_REPORT_IF_H_CHUKAN_NAIYO_2)</f>
        <v/>
      </c>
      <c r="T29" s="1570"/>
      <c r="U29" s="1570"/>
      <c r="V29" s="1570"/>
      <c r="W29" s="1570"/>
      <c r="X29" s="1570"/>
      <c r="Y29" s="1570"/>
      <c r="Z29" s="1570"/>
      <c r="AA29" s="1570"/>
      <c r="AB29" s="1570"/>
      <c r="AC29" s="1570"/>
      <c r="AD29" s="1570"/>
      <c r="AE29" s="1570"/>
      <c r="AF29" s="1570"/>
      <c r="AG29" s="1570"/>
      <c r="AH29" s="1571"/>
    </row>
    <row r="30" spans="2:38">
      <c r="B30" s="1545" t="s">
        <v>1545</v>
      </c>
      <c r="C30" s="1546"/>
      <c r="D30" s="1546"/>
      <c r="E30" s="1546"/>
      <c r="F30" s="1546"/>
      <c r="G30" s="1549" t="str">
        <f>IF(UNJC0030_REPORT_IF_H_HOKOKU_HOHO_MEI="","",UNJC0030_REPORT_IF_H_HOKOKU_HOHO_MEI)</f>
        <v/>
      </c>
      <c r="H30" s="1549"/>
      <c r="I30" s="1549"/>
      <c r="J30" s="1549"/>
      <c r="K30" s="1550"/>
      <c r="L30" s="1021"/>
      <c r="M30" s="1572" t="str">
        <f>IF(UNJC0030_REPORT_IF_H_CHUKAN_DATE_3="","",UNJC0030_REPORT_IF_H_CHUKAN_DATE_3)</f>
        <v/>
      </c>
      <c r="N30" s="1573"/>
      <c r="O30" s="1573"/>
      <c r="P30" s="1573"/>
      <c r="Q30" s="1573"/>
      <c r="R30" s="1573"/>
      <c r="S30" s="1574" t="str">
        <f>IF(UNJC0030_REPORT_IF_H_CHUKAN_NAIYO_3="","",UNJC0030_REPORT_IF_H_CHUKAN_NAIYO_3)</f>
        <v/>
      </c>
      <c r="T30" s="1574"/>
      <c r="U30" s="1574"/>
      <c r="V30" s="1574"/>
      <c r="W30" s="1574"/>
      <c r="X30" s="1574"/>
      <c r="Y30" s="1574"/>
      <c r="Z30" s="1574"/>
      <c r="AA30" s="1574"/>
      <c r="AB30" s="1574"/>
      <c r="AC30" s="1574"/>
      <c r="AD30" s="1574"/>
      <c r="AE30" s="1574"/>
      <c r="AF30" s="1574"/>
      <c r="AG30" s="1574"/>
      <c r="AH30" s="1575"/>
    </row>
    <row r="31" spans="2:38" ht="11.25" customHeight="1">
      <c r="B31" s="1021"/>
      <c r="C31" s="1021"/>
      <c r="D31" s="1021"/>
      <c r="E31" s="1021"/>
      <c r="F31" s="1021"/>
      <c r="G31" s="1021"/>
      <c r="H31" s="1021"/>
      <c r="I31" s="1021"/>
      <c r="J31" s="1021"/>
      <c r="K31" s="1021"/>
      <c r="L31" s="1021"/>
      <c r="M31" s="1021"/>
      <c r="N31" s="1021"/>
      <c r="O31" s="1004"/>
      <c r="P31" s="1004"/>
      <c r="Q31" s="1004"/>
      <c r="R31" s="1004"/>
      <c r="S31" s="1004"/>
      <c r="T31" s="1004"/>
      <c r="U31" s="1004"/>
      <c r="V31" s="1004"/>
      <c r="W31" s="1004"/>
      <c r="X31" s="1004"/>
      <c r="Y31" s="1004"/>
      <c r="Z31" s="1004"/>
      <c r="AA31" s="1004"/>
      <c r="AB31" s="1004"/>
      <c r="AC31" s="1004"/>
      <c r="AD31" s="1004"/>
      <c r="AE31" s="1004"/>
      <c r="AF31" s="1004"/>
      <c r="AG31" s="1004"/>
      <c r="AH31" s="1004"/>
    </row>
    <row r="32" spans="2:38">
      <c r="B32" s="1579" t="s">
        <v>1</v>
      </c>
      <c r="C32" s="1580"/>
      <c r="D32" s="1580"/>
      <c r="E32" s="1580"/>
      <c r="F32" s="1580"/>
      <c r="G32" s="1585" t="str">
        <f>IF(UNJC0030_REPORT_IF_H_BIKO="","",UNJC0030_REPORT_IF_H_BIKO)</f>
        <v/>
      </c>
      <c r="H32" s="1586"/>
      <c r="I32" s="1586"/>
      <c r="J32" s="1586"/>
      <c r="K32" s="1586"/>
      <c r="L32" s="1586"/>
      <c r="M32" s="1586"/>
      <c r="N32" s="1586"/>
      <c r="O32" s="1586"/>
      <c r="P32" s="1586"/>
      <c r="Q32" s="1586"/>
      <c r="R32" s="1586"/>
      <c r="S32" s="1586"/>
      <c r="T32" s="1586"/>
      <c r="U32" s="1586"/>
      <c r="V32" s="1586"/>
      <c r="W32" s="1586"/>
      <c r="X32" s="1586"/>
      <c r="Y32" s="1586"/>
      <c r="Z32" s="1586"/>
      <c r="AA32" s="1586"/>
      <c r="AB32" s="1586"/>
      <c r="AC32" s="1586"/>
      <c r="AD32" s="1586"/>
      <c r="AE32" s="1586"/>
      <c r="AF32" s="1586"/>
      <c r="AG32" s="1586"/>
      <c r="AH32" s="1587"/>
    </row>
    <row r="33" spans="2:34">
      <c r="B33" s="1581"/>
      <c r="C33" s="1582"/>
      <c r="D33" s="1582"/>
      <c r="E33" s="1582"/>
      <c r="F33" s="1582"/>
      <c r="G33" s="1588"/>
      <c r="H33" s="1589"/>
      <c r="I33" s="1589"/>
      <c r="J33" s="1589"/>
      <c r="K33" s="1589"/>
      <c r="L33" s="1589"/>
      <c r="M33" s="1589"/>
      <c r="N33" s="1589"/>
      <c r="O33" s="1589"/>
      <c r="P33" s="1589"/>
      <c r="Q33" s="1589"/>
      <c r="R33" s="1589"/>
      <c r="S33" s="1589"/>
      <c r="T33" s="1589"/>
      <c r="U33" s="1589"/>
      <c r="V33" s="1589"/>
      <c r="W33" s="1589"/>
      <c r="X33" s="1589"/>
      <c r="Y33" s="1589"/>
      <c r="Z33" s="1589"/>
      <c r="AA33" s="1589"/>
      <c r="AB33" s="1589"/>
      <c r="AC33" s="1589"/>
      <c r="AD33" s="1589"/>
      <c r="AE33" s="1589"/>
      <c r="AF33" s="1589"/>
      <c r="AG33" s="1589"/>
      <c r="AH33" s="1590"/>
    </row>
    <row r="34" spans="2:34">
      <c r="B34" s="1581"/>
      <c r="C34" s="1582"/>
      <c r="D34" s="1582"/>
      <c r="E34" s="1582"/>
      <c r="F34" s="1582"/>
      <c r="G34" s="1588"/>
      <c r="H34" s="1589"/>
      <c r="I34" s="1589"/>
      <c r="J34" s="1589"/>
      <c r="K34" s="1589"/>
      <c r="L34" s="1589"/>
      <c r="M34" s="1589"/>
      <c r="N34" s="1589"/>
      <c r="O34" s="1589"/>
      <c r="P34" s="1589"/>
      <c r="Q34" s="1589"/>
      <c r="R34" s="1589"/>
      <c r="S34" s="1589"/>
      <c r="T34" s="1589"/>
      <c r="U34" s="1589"/>
      <c r="V34" s="1589"/>
      <c r="W34" s="1589"/>
      <c r="X34" s="1589"/>
      <c r="Y34" s="1589"/>
      <c r="Z34" s="1589"/>
      <c r="AA34" s="1589"/>
      <c r="AB34" s="1589"/>
      <c r="AC34" s="1589"/>
      <c r="AD34" s="1589"/>
      <c r="AE34" s="1589"/>
      <c r="AF34" s="1589"/>
      <c r="AG34" s="1589"/>
      <c r="AH34" s="1590"/>
    </row>
    <row r="35" spans="2:34">
      <c r="B35" s="1581"/>
      <c r="C35" s="1582"/>
      <c r="D35" s="1582"/>
      <c r="E35" s="1582"/>
      <c r="F35" s="1582"/>
      <c r="G35" s="1588"/>
      <c r="H35" s="1589"/>
      <c r="I35" s="1589"/>
      <c r="J35" s="1589"/>
      <c r="K35" s="1589"/>
      <c r="L35" s="1589"/>
      <c r="M35" s="1589"/>
      <c r="N35" s="1589"/>
      <c r="O35" s="1589"/>
      <c r="P35" s="1589"/>
      <c r="Q35" s="1589"/>
      <c r="R35" s="1589"/>
      <c r="S35" s="1589"/>
      <c r="T35" s="1589"/>
      <c r="U35" s="1589"/>
      <c r="V35" s="1589"/>
      <c r="W35" s="1589"/>
      <c r="X35" s="1589"/>
      <c r="Y35" s="1589"/>
      <c r="Z35" s="1589"/>
      <c r="AA35" s="1589"/>
      <c r="AB35" s="1589"/>
      <c r="AC35" s="1589"/>
      <c r="AD35" s="1589"/>
      <c r="AE35" s="1589"/>
      <c r="AF35" s="1589"/>
      <c r="AG35" s="1589"/>
      <c r="AH35" s="1590"/>
    </row>
    <row r="36" spans="2:34">
      <c r="B36" s="1581"/>
      <c r="C36" s="1582"/>
      <c r="D36" s="1582"/>
      <c r="E36" s="1582"/>
      <c r="F36" s="1582"/>
      <c r="G36" s="1588"/>
      <c r="H36" s="1589"/>
      <c r="I36" s="1589"/>
      <c r="J36" s="1589"/>
      <c r="K36" s="1589"/>
      <c r="L36" s="1589"/>
      <c r="M36" s="1589"/>
      <c r="N36" s="1589"/>
      <c r="O36" s="1589"/>
      <c r="P36" s="1589"/>
      <c r="Q36" s="1589"/>
      <c r="R36" s="1589"/>
      <c r="S36" s="1589"/>
      <c r="T36" s="1589"/>
      <c r="U36" s="1589"/>
      <c r="V36" s="1589"/>
      <c r="W36" s="1589"/>
      <c r="X36" s="1589"/>
      <c r="Y36" s="1589"/>
      <c r="Z36" s="1589"/>
      <c r="AA36" s="1589"/>
      <c r="AB36" s="1589"/>
      <c r="AC36" s="1589"/>
      <c r="AD36" s="1589"/>
      <c r="AE36" s="1589"/>
      <c r="AF36" s="1589"/>
      <c r="AG36" s="1589"/>
      <c r="AH36" s="1590"/>
    </row>
    <row r="37" spans="2:34">
      <c r="B37" s="1583"/>
      <c r="C37" s="1584"/>
      <c r="D37" s="1584"/>
      <c r="E37" s="1584"/>
      <c r="F37" s="1584"/>
      <c r="G37" s="1591"/>
      <c r="H37" s="1592"/>
      <c r="I37" s="1592"/>
      <c r="J37" s="1592"/>
      <c r="K37" s="1592"/>
      <c r="L37" s="1592"/>
      <c r="M37" s="1592"/>
      <c r="N37" s="1592"/>
      <c r="O37" s="1592"/>
      <c r="P37" s="1592"/>
      <c r="Q37" s="1592"/>
      <c r="R37" s="1592"/>
      <c r="S37" s="1592"/>
      <c r="T37" s="1592"/>
      <c r="U37" s="1592"/>
      <c r="V37" s="1592"/>
      <c r="W37" s="1592"/>
      <c r="X37" s="1592"/>
      <c r="Y37" s="1592"/>
      <c r="Z37" s="1592"/>
      <c r="AA37" s="1592"/>
      <c r="AB37" s="1592"/>
      <c r="AC37" s="1592"/>
      <c r="AD37" s="1592"/>
      <c r="AE37" s="1592"/>
      <c r="AF37" s="1592"/>
      <c r="AG37" s="1592"/>
      <c r="AH37" s="1593"/>
    </row>
    <row r="38" spans="2:34" ht="11.25" customHeight="1">
      <c r="B38" s="1021"/>
      <c r="C38" s="1021"/>
      <c r="D38" s="1021"/>
      <c r="E38" s="1021"/>
      <c r="F38" s="1021"/>
      <c r="G38" s="1021"/>
      <c r="H38" s="1021"/>
      <c r="I38" s="1021"/>
      <c r="J38" s="1021"/>
      <c r="K38" s="1021"/>
      <c r="L38" s="1021"/>
      <c r="M38" s="1021"/>
      <c r="N38" s="1021"/>
      <c r="O38" s="1004"/>
      <c r="P38" s="1004"/>
      <c r="Q38" s="1004"/>
      <c r="R38" s="1004"/>
      <c r="S38" s="1004"/>
      <c r="T38" s="1004"/>
      <c r="U38" s="1004"/>
      <c r="V38" s="1004"/>
      <c r="W38" s="1004"/>
      <c r="X38" s="1004"/>
      <c r="Y38" s="1004"/>
      <c r="Z38" s="1004"/>
      <c r="AA38" s="1004"/>
      <c r="AB38" s="1004"/>
      <c r="AC38" s="1004"/>
      <c r="AD38" s="1004"/>
      <c r="AE38" s="1004"/>
      <c r="AF38" s="1004"/>
      <c r="AG38" s="1004"/>
      <c r="AH38" s="1004"/>
    </row>
    <row r="39" spans="2:34">
      <c r="B39" s="1594" t="s">
        <v>1546</v>
      </c>
      <c r="C39" s="1595"/>
      <c r="D39" s="1595"/>
      <c r="E39" s="1595"/>
      <c r="F39" s="1595"/>
      <c r="G39" s="1600"/>
      <c r="H39" s="1600"/>
      <c r="I39" s="1600"/>
      <c r="J39" s="1600"/>
      <c r="K39" s="1600"/>
      <c r="L39" s="1600"/>
      <c r="M39" s="1600"/>
      <c r="N39" s="1600"/>
      <c r="O39" s="1600"/>
      <c r="P39" s="1600"/>
      <c r="Q39" s="1600"/>
      <c r="R39" s="1600"/>
      <c r="S39" s="1600"/>
      <c r="T39" s="1600"/>
      <c r="U39" s="1600"/>
      <c r="V39" s="1600"/>
      <c r="W39" s="1600"/>
      <c r="X39" s="1600"/>
      <c r="Y39" s="1600"/>
      <c r="Z39" s="1600"/>
      <c r="AA39" s="1600"/>
      <c r="AB39" s="1600"/>
      <c r="AC39" s="1600"/>
      <c r="AD39" s="1600"/>
      <c r="AE39" s="1600"/>
      <c r="AF39" s="1600"/>
      <c r="AG39" s="1600"/>
      <c r="AH39" s="1601"/>
    </row>
    <row r="40" spans="2:34">
      <c r="B40" s="1596"/>
      <c r="C40" s="1597"/>
      <c r="D40" s="1597"/>
      <c r="E40" s="1597"/>
      <c r="F40" s="1597"/>
      <c r="G40" s="1602"/>
      <c r="H40" s="1602"/>
      <c r="I40" s="1602"/>
      <c r="J40" s="1602"/>
      <c r="K40" s="1602"/>
      <c r="L40" s="1602"/>
      <c r="M40" s="1602"/>
      <c r="N40" s="1602"/>
      <c r="O40" s="1602"/>
      <c r="P40" s="1602"/>
      <c r="Q40" s="1602"/>
      <c r="R40" s="1602"/>
      <c r="S40" s="1602"/>
      <c r="T40" s="1602"/>
      <c r="U40" s="1602"/>
      <c r="V40" s="1602"/>
      <c r="W40" s="1602"/>
      <c r="X40" s="1602"/>
      <c r="Y40" s="1602"/>
      <c r="Z40" s="1602"/>
      <c r="AA40" s="1602"/>
      <c r="AB40" s="1602"/>
      <c r="AC40" s="1602"/>
      <c r="AD40" s="1602"/>
      <c r="AE40" s="1602"/>
      <c r="AF40" s="1602"/>
      <c r="AG40" s="1602"/>
      <c r="AH40" s="1603"/>
    </row>
    <row r="41" spans="2:34">
      <c r="B41" s="1596"/>
      <c r="C41" s="1597"/>
      <c r="D41" s="1597"/>
      <c r="E41" s="1597"/>
      <c r="F41" s="1597"/>
      <c r="G41" s="1602"/>
      <c r="H41" s="1602"/>
      <c r="I41" s="1602"/>
      <c r="J41" s="1602"/>
      <c r="K41" s="1602"/>
      <c r="L41" s="1602"/>
      <c r="M41" s="1602"/>
      <c r="N41" s="1602"/>
      <c r="O41" s="1602"/>
      <c r="P41" s="1602"/>
      <c r="Q41" s="1602"/>
      <c r="R41" s="1602"/>
      <c r="S41" s="1602"/>
      <c r="T41" s="1602"/>
      <c r="U41" s="1602"/>
      <c r="V41" s="1602"/>
      <c r="W41" s="1602"/>
      <c r="X41" s="1602"/>
      <c r="Y41" s="1602"/>
      <c r="Z41" s="1602"/>
      <c r="AA41" s="1602"/>
      <c r="AB41" s="1602"/>
      <c r="AC41" s="1602"/>
      <c r="AD41" s="1602"/>
      <c r="AE41" s="1602"/>
      <c r="AF41" s="1602"/>
      <c r="AG41" s="1602"/>
      <c r="AH41" s="1603"/>
    </row>
    <row r="42" spans="2:34">
      <c r="B42" s="1596"/>
      <c r="C42" s="1597"/>
      <c r="D42" s="1597"/>
      <c r="E42" s="1597"/>
      <c r="F42" s="1597"/>
      <c r="G42" s="1602"/>
      <c r="H42" s="1602"/>
      <c r="I42" s="1602"/>
      <c r="J42" s="1602"/>
      <c r="K42" s="1602"/>
      <c r="L42" s="1602"/>
      <c r="M42" s="1602"/>
      <c r="N42" s="1602"/>
      <c r="O42" s="1602"/>
      <c r="P42" s="1602"/>
      <c r="Q42" s="1602"/>
      <c r="R42" s="1602"/>
      <c r="S42" s="1602"/>
      <c r="T42" s="1602"/>
      <c r="U42" s="1602"/>
      <c r="V42" s="1602"/>
      <c r="W42" s="1602"/>
      <c r="X42" s="1602"/>
      <c r="Y42" s="1602"/>
      <c r="Z42" s="1602"/>
      <c r="AA42" s="1602"/>
      <c r="AB42" s="1602"/>
      <c r="AC42" s="1602"/>
      <c r="AD42" s="1602"/>
      <c r="AE42" s="1602"/>
      <c r="AF42" s="1602"/>
      <c r="AG42" s="1602"/>
      <c r="AH42" s="1603"/>
    </row>
    <row r="43" spans="2:34">
      <c r="B43" s="1598"/>
      <c r="C43" s="1599"/>
      <c r="D43" s="1599"/>
      <c r="E43" s="1599"/>
      <c r="F43" s="1599"/>
      <c r="G43" s="1604"/>
      <c r="H43" s="1604"/>
      <c r="I43" s="1604"/>
      <c r="J43" s="1604"/>
      <c r="K43" s="1604"/>
      <c r="L43" s="1604"/>
      <c r="M43" s="1604"/>
      <c r="N43" s="1604"/>
      <c r="O43" s="1604"/>
      <c r="P43" s="1604"/>
      <c r="Q43" s="1604"/>
      <c r="R43" s="1604"/>
      <c r="S43" s="1604"/>
      <c r="T43" s="1604"/>
      <c r="U43" s="1604"/>
      <c r="V43" s="1604"/>
      <c r="W43" s="1604"/>
      <c r="X43" s="1604"/>
      <c r="Y43" s="1604"/>
      <c r="Z43" s="1604"/>
      <c r="AA43" s="1604"/>
      <c r="AB43" s="1604"/>
      <c r="AC43" s="1604"/>
      <c r="AD43" s="1604"/>
      <c r="AE43" s="1604"/>
      <c r="AF43" s="1604"/>
      <c r="AG43" s="1604"/>
      <c r="AH43" s="1605"/>
    </row>
    <row r="44" spans="2:34" ht="11.25" customHeight="1">
      <c r="B44" s="1021"/>
      <c r="C44" s="1021"/>
      <c r="D44" s="1021"/>
      <c r="E44" s="1021"/>
      <c r="F44" s="1021"/>
      <c r="G44" s="1021"/>
      <c r="H44" s="1021"/>
      <c r="I44" s="1021"/>
      <c r="J44" s="1021"/>
      <c r="K44" s="1021"/>
      <c r="L44" s="1021"/>
      <c r="M44" s="1021"/>
      <c r="N44" s="1021"/>
      <c r="O44" s="1004"/>
      <c r="P44" s="1004"/>
      <c r="Q44" s="1004"/>
      <c r="R44" s="1004"/>
      <c r="S44" s="1004"/>
      <c r="T44" s="1004"/>
      <c r="U44" s="1004"/>
      <c r="V44" s="1004"/>
      <c r="W44" s="1004"/>
      <c r="X44" s="1004"/>
      <c r="Y44" s="1004"/>
      <c r="Z44" s="1004"/>
      <c r="AA44" s="1004"/>
      <c r="AB44" s="1004"/>
      <c r="AC44" s="1004"/>
      <c r="AD44" s="1004"/>
      <c r="AE44" s="1004"/>
      <c r="AF44" s="1004"/>
      <c r="AG44" s="1004"/>
      <c r="AH44" s="1004"/>
    </row>
    <row r="45" spans="2:34">
      <c r="B45" s="1493" t="s">
        <v>3572</v>
      </c>
      <c r="C45" s="1494"/>
      <c r="D45" s="1494"/>
      <c r="E45" s="1494"/>
      <c r="F45" s="1494"/>
      <c r="G45" s="1495"/>
      <c r="H45" s="1606" t="s">
        <v>1074</v>
      </c>
      <c r="I45" s="1494"/>
      <c r="J45" s="1494"/>
      <c r="K45" s="1494"/>
      <c r="L45" s="1494"/>
      <c r="M45" s="1494"/>
      <c r="N45" s="1495"/>
      <c r="O45" s="1606" t="s">
        <v>1547</v>
      </c>
      <c r="P45" s="1494"/>
      <c r="Q45" s="1494"/>
      <c r="R45" s="1495"/>
      <c r="S45" s="1606" t="s">
        <v>1686</v>
      </c>
      <c r="T45" s="1494"/>
      <c r="U45" s="1494"/>
      <c r="V45" s="1495"/>
      <c r="W45" s="1606" t="s">
        <v>1075</v>
      </c>
      <c r="X45" s="1494"/>
      <c r="Y45" s="1494"/>
      <c r="Z45" s="1495"/>
      <c r="AA45" s="1606" t="s">
        <v>1076</v>
      </c>
      <c r="AB45" s="1494"/>
      <c r="AC45" s="1494"/>
      <c r="AD45" s="1494"/>
      <c r="AE45" s="1494"/>
      <c r="AF45" s="1494"/>
      <c r="AG45" s="1494"/>
      <c r="AH45" s="1607"/>
    </row>
    <row r="46" spans="2:34">
      <c r="B46" s="1608" t="s">
        <v>1548</v>
      </c>
      <c r="C46" s="1609"/>
      <c r="D46" s="1609"/>
      <c r="E46" s="1609"/>
      <c r="F46" s="1609"/>
      <c r="G46" s="1610"/>
      <c r="H46" s="1611" t="s">
        <v>33</v>
      </c>
      <c r="I46" s="1609"/>
      <c r="J46" s="1609"/>
      <c r="K46" s="1609"/>
      <c r="L46" s="1609"/>
      <c r="M46" s="1609"/>
      <c r="N46" s="1609"/>
      <c r="O46" s="1609"/>
      <c r="P46" s="1609"/>
      <c r="Q46" s="1609"/>
      <c r="R46" s="1609"/>
      <c r="S46" s="1609"/>
      <c r="T46" s="1609"/>
      <c r="U46" s="1609"/>
      <c r="V46" s="1609"/>
      <c r="W46" s="1609"/>
      <c r="X46" s="1609"/>
      <c r="Y46" s="1610"/>
      <c r="Z46" s="1611" t="s">
        <v>1549</v>
      </c>
      <c r="AA46" s="1609"/>
      <c r="AB46" s="1610"/>
      <c r="AC46" s="1611" t="s">
        <v>1517</v>
      </c>
      <c r="AD46" s="1609"/>
      <c r="AE46" s="1610"/>
      <c r="AF46" s="1611" t="s">
        <v>1550</v>
      </c>
      <c r="AG46" s="1609"/>
      <c r="AH46" s="1612"/>
    </row>
    <row r="47" spans="2:34">
      <c r="B47" s="1613" t="str">
        <f>IF(UNJC0030_REPORT_IF_H_HOKOKU_MEI_1="","",UNJC0030_REPORT_IF_H_HOKOKU_MEI_1)</f>
        <v/>
      </c>
      <c r="C47" s="1614"/>
      <c r="D47" s="1614"/>
      <c r="E47" s="1614"/>
      <c r="F47" s="1614"/>
      <c r="G47" s="1615"/>
      <c r="H47" s="1616" t="str">
        <f>IF(UNJC0030_REPORT_IF_H_BUSHO_1="","",UNJC0030_REPORT_IF_H_BUSHO_1)</f>
        <v/>
      </c>
      <c r="I47" s="1614"/>
      <c r="J47" s="1614"/>
      <c r="K47" s="1614"/>
      <c r="L47" s="1614"/>
      <c r="M47" s="1614"/>
      <c r="N47" s="1615"/>
      <c r="O47" s="1616" t="str">
        <f>IF(UNJC0030_REPORT_IF_H_TANTO_1="","",UNJC0030_REPORT_IF_H_TANTO_1&amp;"様")</f>
        <v/>
      </c>
      <c r="P47" s="1614"/>
      <c r="Q47" s="1614"/>
      <c r="R47" s="1615"/>
      <c r="S47" s="1616" t="str">
        <f>IF(UNJC0030_REPORT_IF_H_TEL_1="","",UNJC0030_REPORT_IF_H_TEL_1)</f>
        <v/>
      </c>
      <c r="T47" s="1614"/>
      <c r="U47" s="1614"/>
      <c r="V47" s="1615"/>
      <c r="W47" s="1616" t="str">
        <f>IF(UNJC0030_REPORT_IF_H_FAX_1="","",UNJC0030_REPORT_IF_H_FAX_1)</f>
        <v/>
      </c>
      <c r="X47" s="1614"/>
      <c r="Y47" s="1614"/>
      <c r="Z47" s="1615"/>
      <c r="AA47" s="1616" t="str">
        <f>IF(UNJC0030_REPORT_IF_H_MAIL_1="","",UNJC0030_REPORT_IF_H_MAIL_1)</f>
        <v/>
      </c>
      <c r="AB47" s="1614"/>
      <c r="AC47" s="1614"/>
      <c r="AD47" s="1614"/>
      <c r="AE47" s="1614"/>
      <c r="AF47" s="1614"/>
      <c r="AG47" s="1614"/>
      <c r="AH47" s="1617"/>
    </row>
    <row r="48" spans="2:34">
      <c r="B48" s="1618" t="str">
        <f>IF(UNJC0030_REPORT_IF_H_YUBIN_NO_1="","",UNJC0030_REPORT_IF_H_YUBIN_NO_1)</f>
        <v/>
      </c>
      <c r="C48" s="1619"/>
      <c r="D48" s="1619"/>
      <c r="E48" s="1619"/>
      <c r="F48" s="1619"/>
      <c r="G48" s="1620"/>
      <c r="H48" s="1621" t="str">
        <f>IF(UNJC0030_REPORT_IF_H_ADDRESS_1="","",UNJC0030_REPORT_IF_H_ADDRESS_1)</f>
        <v/>
      </c>
      <c r="I48" s="1622"/>
      <c r="J48" s="1622"/>
      <c r="K48" s="1622"/>
      <c r="L48" s="1622"/>
      <c r="M48" s="1622"/>
      <c r="N48" s="1622"/>
      <c r="O48" s="1622"/>
      <c r="P48" s="1622"/>
      <c r="Q48" s="1622"/>
      <c r="R48" s="1622"/>
      <c r="S48" s="1622"/>
      <c r="T48" s="1622"/>
      <c r="U48" s="1622"/>
      <c r="V48" s="1622"/>
      <c r="W48" s="1622"/>
      <c r="X48" s="1622"/>
      <c r="Y48" s="1623"/>
      <c r="Z48" s="1624" t="str">
        <f>IF(UNJC0030_REPORT_IF_H_CHUKAN_SOFU_FLG_1=TRUE,"○","")</f>
        <v/>
      </c>
      <c r="AA48" s="1619"/>
      <c r="AB48" s="1620"/>
      <c r="AC48" s="1624" t="str">
        <f>IF(UNJC0030_REPORT_IF_H_SOKUHO_SOFU_FLG_1=TRUE,"○","")</f>
        <v/>
      </c>
      <c r="AD48" s="1619"/>
      <c r="AE48" s="1620"/>
      <c r="AF48" s="1624" t="str">
        <f>IF(UNJC0030_REPORT_IF_H_HOKOKUSHO_SOFU_FLG_1=TRUE,"○","")</f>
        <v/>
      </c>
      <c r="AG48" s="1619"/>
      <c r="AH48" s="1625"/>
    </row>
    <row r="49" spans="2:35">
      <c r="B49" s="1626" t="str">
        <f>IF(UNJC0030_REPORT_IF_H_HOKOKU_MEI_2="","",UNJC0030_REPORT_IF_H_HOKOKU_MEI_2)</f>
        <v/>
      </c>
      <c r="C49" s="1627"/>
      <c r="D49" s="1627"/>
      <c r="E49" s="1627"/>
      <c r="F49" s="1627"/>
      <c r="G49" s="1628"/>
      <c r="H49" s="1629" t="str">
        <f>IF(UNJC0030_REPORT_IF_H_BUSHO_2="","",UNJC0030_REPORT_IF_H_BUSHO_2)</f>
        <v/>
      </c>
      <c r="I49" s="1627"/>
      <c r="J49" s="1627"/>
      <c r="K49" s="1627"/>
      <c r="L49" s="1627"/>
      <c r="M49" s="1627"/>
      <c r="N49" s="1628"/>
      <c r="O49" s="1629" t="str">
        <f>IF(UNJC0030_REPORT_IF_H_TANTO_2="","",UNJC0030_REPORT_IF_H_TANTO_2&amp;"様")</f>
        <v/>
      </c>
      <c r="P49" s="1627"/>
      <c r="Q49" s="1627"/>
      <c r="R49" s="1628"/>
      <c r="S49" s="1629" t="str">
        <f>IF(UNJC0030_REPORT_IF_H_TEL_2="","",UNJC0030_REPORT_IF_H_TEL_2)</f>
        <v/>
      </c>
      <c r="T49" s="1627"/>
      <c r="U49" s="1627"/>
      <c r="V49" s="1628"/>
      <c r="W49" s="1629" t="str">
        <f>IF(UNJC0030_REPORT_IF_H_FAX_2="","",UNJC0030_REPORT_IF_H_FAX_2)</f>
        <v/>
      </c>
      <c r="X49" s="1627"/>
      <c r="Y49" s="1627"/>
      <c r="Z49" s="1628"/>
      <c r="AA49" s="1629" t="str">
        <f>IF(UNJC0030_REPORT_IF_H_MAIL_2="","",UNJC0030_REPORT_IF_H_MAIL_2)</f>
        <v/>
      </c>
      <c r="AB49" s="1627"/>
      <c r="AC49" s="1627"/>
      <c r="AD49" s="1627"/>
      <c r="AE49" s="1627"/>
      <c r="AF49" s="1627"/>
      <c r="AG49" s="1627"/>
      <c r="AH49" s="1630"/>
    </row>
    <row r="50" spans="2:35">
      <c r="B50" s="1639" t="str">
        <f>IF(UNJC0030_REPORT_IF_H_YUBIN_NO_2="","",UNJC0030_REPORT_IF_H_YUBIN_NO_2)</f>
        <v/>
      </c>
      <c r="C50" s="1640"/>
      <c r="D50" s="1640"/>
      <c r="E50" s="1640"/>
      <c r="F50" s="1640"/>
      <c r="G50" s="1641"/>
      <c r="H50" s="1642" t="str">
        <f>IF(UNJC0030_REPORT_IF_H_ADDRESS_2="","",UNJC0030_REPORT_IF_H_ADDRESS_2)</f>
        <v/>
      </c>
      <c r="I50" s="1643"/>
      <c r="J50" s="1643"/>
      <c r="K50" s="1643"/>
      <c r="L50" s="1643"/>
      <c r="M50" s="1643"/>
      <c r="N50" s="1643"/>
      <c r="O50" s="1643"/>
      <c r="P50" s="1643"/>
      <c r="Q50" s="1643"/>
      <c r="R50" s="1643"/>
      <c r="S50" s="1643"/>
      <c r="T50" s="1643"/>
      <c r="U50" s="1643"/>
      <c r="V50" s="1643"/>
      <c r="W50" s="1643"/>
      <c r="X50" s="1643"/>
      <c r="Y50" s="1644"/>
      <c r="Z50" s="1645" t="str">
        <f>IF(UNJC0030_REPORT_IF_H_CHUKAN_SOFU_FLG_2=TRUE,"○","")</f>
        <v/>
      </c>
      <c r="AA50" s="1640"/>
      <c r="AB50" s="1641"/>
      <c r="AC50" s="1645" t="str">
        <f>IF(UNJC0030_REPORT_IF_H_SOKUHO_SOFU_FLG_2=TRUE,"○","")</f>
        <v/>
      </c>
      <c r="AD50" s="1640"/>
      <c r="AE50" s="1641"/>
      <c r="AF50" s="1645" t="str">
        <f>IF(UNJC0030_REPORT_IF_H_HOKOKUSHO_SOFU_FLG_2=TRUE,"○","")</f>
        <v/>
      </c>
      <c r="AG50" s="1640"/>
      <c r="AH50" s="1646"/>
    </row>
    <row r="51" spans="2:35">
      <c r="B51" s="1626" t="str">
        <f>IF(UNJC0030_REPORT_IF_H_HOKOKU_MEI_3="","",UNJC0030_REPORT_IF_H_HOKOKU_MEI_3)</f>
        <v/>
      </c>
      <c r="C51" s="1627"/>
      <c r="D51" s="1627"/>
      <c r="E51" s="1627"/>
      <c r="F51" s="1627"/>
      <c r="G51" s="1628"/>
      <c r="H51" s="1629" t="str">
        <f>IF(UNJC0030_REPORT_IF_H_BUSHO_3="","",UNJC0030_REPORT_IF_H_BUSHO_3)</f>
        <v/>
      </c>
      <c r="I51" s="1627"/>
      <c r="J51" s="1627"/>
      <c r="K51" s="1627"/>
      <c r="L51" s="1627"/>
      <c r="M51" s="1627"/>
      <c r="N51" s="1628"/>
      <c r="O51" s="1629" t="str">
        <f>IF(UNJC0030_REPORT_IF_H_TANTO_3="","",UNJC0030_REPORT_IF_H_TANTO_3&amp;"様")</f>
        <v/>
      </c>
      <c r="P51" s="1627"/>
      <c r="Q51" s="1627"/>
      <c r="R51" s="1628"/>
      <c r="S51" s="1629" t="str">
        <f>IF(UNJC0030_REPORT_IF_H_TEL_3="","",UNJC0030_REPORT_IF_H_TEL_3)</f>
        <v/>
      </c>
      <c r="T51" s="1627"/>
      <c r="U51" s="1627"/>
      <c r="V51" s="1628"/>
      <c r="W51" s="1629" t="str">
        <f>IF(UNJC0030_REPORT_IF_H_FAX_3="","",UNJC0030_REPORT_IF_H_FAX_3)</f>
        <v/>
      </c>
      <c r="X51" s="1627"/>
      <c r="Y51" s="1627"/>
      <c r="Z51" s="1628"/>
      <c r="AA51" s="1629" t="str">
        <f>IF(UNJC0030_REPORT_IF_H_MAIL_3="","",UNJC0030_REPORT_IF_H_MAIL_3)</f>
        <v/>
      </c>
      <c r="AB51" s="1627"/>
      <c r="AC51" s="1627"/>
      <c r="AD51" s="1627"/>
      <c r="AE51" s="1627"/>
      <c r="AF51" s="1627"/>
      <c r="AG51" s="1627"/>
      <c r="AH51" s="1630"/>
    </row>
    <row r="52" spans="2:35">
      <c r="B52" s="1631" t="str">
        <f>IF(UNJC0030_REPORT_IF_H_YUBIN_NO_3="","",UNJC0030_REPORT_IF_H_YUBIN_NO_3)</f>
        <v/>
      </c>
      <c r="C52" s="1632"/>
      <c r="D52" s="1632"/>
      <c r="E52" s="1632"/>
      <c r="F52" s="1632"/>
      <c r="G52" s="1633"/>
      <c r="H52" s="1634" t="str">
        <f>IF(UNJC0030_REPORT_IF_H_ADDRESS_3="","",UNJC0030_REPORT_IF_H_ADDRESS_3)</f>
        <v/>
      </c>
      <c r="I52" s="1635"/>
      <c r="J52" s="1635"/>
      <c r="K52" s="1635"/>
      <c r="L52" s="1635"/>
      <c r="M52" s="1635"/>
      <c r="N52" s="1635"/>
      <c r="O52" s="1635"/>
      <c r="P52" s="1635"/>
      <c r="Q52" s="1635"/>
      <c r="R52" s="1635"/>
      <c r="S52" s="1635"/>
      <c r="T52" s="1635"/>
      <c r="U52" s="1635"/>
      <c r="V52" s="1635"/>
      <c r="W52" s="1635"/>
      <c r="X52" s="1635"/>
      <c r="Y52" s="1636"/>
      <c r="Z52" s="1637" t="str">
        <f>IF(UNJC0030_REPORT_IF_H_CHUKAN_SOFU_FLG_3=TRUE,"○","")</f>
        <v/>
      </c>
      <c r="AA52" s="1632"/>
      <c r="AB52" s="1633"/>
      <c r="AC52" s="1637" t="str">
        <f>IF(UNJC0030_REPORT_IF_H_SOKUHO_SOFU_FLG_3=TRUE,"○","")</f>
        <v/>
      </c>
      <c r="AD52" s="1632"/>
      <c r="AE52" s="1633"/>
      <c r="AF52" s="1637" t="str">
        <f>IF(UNJC0030_REPORT_IF_H_HOKOKUSHO_SOFU_FLG_3=TRUE,"○","")</f>
        <v/>
      </c>
      <c r="AG52" s="1632"/>
      <c r="AH52" s="1638"/>
    </row>
    <row r="53" spans="2:35">
      <c r="B53" s="231"/>
      <c r="C53" s="231"/>
      <c r="D53" s="231"/>
      <c r="E53" s="231"/>
      <c r="F53" s="231"/>
      <c r="G53" s="231"/>
      <c r="H53" s="231"/>
      <c r="I53" s="231"/>
      <c r="J53" s="231"/>
      <c r="K53" s="231"/>
      <c r="L53" s="231"/>
      <c r="M53" s="231"/>
      <c r="N53" s="231"/>
    </row>
    <row r="54" spans="2:35">
      <c r="B54" s="231"/>
      <c r="C54" s="231"/>
      <c r="D54" s="231"/>
      <c r="E54" s="231"/>
      <c r="F54" s="231"/>
      <c r="G54" s="231"/>
      <c r="H54" s="231"/>
      <c r="I54" s="231"/>
      <c r="J54" s="231"/>
      <c r="K54" s="231"/>
      <c r="L54" s="231"/>
      <c r="M54" s="231"/>
      <c r="N54" s="231"/>
    </row>
    <row r="55" spans="2:35">
      <c r="B55" s="231"/>
      <c r="C55" s="231"/>
      <c r="D55" s="231"/>
      <c r="E55" s="231"/>
      <c r="F55" s="231"/>
      <c r="G55" s="231"/>
      <c r="H55" s="231"/>
      <c r="I55" s="231"/>
      <c r="J55" s="231"/>
      <c r="K55" s="231"/>
      <c r="L55" s="231"/>
      <c r="M55" s="231"/>
      <c r="N55" s="231"/>
    </row>
    <row r="56" spans="2:35" ht="16.5" customHeight="1">
      <c r="B56" s="231"/>
      <c r="C56" s="231"/>
      <c r="D56" s="231"/>
      <c r="E56" s="231"/>
      <c r="F56" s="231"/>
      <c r="G56" s="231"/>
      <c r="H56" s="231"/>
      <c r="I56" s="231"/>
      <c r="J56" s="231"/>
      <c r="K56" s="231"/>
      <c r="L56" s="231"/>
      <c r="M56" s="231"/>
      <c r="N56" s="231"/>
    </row>
    <row r="57" spans="2:35">
      <c r="B57" s="231"/>
      <c r="C57" s="231"/>
      <c r="D57" s="231"/>
      <c r="E57" s="231"/>
      <c r="F57" s="231"/>
      <c r="G57" s="231"/>
      <c r="H57" s="231"/>
      <c r="I57" s="231"/>
      <c r="J57" s="231"/>
      <c r="K57" s="231"/>
      <c r="L57" s="231"/>
      <c r="M57" s="231"/>
      <c r="N57" s="231"/>
    </row>
    <row r="58" spans="2:35">
      <c r="B58" s="231"/>
      <c r="C58" s="231"/>
      <c r="D58" s="231"/>
      <c r="E58" s="231"/>
      <c r="F58" s="231"/>
      <c r="G58" s="231"/>
      <c r="H58" s="231"/>
      <c r="I58" s="231"/>
      <c r="J58" s="231"/>
      <c r="K58" s="231"/>
      <c r="L58" s="231"/>
      <c r="M58" s="231"/>
      <c r="N58" s="231"/>
    </row>
    <row r="59" spans="2:35">
      <c r="B59" s="231"/>
      <c r="C59" s="231"/>
      <c r="D59" s="231"/>
      <c r="E59" s="231"/>
      <c r="F59" s="231"/>
      <c r="G59" s="231"/>
      <c r="H59" s="231"/>
      <c r="I59" s="231"/>
      <c r="J59" s="231"/>
      <c r="K59" s="231"/>
      <c r="L59" s="231"/>
      <c r="M59" s="231"/>
      <c r="N59" s="231"/>
    </row>
    <row r="60" spans="2:35">
      <c r="B60" s="231"/>
      <c r="C60" s="231"/>
      <c r="D60" s="231"/>
      <c r="E60" s="231"/>
      <c r="F60" s="231"/>
      <c r="G60" s="231"/>
      <c r="H60" s="231"/>
      <c r="I60" s="231"/>
      <c r="J60" s="231"/>
      <c r="K60" s="231"/>
      <c r="L60" s="231"/>
      <c r="M60" s="231"/>
      <c r="N60" s="231"/>
    </row>
    <row r="61" spans="2:35">
      <c r="B61" s="231"/>
      <c r="C61" s="231"/>
      <c r="D61" s="231"/>
      <c r="E61" s="231"/>
      <c r="F61" s="231"/>
      <c r="G61" s="231"/>
      <c r="H61" s="231"/>
      <c r="I61" s="231"/>
      <c r="J61" s="231"/>
      <c r="K61" s="231"/>
      <c r="L61" s="231"/>
      <c r="M61" s="231"/>
      <c r="N61" s="231"/>
    </row>
    <row r="62" spans="2:35">
      <c r="B62" s="231"/>
      <c r="C62" s="231"/>
      <c r="D62" s="231"/>
      <c r="E62" s="231"/>
      <c r="F62" s="231"/>
      <c r="G62" s="231"/>
      <c r="H62" s="231"/>
      <c r="I62" s="231"/>
      <c r="J62" s="231"/>
      <c r="K62" s="231"/>
      <c r="L62" s="231"/>
      <c r="M62" s="231"/>
      <c r="N62" s="231"/>
      <c r="AI62" s="278"/>
    </row>
    <row r="63" spans="2:35">
      <c r="B63" s="231"/>
      <c r="C63" s="231"/>
      <c r="D63" s="231"/>
      <c r="E63" s="231"/>
      <c r="F63" s="231"/>
      <c r="G63" s="231"/>
      <c r="H63" s="231"/>
      <c r="I63" s="231"/>
      <c r="J63" s="231"/>
      <c r="K63" s="231"/>
      <c r="L63" s="231"/>
      <c r="M63" s="231"/>
      <c r="N63" s="231"/>
    </row>
  </sheetData>
  <mergeCells count="153">
    <mergeCell ref="B52:G52"/>
    <mergeCell ref="H52:Y52"/>
    <mergeCell ref="Z52:AB52"/>
    <mergeCell ref="AC52:AE52"/>
    <mergeCell ref="AF52:AH52"/>
    <mergeCell ref="B50:G50"/>
    <mergeCell ref="H50:Y50"/>
    <mergeCell ref="Z50:AB50"/>
    <mergeCell ref="AC50:AE50"/>
    <mergeCell ref="AF50:AH50"/>
    <mergeCell ref="B51:G51"/>
    <mergeCell ref="AA51:AH51"/>
    <mergeCell ref="W51:Z51"/>
    <mergeCell ref="S51:V51"/>
    <mergeCell ref="O51:R51"/>
    <mergeCell ref="H51:N51"/>
    <mergeCell ref="B48:G48"/>
    <mergeCell ref="H48:Y48"/>
    <mergeCell ref="Z48:AB48"/>
    <mergeCell ref="AC48:AE48"/>
    <mergeCell ref="AF48:AH48"/>
    <mergeCell ref="B49:G49"/>
    <mergeCell ref="AA49:AH49"/>
    <mergeCell ref="W49:Z49"/>
    <mergeCell ref="S49:V49"/>
    <mergeCell ref="O49:R49"/>
    <mergeCell ref="H49:N49"/>
    <mergeCell ref="B46:G46"/>
    <mergeCell ref="H46:Y46"/>
    <mergeCell ref="Z46:AB46"/>
    <mergeCell ref="AC46:AE46"/>
    <mergeCell ref="AF46:AH46"/>
    <mergeCell ref="B47:G47"/>
    <mergeCell ref="AA47:AH47"/>
    <mergeCell ref="W47:Z47"/>
    <mergeCell ref="S47:V47"/>
    <mergeCell ref="O47:R47"/>
    <mergeCell ref="H47:N47"/>
    <mergeCell ref="B32:F37"/>
    <mergeCell ref="G32:AH37"/>
    <mergeCell ref="B39:F43"/>
    <mergeCell ref="G39:AH43"/>
    <mergeCell ref="B45:G45"/>
    <mergeCell ref="AA45:AH45"/>
    <mergeCell ref="W45:Z45"/>
    <mergeCell ref="S45:V45"/>
    <mergeCell ref="O45:R45"/>
    <mergeCell ref="H45:N45"/>
    <mergeCell ref="B29:F29"/>
    <mergeCell ref="G29:K29"/>
    <mergeCell ref="M29:R29"/>
    <mergeCell ref="S29:AH29"/>
    <mergeCell ref="B30:F30"/>
    <mergeCell ref="G30:K30"/>
    <mergeCell ref="M30:R30"/>
    <mergeCell ref="S30:AH30"/>
    <mergeCell ref="M27:R27"/>
    <mergeCell ref="S27:AH27"/>
    <mergeCell ref="B28:F28"/>
    <mergeCell ref="G28:K28"/>
    <mergeCell ref="M28:R28"/>
    <mergeCell ref="S28:AH28"/>
    <mergeCell ref="B24:F24"/>
    <mergeCell ref="G24:K24"/>
    <mergeCell ref="B25:F25"/>
    <mergeCell ref="G25:K25"/>
    <mergeCell ref="B27:F27"/>
    <mergeCell ref="G27:K27"/>
    <mergeCell ref="B20:F20"/>
    <mergeCell ref="G20:W20"/>
    <mergeCell ref="X20:AB20"/>
    <mergeCell ref="Z24:AD24"/>
    <mergeCell ref="AC20:AH20"/>
    <mergeCell ref="B21:F22"/>
    <mergeCell ref="G21:W22"/>
    <mergeCell ref="X21:AB21"/>
    <mergeCell ref="AC21:AH21"/>
    <mergeCell ref="X22:AB22"/>
    <mergeCell ref="AC22:AH22"/>
    <mergeCell ref="AE24:AH24"/>
    <mergeCell ref="Z25:AD25"/>
    <mergeCell ref="AE25:AH25"/>
    <mergeCell ref="B18:F18"/>
    <mergeCell ref="G18:W18"/>
    <mergeCell ref="X18:AB18"/>
    <mergeCell ref="AC18:AH18"/>
    <mergeCell ref="B19:F19"/>
    <mergeCell ref="G19:W19"/>
    <mergeCell ref="X19:AB19"/>
    <mergeCell ref="AC19:AH19"/>
    <mergeCell ref="B14:F14"/>
    <mergeCell ref="G14:AH14"/>
    <mergeCell ref="B15:F15"/>
    <mergeCell ref="G15:AH15"/>
    <mergeCell ref="B16:F16"/>
    <mergeCell ref="G16:AH16"/>
    <mergeCell ref="W11:AB11"/>
    <mergeCell ref="AC11:AH11"/>
    <mergeCell ref="B13:F13"/>
    <mergeCell ref="G13:O13"/>
    <mergeCell ref="P13:T13"/>
    <mergeCell ref="U13:Y13"/>
    <mergeCell ref="Z13:AD13"/>
    <mergeCell ref="AE13:AH13"/>
    <mergeCell ref="B9:F9"/>
    <mergeCell ref="G9:U9"/>
    <mergeCell ref="W9:AB9"/>
    <mergeCell ref="AC9:AH9"/>
    <mergeCell ref="B10:F10"/>
    <mergeCell ref="G10:L10"/>
    <mergeCell ref="M10:Q10"/>
    <mergeCell ref="R10:U10"/>
    <mergeCell ref="W10:AB10"/>
    <mergeCell ref="AC10:AH10"/>
    <mergeCell ref="B11:F11"/>
    <mergeCell ref="G11:L11"/>
    <mergeCell ref="B7:F7"/>
    <mergeCell ref="G7:U7"/>
    <mergeCell ref="W7:AB7"/>
    <mergeCell ref="AC7:AH7"/>
    <mergeCell ref="B8:F8"/>
    <mergeCell ref="G8:U8"/>
    <mergeCell ref="W8:AB8"/>
    <mergeCell ref="AC8:AH8"/>
    <mergeCell ref="W4:Y4"/>
    <mergeCell ref="Z4:AB4"/>
    <mergeCell ref="AC4:AE4"/>
    <mergeCell ref="AF4:AH4"/>
    <mergeCell ref="B6:F6"/>
    <mergeCell ref="G6:U6"/>
    <mergeCell ref="W6:AB6"/>
    <mergeCell ref="AC6:AH6"/>
    <mergeCell ref="N4:P4"/>
    <mergeCell ref="AC3:AE3"/>
    <mergeCell ref="AF3:AH3"/>
    <mergeCell ref="B4:D4"/>
    <mergeCell ref="E4:G4"/>
    <mergeCell ref="H4:J4"/>
    <mergeCell ref="K4:M4"/>
    <mergeCell ref="Q4:S4"/>
    <mergeCell ref="T4:V4"/>
    <mergeCell ref="B1:J2"/>
    <mergeCell ref="K1:Q2"/>
    <mergeCell ref="R1:Y2"/>
    <mergeCell ref="B3:D3"/>
    <mergeCell ref="E3:G3"/>
    <mergeCell ref="H3:J3"/>
    <mergeCell ref="K3:M3"/>
    <mergeCell ref="Q3:S3"/>
    <mergeCell ref="T3:V3"/>
    <mergeCell ref="W3:Y3"/>
    <mergeCell ref="Z3:AB3"/>
    <mergeCell ref="N3:P3"/>
  </mergeCells>
  <phoneticPr fontId="2"/>
  <conditionalFormatting sqref="AC4:AE4">
    <cfRule type="expression" dxfId="146" priority="3">
      <formula>UNJC0030_REPORT_IF_H_FUYO_FLG=TRUE</formula>
    </cfRule>
  </conditionalFormatting>
  <conditionalFormatting sqref="Z4:AB4">
    <cfRule type="expression" dxfId="145" priority="2">
      <formula>UNJC0030_REPORT_IF_H_SOKUHO_KBN=1</formula>
    </cfRule>
  </conditionalFormatting>
  <conditionalFormatting sqref="N4:P4">
    <cfRule type="expression" dxfId="144" priority="1">
      <formula>UNJC0030_REPORT_IF_H_CHUKAN_DATE_1=""</formula>
    </cfRule>
  </conditionalFormatting>
  <pageMargins left="0.35433070866141736" right="0.11811023622047245" top="0.47244094488188981" bottom="0.47244094488188981" header="0.19685039370078741" footer="0.31496062992125984"/>
  <pageSetup paperSize="9" scale="99" fitToHeight="0" orientation="portrait" horizontalDpi="1200" verticalDpi="1200" r:id="rId1"/>
  <headerFooter>
    <oddHeader xml:space="preserve">&amp;R&amp;"メイリオ,レギュラー"&amp;P/&amp;N     </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G114"/>
  <sheetViews>
    <sheetView zoomScale="70" zoomScaleNormal="70" workbookViewId="0">
      <selection activeCell="B3" sqref="B3"/>
    </sheetView>
  </sheetViews>
  <sheetFormatPr defaultRowHeight="13.5"/>
  <cols>
    <col min="1" max="4" width="9" style="278"/>
    <col min="5" max="37" width="2.75" style="278" customWidth="1"/>
    <col min="38" max="40" width="9" style="278"/>
    <col min="41" max="73" width="2.375" style="278" customWidth="1"/>
    <col min="74" max="84" width="9" style="278"/>
    <col min="85" max="85" width="13.625" style="278" customWidth="1"/>
    <col min="86" max="183" width="9" style="278" customWidth="1"/>
    <col min="184" max="190" width="9" style="921" customWidth="1"/>
    <col min="191" max="192" width="9" style="923" customWidth="1"/>
    <col min="193" max="199" width="9" style="921" customWidth="1"/>
    <col min="200" max="200" width="9" style="1245" customWidth="1"/>
    <col min="201" max="203" width="9" style="921" customWidth="1"/>
    <col min="204" max="206" width="9" style="921"/>
    <col min="207" max="207" width="9.5" style="921" customWidth="1"/>
    <col min="208" max="208" width="13.125" style="921" bestFit="1" customWidth="1"/>
    <col min="209" max="209" width="12.25" style="911" bestFit="1" customWidth="1"/>
    <col min="210" max="210" width="6" style="911" bestFit="1" customWidth="1"/>
    <col min="211" max="211" width="7.625" style="911" bestFit="1" customWidth="1"/>
    <col min="212" max="212" width="10" style="921" bestFit="1" customWidth="1"/>
    <col min="213" max="213" width="11.375" style="921" bestFit="1" customWidth="1"/>
    <col min="214" max="214" width="8.875" style="921" bestFit="1" customWidth="1"/>
    <col min="215" max="215" width="6" style="921" bestFit="1" customWidth="1"/>
    <col min="216" max="216" width="18.125" style="921" bestFit="1" customWidth="1"/>
    <col min="217" max="16384" width="9" style="921"/>
  </cols>
  <sheetData>
    <row r="1" spans="2:215">
      <c r="B1" s="279" t="s">
        <v>1551</v>
      </c>
      <c r="BX1" s="279" t="s">
        <v>1552</v>
      </c>
      <c r="CG1" s="279" t="s">
        <v>1553</v>
      </c>
      <c r="CH1" s="278" t="s">
        <v>1554</v>
      </c>
      <c r="GB1" s="921" t="s">
        <v>1555</v>
      </c>
      <c r="GX1" s="921" t="s">
        <v>1556</v>
      </c>
    </row>
    <row r="2" spans="2:215">
      <c r="B2" s="278" t="s">
        <v>1554</v>
      </c>
      <c r="AM2" s="278" t="s">
        <v>1556</v>
      </c>
      <c r="CE2" s="106" t="s">
        <v>1557</v>
      </c>
      <c r="CH2" s="106" t="s">
        <v>266</v>
      </c>
      <c r="CI2" s="106" t="s">
        <v>1196</v>
      </c>
      <c r="CJ2" s="106" t="s">
        <v>1558</v>
      </c>
      <c r="CK2" s="106" t="s">
        <v>1559</v>
      </c>
      <c r="CL2" s="106" t="s">
        <v>1560</v>
      </c>
      <c r="CM2" s="106" t="s">
        <v>1197</v>
      </c>
      <c r="CN2" s="106" t="s">
        <v>1561</v>
      </c>
      <c r="CO2" s="106" t="s">
        <v>1198</v>
      </c>
      <c r="CP2" s="106" t="s">
        <v>1562</v>
      </c>
      <c r="CQ2" s="106" t="s">
        <v>382</v>
      </c>
      <c r="CR2" s="106" t="s">
        <v>275</v>
      </c>
      <c r="CS2" s="106" t="s">
        <v>1199</v>
      </c>
      <c r="CT2" s="106" t="s">
        <v>1200</v>
      </c>
      <c r="CU2" s="106" t="s">
        <v>271</v>
      </c>
      <c r="CV2" s="106" t="s">
        <v>272</v>
      </c>
      <c r="CW2" s="106" t="s">
        <v>1201</v>
      </c>
      <c r="CX2" s="106" t="s">
        <v>1563</v>
      </c>
      <c r="CY2" s="106" t="s">
        <v>3581</v>
      </c>
      <c r="CZ2" s="106" t="s">
        <v>3582</v>
      </c>
      <c r="DA2" s="106" t="s">
        <v>349</v>
      </c>
      <c r="DB2" s="106" t="s">
        <v>268</v>
      </c>
      <c r="DC2" s="106" t="s">
        <v>1204</v>
      </c>
      <c r="DD2" s="106" t="s">
        <v>1205</v>
      </c>
      <c r="DE2" s="106" t="s">
        <v>1206</v>
      </c>
      <c r="DF2" s="106" t="s">
        <v>1564</v>
      </c>
      <c r="DG2" s="106" t="s">
        <v>1565</v>
      </c>
      <c r="DH2" s="106" t="s">
        <v>1207</v>
      </c>
      <c r="DI2" s="106" t="s">
        <v>270</v>
      </c>
      <c r="DJ2" s="106" t="s">
        <v>267</v>
      </c>
      <c r="DK2" s="106" t="s">
        <v>1208</v>
      </c>
      <c r="DL2" s="106" t="s">
        <v>1209</v>
      </c>
      <c r="DM2" s="106" t="s">
        <v>1210</v>
      </c>
      <c r="DN2" s="106" t="s">
        <v>1211</v>
      </c>
      <c r="DO2" s="106" t="s">
        <v>1212</v>
      </c>
      <c r="DP2" s="106" t="s">
        <v>1213</v>
      </c>
      <c r="DQ2" s="106" t="s">
        <v>1214</v>
      </c>
      <c r="DR2" s="106" t="s">
        <v>1215</v>
      </c>
      <c r="DS2" s="106" t="s">
        <v>1216</v>
      </c>
      <c r="DT2" s="106" t="s">
        <v>1217</v>
      </c>
      <c r="DU2" s="106" t="s">
        <v>1218</v>
      </c>
      <c r="DV2" s="106" t="s">
        <v>1219</v>
      </c>
      <c r="DW2" s="106" t="s">
        <v>1220</v>
      </c>
      <c r="DX2" s="106" t="s">
        <v>1221</v>
      </c>
      <c r="DY2" s="106" t="s">
        <v>1222</v>
      </c>
      <c r="DZ2" s="106" t="s">
        <v>1223</v>
      </c>
      <c r="EA2" s="106" t="s">
        <v>1224</v>
      </c>
      <c r="EB2" s="106" t="s">
        <v>1225</v>
      </c>
      <c r="EC2" s="106" t="s">
        <v>1226</v>
      </c>
      <c r="ED2" s="106" t="s">
        <v>1227</v>
      </c>
      <c r="EE2" s="106" t="s">
        <v>1228</v>
      </c>
      <c r="EF2" s="106" t="s">
        <v>1229</v>
      </c>
      <c r="EG2" s="106" t="s">
        <v>1230</v>
      </c>
      <c r="EH2" s="106" t="s">
        <v>1231</v>
      </c>
      <c r="EI2" s="106" t="s">
        <v>675</v>
      </c>
      <c r="EJ2" s="106" t="s">
        <v>1232</v>
      </c>
      <c r="EK2" s="106" t="s">
        <v>1233</v>
      </c>
      <c r="EL2" s="106" t="s">
        <v>1234</v>
      </c>
      <c r="EM2" s="106" t="s">
        <v>1235</v>
      </c>
      <c r="EN2" s="106" t="s">
        <v>1236</v>
      </c>
      <c r="EO2" s="106" t="s">
        <v>1237</v>
      </c>
      <c r="EP2" s="106" t="s">
        <v>1238</v>
      </c>
      <c r="EQ2" s="106" t="s">
        <v>1239</v>
      </c>
      <c r="ER2" s="106" t="s">
        <v>1240</v>
      </c>
      <c r="ES2" s="106" t="s">
        <v>1241</v>
      </c>
      <c r="ET2" s="106" t="s">
        <v>1242</v>
      </c>
      <c r="EU2" s="106" t="s">
        <v>1243</v>
      </c>
      <c r="EV2" s="106" t="s">
        <v>1244</v>
      </c>
      <c r="EW2" s="106" t="s">
        <v>1245</v>
      </c>
      <c r="EX2" s="106" t="s">
        <v>1246</v>
      </c>
      <c r="EY2" s="106" t="s">
        <v>1247</v>
      </c>
      <c r="EZ2" s="106" t="s">
        <v>1248</v>
      </c>
      <c r="FA2" s="106" t="s">
        <v>1249</v>
      </c>
      <c r="FB2" s="106" t="s">
        <v>1250</v>
      </c>
      <c r="FC2" s="106" t="s">
        <v>1251</v>
      </c>
      <c r="FD2" s="106" t="s">
        <v>1252</v>
      </c>
      <c r="FE2" s="106" t="s">
        <v>1253</v>
      </c>
      <c r="FF2" s="106" t="s">
        <v>1254</v>
      </c>
      <c r="FG2" s="106" t="s">
        <v>1255</v>
      </c>
      <c r="FH2" s="106" t="s">
        <v>1256</v>
      </c>
      <c r="FI2" s="106" t="s">
        <v>1257</v>
      </c>
      <c r="FJ2" s="106" t="s">
        <v>1258</v>
      </c>
      <c r="FK2" s="106" t="s">
        <v>1259</v>
      </c>
      <c r="FL2" s="106" t="s">
        <v>1260</v>
      </c>
      <c r="FM2" s="106" t="s">
        <v>1261</v>
      </c>
      <c r="FN2" s="106" t="s">
        <v>1262</v>
      </c>
      <c r="FO2" s="106" t="s">
        <v>1263</v>
      </c>
      <c r="FP2" s="106" t="s">
        <v>1264</v>
      </c>
      <c r="FQ2" s="106" t="s">
        <v>1265</v>
      </c>
      <c r="FR2" s="106" t="s">
        <v>1266</v>
      </c>
      <c r="FS2" s="106" t="s">
        <v>1267</v>
      </c>
      <c r="FT2" s="106" t="s">
        <v>1268</v>
      </c>
      <c r="FU2" s="106" t="s">
        <v>1269</v>
      </c>
      <c r="FV2" s="106" t="s">
        <v>1270</v>
      </c>
      <c r="FW2" s="106" t="s">
        <v>1271</v>
      </c>
      <c r="GB2" s="922" t="s">
        <v>266</v>
      </c>
      <c r="GC2" s="922" t="s">
        <v>1195</v>
      </c>
      <c r="GD2" s="922" t="s">
        <v>1211</v>
      </c>
      <c r="GE2" s="922" t="s">
        <v>1212</v>
      </c>
      <c r="GF2" s="922" t="s">
        <v>1213</v>
      </c>
      <c r="GG2" s="922" t="s">
        <v>1214</v>
      </c>
      <c r="GH2" s="922" t="s">
        <v>1215</v>
      </c>
      <c r="GI2" s="924" t="s">
        <v>1216</v>
      </c>
      <c r="GJ2" s="924" t="s">
        <v>1217</v>
      </c>
      <c r="GK2" s="922" t="s">
        <v>1218</v>
      </c>
      <c r="GL2" s="922" t="s">
        <v>1219</v>
      </c>
      <c r="GM2" s="922" t="s">
        <v>1566</v>
      </c>
      <c r="GN2" s="922" t="s">
        <v>1282</v>
      </c>
      <c r="GO2" s="922" t="s">
        <v>1567</v>
      </c>
      <c r="GP2" s="922" t="s">
        <v>1568</v>
      </c>
      <c r="GQ2" s="922" t="s">
        <v>4540</v>
      </c>
      <c r="GR2" s="922" t="s">
        <v>4542</v>
      </c>
      <c r="GS2" s="1246" t="s">
        <v>4541</v>
      </c>
      <c r="GX2" s="922" t="s">
        <v>367</v>
      </c>
      <c r="GY2" s="922" t="s">
        <v>1286</v>
      </c>
      <c r="GZ2" s="922" t="s">
        <v>1569</v>
      </c>
      <c r="HA2" s="912" t="s">
        <v>1287</v>
      </c>
      <c r="HB2" s="912" t="s">
        <v>1288</v>
      </c>
      <c r="HC2" s="912" t="s">
        <v>1289</v>
      </c>
      <c r="HD2" s="922" t="s">
        <v>1570</v>
      </c>
      <c r="HE2" s="922" t="s">
        <v>266</v>
      </c>
      <c r="HF2" s="922" t="s">
        <v>1195</v>
      </c>
      <c r="HG2" s="922" t="s">
        <v>1290</v>
      </c>
    </row>
    <row r="3" spans="2:215">
      <c r="C3" s="278" t="s">
        <v>1571</v>
      </c>
      <c r="D3" s="278" t="s">
        <v>1572</v>
      </c>
      <c r="E3" s="1493" t="s">
        <v>829</v>
      </c>
      <c r="F3" s="1494"/>
      <c r="G3" s="1494"/>
      <c r="H3" s="1494"/>
      <c r="I3" s="1495"/>
      <c r="J3" s="1496" t="str">
        <f>IF(UNJC0030_REPORT_IF_H_ATENA="","",UNJC0030_REPORT_IF_H_ATENA)</f>
        <v/>
      </c>
      <c r="K3" s="1497"/>
      <c r="L3" s="1497"/>
      <c r="M3" s="1497"/>
      <c r="N3" s="1497"/>
      <c r="O3" s="1497"/>
      <c r="P3" s="1497"/>
      <c r="Q3" s="1497"/>
      <c r="R3" s="1497"/>
      <c r="S3" s="1497"/>
      <c r="T3" s="1497"/>
      <c r="U3" s="1497"/>
      <c r="V3" s="1497"/>
      <c r="W3" s="1497"/>
      <c r="X3" s="1498"/>
      <c r="Y3" s="1004"/>
      <c r="Z3" s="1493" t="s">
        <v>823</v>
      </c>
      <c r="AA3" s="1494"/>
      <c r="AB3" s="1494"/>
      <c r="AC3" s="1494"/>
      <c r="AD3" s="1494"/>
      <c r="AE3" s="1495"/>
      <c r="AF3" s="1499" t="str">
        <f>IF(UNJC0030_REPORT_IF_H_IRAI_DATE="","",UNJC0030_REPORT_IF_H_IRAI_DATE)</f>
        <v/>
      </c>
      <c r="AG3" s="1500"/>
      <c r="AH3" s="1500"/>
      <c r="AI3" s="1500"/>
      <c r="AJ3" s="1500"/>
      <c r="AK3" s="1501"/>
      <c r="AM3" s="278" t="s">
        <v>1573</v>
      </c>
      <c r="AN3" s="278" t="s">
        <v>1574</v>
      </c>
      <c r="AO3" s="1049">
        <f>1+ROW()-ROW(UNJC0030_REPORT_IF_SHOSAI_COPY_START)</f>
        <v>-64</v>
      </c>
      <c r="AP3" s="1650" t="e">
        <f ca="1">INDEX(OFFSET(UNJC0030_REPORT_IF_SHOSAI_BUNSEKI_MEI,1,0,UNJC0030_REPORT_IF_SHOSAI_CNT),
MATCH(UNJC0030_REPORT_IF_B_EDA&amp;" "&amp;$E3,
INDEX(OFFSET(UNJC0030_REPORT_IF_SHOSAI_JURI_EDA_NO,1,0,UNJC0030_REPORT_IF_SHOSAI_CNT+1)&amp;" "&amp;OFFSET(UNJC0030_REPORT_IF_SHOSAI_GYO_NO,1,0,UNJC0030_REPORT_IF_SHOSAI_CNT+1),),0))</f>
        <v>#REF!</v>
      </c>
      <c r="AQ3" s="1650"/>
      <c r="AR3" s="1650"/>
      <c r="AS3" s="1650"/>
      <c r="AT3" s="1650"/>
      <c r="AU3" s="1650"/>
      <c r="AV3" s="1650"/>
      <c r="AW3" s="1650"/>
      <c r="AX3" s="1650"/>
      <c r="AY3" s="1650"/>
      <c r="AZ3" s="1650"/>
      <c r="BA3" s="1650"/>
      <c r="BB3" s="1650"/>
      <c r="BC3" s="1651" t="e">
        <f ca="1">INDEX(OFFSET(UNJC0030_REPORT_IF_SHOSAI_BUNSEKI_TANI,1,0,UNJC0030_REPORT_IF_SHOSAI_CNT),
MATCH(UNJC0030_REPORT_IF_B_EDA&amp;" "&amp;$E3,
INDEX(OFFSET(UNJC0030_REPORT_IF_SHOSAI_JURI_EDA_NO,1,0,UNJC0030_REPORT_IF_SHOSAI_CNT+1)&amp;" "&amp;OFFSET(UNJC0030_REPORT_IF_SHOSAI_GYO_NO,1,0,UNJC0030_REPORT_IF_SHOSAI_CNT+1),),0))</f>
        <v>#REF!</v>
      </c>
      <c r="BD3" s="1651"/>
      <c r="BE3" s="1651"/>
      <c r="BF3" s="1651"/>
      <c r="BG3" s="1650" t="e">
        <f ca="1">INDEX(OFFSET(UNJC0030_REPORT_IF_SHOSAI_BUNSEKI_DATA,1,0,UNJC0030_REPORT_IF_SHOSAI_CNT),
MATCH(UNJC0030_REPORT_IF_B_EDA&amp;" "&amp;$E3,
INDEX(OFFSET(UNJC0030_REPORT_IF_SHOSAI_JURI_EDA_NO,1,0,UNJC0030_REPORT_IF_SHOSAI_CNT+1)&amp;" "&amp;OFFSET(UNJC0030_REPORT_IF_SHOSAI_GYO_NO,1,0,UNJC0030_REPORT_IF_SHOSAI_CNT+1),),0))</f>
        <v>#REF!</v>
      </c>
      <c r="BH3" s="1650"/>
      <c r="BI3" s="1650"/>
      <c r="BJ3" s="1650"/>
      <c r="BK3" s="1650"/>
      <c r="BL3" s="1650"/>
      <c r="BM3" s="1650"/>
      <c r="BN3" s="1650"/>
      <c r="BO3" s="1650"/>
      <c r="BP3" s="1650"/>
      <c r="BQ3" s="1650"/>
      <c r="BR3" s="1651" t="e">
        <f ca="1">INDEX(OFFSET(UNJC0030_REPORT_IF_SHOSAI_BUNSEKI_NO,1,0,UNJC0030_REPORT_IF_SHOSAI_CNT),
MATCH(UNJC0030_REPORT_IF_B_EDA&amp;" "&amp;$E3,
INDEX(OFFSET(UNJC0030_REPORT_IF_SHOSAI_JURI_EDA_NO,1,0,UNJC0030_REPORT_IF_SHOSAI_CNT+1)&amp;" "&amp;OFFSET(UNJC0030_REPORT_IF_SHOSAI_GYO_NO,1,0,UNJC0030_REPORT_IF_SHOSAI_CNT+1),),0))</f>
        <v>#REF!</v>
      </c>
      <c r="BS3" s="1651"/>
      <c r="BT3" s="1651"/>
      <c r="BU3" s="1652"/>
      <c r="BY3" s="278" t="s">
        <v>1575</v>
      </c>
      <c r="BZ3" s="278" t="s">
        <v>1576</v>
      </c>
      <c r="CA3" s="273"/>
      <c r="CC3" s="278" t="s">
        <v>1577</v>
      </c>
      <c r="CD3" s="278" t="s">
        <v>1578</v>
      </c>
      <c r="CE3" s="273"/>
      <c r="CH3" s="547"/>
      <c r="CI3" s="547"/>
      <c r="CJ3" s="547"/>
      <c r="CK3" s="547"/>
      <c r="CL3" s="547"/>
      <c r="CM3" s="547"/>
      <c r="CN3" s="547"/>
      <c r="CO3" s="547"/>
      <c r="CP3" s="547"/>
      <c r="CQ3" s="547"/>
      <c r="CR3" s="547"/>
      <c r="CS3" s="547"/>
      <c r="CT3" s="547"/>
      <c r="CU3" s="547"/>
      <c r="CV3" s="547"/>
      <c r="CW3" s="547"/>
      <c r="CX3" s="547"/>
      <c r="CY3" s="547"/>
      <c r="CZ3" s="547"/>
      <c r="DA3" s="547"/>
      <c r="DB3" s="547"/>
      <c r="DC3" s="547"/>
      <c r="DD3" s="547"/>
      <c r="DE3" s="547"/>
      <c r="DF3" s="547"/>
      <c r="DG3" s="547"/>
      <c r="DH3" s="547"/>
      <c r="DI3" s="547"/>
      <c r="DJ3" s="547"/>
      <c r="DK3" s="547"/>
      <c r="DL3" s="547"/>
      <c r="DM3" s="547"/>
      <c r="DN3" s="547"/>
      <c r="DO3" s="547"/>
      <c r="DP3" s="547"/>
      <c r="DQ3" s="547"/>
      <c r="DR3" s="547"/>
      <c r="DS3" s="925"/>
      <c r="DT3" s="925"/>
      <c r="DU3" s="547"/>
      <c r="DV3" s="547"/>
      <c r="DW3" s="547"/>
      <c r="DX3" s="547"/>
      <c r="DY3" s="547"/>
      <c r="DZ3" s="547"/>
      <c r="EA3" s="547"/>
      <c r="EB3" s="547"/>
      <c r="EC3" s="547"/>
      <c r="ED3" s="547"/>
      <c r="EE3" s="547"/>
      <c r="EF3" s="547"/>
      <c r="EG3" s="547"/>
      <c r="EH3" s="547"/>
      <c r="EI3" s="547"/>
      <c r="EJ3" s="547"/>
      <c r="EK3" s="547"/>
      <c r="EL3" s="547"/>
      <c r="EM3" s="547"/>
      <c r="EN3" s="547"/>
      <c r="EO3" s="547"/>
      <c r="EP3" s="547"/>
      <c r="EQ3" s="547"/>
      <c r="ER3" s="547"/>
      <c r="ES3" s="547"/>
      <c r="ET3" s="547"/>
      <c r="EU3" s="547"/>
      <c r="EV3" s="547"/>
      <c r="EW3" s="547"/>
      <c r="EX3" s="547"/>
      <c r="EY3" s="547"/>
      <c r="EZ3" s="547"/>
      <c r="FA3" s="547"/>
      <c r="FB3" s="547"/>
      <c r="FC3" s="547"/>
      <c r="FD3" s="547"/>
      <c r="FE3" s="547"/>
      <c r="FF3" s="547"/>
      <c r="FG3" s="547"/>
      <c r="FH3" s="547"/>
      <c r="FI3" s="547"/>
      <c r="FJ3" s="547"/>
      <c r="FK3" s="547"/>
      <c r="FL3" s="547"/>
      <c r="FM3" s="547"/>
      <c r="FN3" s="547"/>
      <c r="FO3" s="547"/>
      <c r="FP3" s="547"/>
      <c r="FQ3" s="547"/>
      <c r="FR3" s="547"/>
      <c r="FS3" s="547"/>
      <c r="FT3" s="547"/>
      <c r="FU3" s="547"/>
      <c r="FV3" s="547"/>
      <c r="FW3" s="547"/>
      <c r="FZ3" s="278" t="s">
        <v>1579</v>
      </c>
      <c r="GA3" s="278" t="s">
        <v>1580</v>
      </c>
      <c r="GB3" s="615"/>
      <c r="GV3" s="921" t="s">
        <v>1579</v>
      </c>
      <c r="GW3" s="921" t="s">
        <v>1581</v>
      </c>
      <c r="GX3" s="615"/>
    </row>
    <row r="4" spans="2:215">
      <c r="E4" s="1483" t="s">
        <v>1522</v>
      </c>
      <c r="F4" s="1484"/>
      <c r="G4" s="1484"/>
      <c r="H4" s="1484"/>
      <c r="I4" s="1485"/>
      <c r="J4" s="1486" t="str">
        <f>IF(UNJC0030_REPORT_IF_H_SEIKYU_MEI="","",UNJC0030_REPORT_IF_H_SEIKYU_MEI)</f>
        <v/>
      </c>
      <c r="K4" s="1487"/>
      <c r="L4" s="1487"/>
      <c r="M4" s="1487"/>
      <c r="N4" s="1487"/>
      <c r="O4" s="1487"/>
      <c r="P4" s="1487"/>
      <c r="Q4" s="1487"/>
      <c r="R4" s="1487"/>
      <c r="S4" s="1487"/>
      <c r="T4" s="1487"/>
      <c r="U4" s="1487"/>
      <c r="V4" s="1487"/>
      <c r="W4" s="1487"/>
      <c r="X4" s="1488"/>
      <c r="Y4" s="1004"/>
      <c r="Z4" s="1483" t="s">
        <v>1523</v>
      </c>
      <c r="AA4" s="1484"/>
      <c r="AB4" s="1484"/>
      <c r="AC4" s="1484"/>
      <c r="AD4" s="1484"/>
      <c r="AE4" s="1485"/>
      <c r="AF4" s="1489" t="str">
        <f>IF(UNJC0030_REPORT_IF_H_KANRYO_DATE="","",UNJC0030_REPORT_IF_H_KANRYO_DATE)</f>
        <v/>
      </c>
      <c r="AG4" s="1490"/>
      <c r="AH4" s="1490"/>
      <c r="AI4" s="1490"/>
      <c r="AJ4" s="1490"/>
      <c r="AK4" s="1491"/>
    </row>
    <row r="5" spans="2:215">
      <c r="E5" s="1483" t="s">
        <v>1524</v>
      </c>
      <c r="F5" s="1484"/>
      <c r="G5" s="1484"/>
      <c r="H5" s="1484"/>
      <c r="I5" s="1485"/>
      <c r="J5" s="1486" t="str">
        <f>IF(UNJC0030_REPORT_IF_H_BUNSEKI_HOHO="","",UNJC0030_REPORT_IF_H_BUNSEKI_HOHO)</f>
        <v/>
      </c>
      <c r="K5" s="1487"/>
      <c r="L5" s="1487"/>
      <c r="M5" s="1487"/>
      <c r="N5" s="1487"/>
      <c r="O5" s="1487"/>
      <c r="P5" s="1487"/>
      <c r="Q5" s="1487"/>
      <c r="R5" s="1487"/>
      <c r="S5" s="1487"/>
      <c r="T5" s="1487"/>
      <c r="U5" s="1487"/>
      <c r="V5" s="1487"/>
      <c r="W5" s="1487"/>
      <c r="X5" s="1488"/>
      <c r="Y5" s="1004"/>
      <c r="Z5" s="1483" t="s">
        <v>1525</v>
      </c>
      <c r="AA5" s="1484"/>
      <c r="AB5" s="1484"/>
      <c r="AC5" s="1484"/>
      <c r="AD5" s="1484"/>
      <c r="AE5" s="1485"/>
      <c r="AF5" s="1489" t="str">
        <f>IF(UNJC0030_REPORT_IF_H_KANSEI_DATE="","",UNJC0030_REPORT_IF_H_KANSEI_DATE)</f>
        <v/>
      </c>
      <c r="AG5" s="1490"/>
      <c r="AH5" s="1490"/>
      <c r="AI5" s="1490"/>
      <c r="AJ5" s="1490"/>
      <c r="AK5" s="1491"/>
      <c r="AO5" s="970"/>
      <c r="AP5" s="970"/>
      <c r="AQ5" s="970"/>
      <c r="AR5" s="970"/>
      <c r="AS5" s="970"/>
      <c r="AT5" s="970"/>
      <c r="AU5" s="970"/>
      <c r="AV5" s="970"/>
      <c r="AW5" s="970"/>
      <c r="AX5" s="970"/>
      <c r="AY5" s="970"/>
      <c r="AZ5" s="970"/>
      <c r="BA5" s="970"/>
      <c r="BB5" s="970"/>
      <c r="BC5" s="970"/>
      <c r="BD5" s="970"/>
      <c r="BE5" s="970"/>
      <c r="BF5" s="970"/>
      <c r="BG5" s="970"/>
      <c r="BH5" s="970"/>
      <c r="BI5" s="970"/>
      <c r="BJ5" s="970"/>
      <c r="BK5" s="970"/>
      <c r="BL5" s="970"/>
      <c r="BM5" s="970"/>
      <c r="BN5" s="970"/>
      <c r="BO5" s="970"/>
      <c r="BP5" s="970"/>
      <c r="BQ5" s="970"/>
      <c r="BR5" s="970"/>
      <c r="BS5" s="970"/>
      <c r="BT5" s="970"/>
      <c r="BU5" s="970"/>
      <c r="BY5" s="278" t="s">
        <v>1582</v>
      </c>
      <c r="BZ5" s="278" t="s">
        <v>1583</v>
      </c>
      <c r="CA5" s="273"/>
    </row>
    <row r="6" spans="2:215">
      <c r="E6" s="1514" t="s">
        <v>1526</v>
      </c>
      <c r="F6" s="1515"/>
      <c r="G6" s="1515"/>
      <c r="H6" s="1515"/>
      <c r="I6" s="1516"/>
      <c r="J6" s="1517" t="str">
        <f>IF(UNJC0030_REPORT_IF_H_KEISHIKI_KBN_MEI="","",UNJC0030_REPORT_IF_H_KEISHIKI_KBN_MEI)</f>
        <v/>
      </c>
      <c r="K6" s="1518"/>
      <c r="L6" s="1518"/>
      <c r="M6" s="1518"/>
      <c r="N6" s="1518"/>
      <c r="O6" s="1518"/>
      <c r="P6" s="1518"/>
      <c r="Q6" s="1518"/>
      <c r="R6" s="1518"/>
      <c r="S6" s="1518"/>
      <c r="T6" s="1518"/>
      <c r="U6" s="1518"/>
      <c r="V6" s="1518"/>
      <c r="W6" s="1518"/>
      <c r="X6" s="1519"/>
      <c r="Y6" s="1004"/>
      <c r="Z6" s="1483" t="s">
        <v>1517</v>
      </c>
      <c r="AA6" s="1484"/>
      <c r="AB6" s="1484"/>
      <c r="AC6" s="1484"/>
      <c r="AD6" s="1484"/>
      <c r="AE6" s="1485"/>
      <c r="AF6" s="1520" t="str">
        <f>IF(UNJC0030_REPORT_IF_H_SOKUHO_KBN_MEI="","",UNJC0030_REPORT_IF_H_SOKUHO_KBN_MEI)</f>
        <v/>
      </c>
      <c r="AG6" s="1521"/>
      <c r="AH6" s="1521"/>
      <c r="AI6" s="1521"/>
      <c r="AJ6" s="1521"/>
      <c r="AK6" s="1522"/>
      <c r="BY6" s="278" t="s">
        <v>1584</v>
      </c>
      <c r="BZ6" s="278" t="s">
        <v>1585</v>
      </c>
      <c r="CA6" s="273" t="str">
        <f ca="1">OFFSET(UNJC0030_REPORT_IF_JURI_NO_START,UNJC0030_REPORT_IF_LOOP_CNT-1,0)</f>
        <v>対象受理No.</v>
      </c>
    </row>
    <row r="7" spans="2:215">
      <c r="E7" s="1523" t="s">
        <v>1586</v>
      </c>
      <c r="F7" s="1523"/>
      <c r="G7" s="1523"/>
      <c r="H7" s="1523"/>
      <c r="I7" s="1523"/>
      <c r="J7" s="1524" t="str">
        <f>IF(UNJC0030_REPORT_IF_H_NOHIN_HOHO="","",UNJC0030_REPORT_IF_H_NOHIN_HOHO)</f>
        <v/>
      </c>
      <c r="K7" s="1524"/>
      <c r="L7" s="1524"/>
      <c r="M7" s="1524"/>
      <c r="N7" s="1524"/>
      <c r="O7" s="1525"/>
      <c r="P7" s="1526" t="s">
        <v>626</v>
      </c>
      <c r="Q7" s="1527"/>
      <c r="R7" s="1527"/>
      <c r="S7" s="1527"/>
      <c r="T7" s="1528"/>
      <c r="U7" s="1529" t="str">
        <f>IF(UNJC0030_REPORT_IF_H_EIGYO_TANTO_MEI="","",UNJC0030_REPORT_IF_H_EIGYO_TANTO_MEI)</f>
        <v/>
      </c>
      <c r="V7" s="1530"/>
      <c r="W7" s="1530"/>
      <c r="X7" s="1531"/>
      <c r="Y7" s="1004"/>
      <c r="Z7" s="1483" t="s">
        <v>1527</v>
      </c>
      <c r="AA7" s="1484"/>
      <c r="AB7" s="1484"/>
      <c r="AC7" s="1484"/>
      <c r="AD7" s="1484"/>
      <c r="AE7" s="1485"/>
      <c r="AF7" s="1489" t="str">
        <f>IF(UNJC0030_REPORT_IF_H_HAKKO_DATE="","",UNJC0030_REPORT_IF_H_HAKKO_DATE)</f>
        <v/>
      </c>
      <c r="AG7" s="1490"/>
      <c r="AH7" s="1490"/>
      <c r="AI7" s="1490"/>
      <c r="AJ7" s="1490"/>
      <c r="AK7" s="1491"/>
    </row>
    <row r="8" spans="2:215">
      <c r="E8" s="1532" t="s">
        <v>3577</v>
      </c>
      <c r="F8" s="1532"/>
      <c r="G8" s="1532"/>
      <c r="H8" s="1532"/>
      <c r="I8" s="1532"/>
      <c r="J8" s="1533" t="str">
        <f>IF(UNJC0030_REPORT_IF_H_KOSU="","",UNJC0030_REPORT_IF_H_KOSU)</f>
        <v/>
      </c>
      <c r="K8" s="1533"/>
      <c r="L8" s="1533"/>
      <c r="M8" s="1533"/>
      <c r="N8" s="1533"/>
      <c r="O8" s="1533"/>
      <c r="P8" s="1021"/>
      <c r="Q8" s="1021"/>
      <c r="R8" s="1021"/>
      <c r="S8" s="1021"/>
      <c r="T8" s="1021"/>
      <c r="U8" s="1021"/>
      <c r="V8" s="1021"/>
      <c r="W8" s="1021"/>
      <c r="X8" s="1004"/>
      <c r="Y8" s="1004"/>
      <c r="Z8" s="1502" t="s">
        <v>29</v>
      </c>
      <c r="AA8" s="1503"/>
      <c r="AB8" s="1503"/>
      <c r="AC8" s="1503"/>
      <c r="AD8" s="1503"/>
      <c r="AE8" s="1504"/>
      <c r="AF8" s="1505" t="str">
        <f>IF(UNJC0030_REPORT_IF_H_NOHIN_DATE="","",UNJC0030_REPORT_IF_H_NOHIN_DATE)</f>
        <v/>
      </c>
      <c r="AG8" s="1506"/>
      <c r="AH8" s="1506"/>
      <c r="AI8" s="1506"/>
      <c r="AJ8" s="1506"/>
      <c r="AK8" s="1507"/>
    </row>
    <row r="9" spans="2:215">
      <c r="E9" s="1021"/>
      <c r="F9" s="1021"/>
      <c r="G9" s="1021"/>
      <c r="H9" s="1021"/>
      <c r="I9" s="1021"/>
      <c r="J9" s="1021"/>
      <c r="K9" s="1021"/>
      <c r="L9" s="1021"/>
      <c r="M9" s="1021"/>
      <c r="N9" s="1021"/>
      <c r="O9" s="1021"/>
      <c r="P9" s="1021"/>
      <c r="Q9" s="1021"/>
      <c r="R9" s="1021"/>
      <c r="S9" s="1021"/>
      <c r="T9" s="1021"/>
      <c r="U9" s="1021"/>
      <c r="V9" s="1021"/>
      <c r="W9" s="1021"/>
      <c r="X9" s="1004"/>
      <c r="Y9" s="1004"/>
      <c r="Z9" s="1004"/>
      <c r="AA9" s="1004"/>
      <c r="AB9" s="1004"/>
      <c r="AC9" s="1004"/>
      <c r="AD9" s="1004"/>
      <c r="AE9" s="1004"/>
      <c r="AF9" s="1004"/>
      <c r="AG9" s="1004"/>
      <c r="AH9" s="1004"/>
      <c r="AI9" s="1004"/>
      <c r="AJ9" s="1004"/>
      <c r="AK9" s="1004"/>
    </row>
    <row r="10" spans="2:215">
      <c r="E10" s="1508" t="s">
        <v>584</v>
      </c>
      <c r="F10" s="1509"/>
      <c r="G10" s="1509"/>
      <c r="H10" s="1509"/>
      <c r="I10" s="1509"/>
      <c r="J10" s="1510" t="str">
        <f>IF(UNJC0030_REPORT_IF_H_NYURYOKU_DATETIME="","",UNJC0030_REPORT_IF_H_NYURYOKU_DATETIME)</f>
        <v/>
      </c>
      <c r="K10" s="1510"/>
      <c r="L10" s="1510"/>
      <c r="M10" s="1510"/>
      <c r="N10" s="1510"/>
      <c r="O10" s="1510"/>
      <c r="P10" s="1510"/>
      <c r="Q10" s="1510"/>
      <c r="R10" s="1510"/>
      <c r="S10" s="1509" t="s">
        <v>1528</v>
      </c>
      <c r="T10" s="1511"/>
      <c r="U10" s="1511"/>
      <c r="V10" s="1511"/>
      <c r="W10" s="1511"/>
      <c r="X10" s="1512" t="str">
        <f>IF(UNJC0030_REPORT_IF_H_BUSHO_MEI="","",UNJC0030_REPORT_IF_H_BUSHO_MEI)</f>
        <v/>
      </c>
      <c r="Y10" s="1511"/>
      <c r="Z10" s="1511"/>
      <c r="AA10" s="1511"/>
      <c r="AB10" s="1511"/>
      <c r="AC10" s="1509" t="s">
        <v>28</v>
      </c>
      <c r="AD10" s="1511"/>
      <c r="AE10" s="1511"/>
      <c r="AF10" s="1511"/>
      <c r="AG10" s="1511"/>
      <c r="AH10" s="1512" t="str">
        <f>IF(UNJC0030_REPORT_IF_H_JURI_NO="","",UNJC0030_REPORT_IF_H_JURI_NO)</f>
        <v/>
      </c>
      <c r="AI10" s="1511"/>
      <c r="AJ10" s="1511"/>
      <c r="AK10" s="1513"/>
    </row>
    <row r="11" spans="2:215">
      <c r="E11" s="1542" t="s">
        <v>5</v>
      </c>
      <c r="F11" s="1539"/>
      <c r="G11" s="1539"/>
      <c r="H11" s="1539"/>
      <c r="I11" s="1539"/>
      <c r="J11" s="1543" t="str">
        <f>IF(UNJC0030_REPORT_IF_H_KENMEI="","",UNJC0030_REPORT_IF_H_KENMEI)</f>
        <v/>
      </c>
      <c r="K11" s="1543"/>
      <c r="L11" s="1543"/>
      <c r="M11" s="1543"/>
      <c r="N11" s="1543"/>
      <c r="O11" s="1543"/>
      <c r="P11" s="1543"/>
      <c r="Q11" s="1543"/>
      <c r="R11" s="1543"/>
      <c r="S11" s="1543"/>
      <c r="T11" s="1543"/>
      <c r="U11" s="1543"/>
      <c r="V11" s="1543"/>
      <c r="W11" s="1543"/>
      <c r="X11" s="1543"/>
      <c r="Y11" s="1543"/>
      <c r="Z11" s="1543"/>
      <c r="AA11" s="1543"/>
      <c r="AB11" s="1543"/>
      <c r="AC11" s="1543"/>
      <c r="AD11" s="1543"/>
      <c r="AE11" s="1543"/>
      <c r="AF11" s="1543"/>
      <c r="AG11" s="1543"/>
      <c r="AH11" s="1543"/>
      <c r="AI11" s="1543"/>
      <c r="AJ11" s="1543"/>
      <c r="AK11" s="1544"/>
      <c r="BY11" s="278" t="s">
        <v>1587</v>
      </c>
      <c r="BZ11" s="278" t="s">
        <v>1588</v>
      </c>
      <c r="CA11" s="273"/>
    </row>
    <row r="12" spans="2:215">
      <c r="E12" s="1542" t="s">
        <v>1529</v>
      </c>
      <c r="F12" s="1539"/>
      <c r="G12" s="1539"/>
      <c r="H12" s="1539"/>
      <c r="I12" s="1539"/>
      <c r="J12" s="1543" t="str">
        <f>IF(UNJC0030_REPORT_IF_H_MOKUTEKI="","",UNJC0030_REPORT_IF_H_MOKUTEKI)</f>
        <v/>
      </c>
      <c r="K12" s="1543"/>
      <c r="L12" s="1543"/>
      <c r="M12" s="1543"/>
      <c r="N12" s="1543"/>
      <c r="O12" s="1543"/>
      <c r="P12" s="1543"/>
      <c r="Q12" s="1543"/>
      <c r="R12" s="1543"/>
      <c r="S12" s="1543"/>
      <c r="T12" s="1543"/>
      <c r="U12" s="1543"/>
      <c r="V12" s="1543"/>
      <c r="W12" s="1543"/>
      <c r="X12" s="1543"/>
      <c r="Y12" s="1543"/>
      <c r="Z12" s="1543"/>
      <c r="AA12" s="1543"/>
      <c r="AB12" s="1543"/>
      <c r="AC12" s="1543"/>
      <c r="AD12" s="1543"/>
      <c r="AE12" s="1543"/>
      <c r="AF12" s="1543"/>
      <c r="AG12" s="1543"/>
      <c r="AH12" s="1543"/>
      <c r="AI12" s="1543"/>
      <c r="AJ12" s="1543"/>
      <c r="AK12" s="1544"/>
      <c r="BY12" s="278" t="s">
        <v>1589</v>
      </c>
      <c r="BZ12" s="278" t="s">
        <v>1590</v>
      </c>
      <c r="CA12" s="273"/>
    </row>
    <row r="13" spans="2:215">
      <c r="E13" s="1545" t="s">
        <v>1530</v>
      </c>
      <c r="F13" s="1546"/>
      <c r="G13" s="1546"/>
      <c r="H13" s="1546"/>
      <c r="I13" s="1546"/>
      <c r="J13" s="1547" t="str">
        <f>IF(UNJC0030_REPORT_IF_H_KISAI_JIKO="","",UNJC0030_REPORT_IF_H_KISAI_JIKO)</f>
        <v/>
      </c>
      <c r="K13" s="1547"/>
      <c r="L13" s="1547"/>
      <c r="M13" s="1547"/>
      <c r="N13" s="1547"/>
      <c r="O13" s="1547"/>
      <c r="P13" s="1547"/>
      <c r="Q13" s="1547"/>
      <c r="R13" s="1547"/>
      <c r="S13" s="1547"/>
      <c r="T13" s="1547"/>
      <c r="U13" s="1547"/>
      <c r="V13" s="1547"/>
      <c r="W13" s="1547"/>
      <c r="X13" s="1547"/>
      <c r="Y13" s="1547"/>
      <c r="Z13" s="1547"/>
      <c r="AA13" s="1547"/>
      <c r="AB13" s="1547"/>
      <c r="AC13" s="1547"/>
      <c r="AD13" s="1547"/>
      <c r="AE13" s="1547"/>
      <c r="AF13" s="1547"/>
      <c r="AG13" s="1547"/>
      <c r="AH13" s="1547"/>
      <c r="AI13" s="1547"/>
      <c r="AJ13" s="1547"/>
      <c r="AK13" s="1548"/>
    </row>
    <row r="14" spans="2:215">
      <c r="E14" s="1021"/>
      <c r="F14" s="1021"/>
      <c r="G14" s="1021"/>
      <c r="H14" s="1021"/>
      <c r="I14" s="1021"/>
      <c r="J14" s="1021"/>
      <c r="K14" s="1021"/>
      <c r="L14" s="1021"/>
      <c r="M14" s="1021"/>
      <c r="N14" s="1021"/>
      <c r="O14" s="1021"/>
      <c r="P14" s="1021"/>
      <c r="Q14" s="1021"/>
      <c r="R14" s="1004"/>
      <c r="S14" s="1004"/>
      <c r="T14" s="1004"/>
      <c r="U14" s="1004"/>
      <c r="V14" s="1004"/>
      <c r="W14" s="1004"/>
      <c r="X14" s="1004"/>
      <c r="Y14" s="1004"/>
      <c r="Z14" s="1004"/>
      <c r="AA14" s="1004"/>
      <c r="AB14" s="1004"/>
      <c r="AC14" s="1004"/>
      <c r="AD14" s="1004"/>
      <c r="AE14" s="1004"/>
      <c r="AF14" s="1004"/>
      <c r="AG14" s="1004"/>
      <c r="AH14" s="1004"/>
      <c r="AI14" s="1004"/>
      <c r="AJ14" s="1004"/>
      <c r="AK14" s="1004"/>
      <c r="BY14" s="278" t="s">
        <v>1591</v>
      </c>
      <c r="BZ14" s="278" t="s">
        <v>1592</v>
      </c>
      <c r="CA14" s="273">
        <f ca="1">IF(UNJC0030_REPORT_IF_SHOSAI_CNT=0,0,COUNTIF(OFFSET(UNJC0030_REPORT_IF_SHOSAI_JURI_EDA_NO,1,0,UNJC0030_REPORT_IF_SHOSAI_CNT),UNJC0030_REPORT_IF_B_EDA))</f>
        <v>0</v>
      </c>
    </row>
    <row r="15" spans="2:215">
      <c r="E15" s="1534" t="s">
        <v>1532</v>
      </c>
      <c r="F15" s="1523"/>
      <c r="G15" s="1523"/>
      <c r="H15" s="1523"/>
      <c r="I15" s="1523"/>
      <c r="J15" s="1535" t="str">
        <f>IF(UNJC0030_REPORT_IF_H_SAISHU_KAISHA_MEI="","",UNJC0030_REPORT_IF_H_SAISHU_KAISHA_MEI)</f>
        <v/>
      </c>
      <c r="K15" s="1535"/>
      <c r="L15" s="1535"/>
      <c r="M15" s="1535"/>
      <c r="N15" s="1535"/>
      <c r="O15" s="1535"/>
      <c r="P15" s="1535"/>
      <c r="Q15" s="1535"/>
      <c r="R15" s="1535"/>
      <c r="S15" s="1535"/>
      <c r="T15" s="1535"/>
      <c r="U15" s="1535"/>
      <c r="V15" s="1535"/>
      <c r="W15" s="1535"/>
      <c r="X15" s="1535"/>
      <c r="Y15" s="1535"/>
      <c r="Z15" s="1535"/>
      <c r="AA15" s="1509" t="s">
        <v>1533</v>
      </c>
      <c r="AB15" s="1509"/>
      <c r="AC15" s="1509"/>
      <c r="AD15" s="1509"/>
      <c r="AE15" s="1509"/>
      <c r="AF15" s="1512" t="str">
        <f>IF(UNJC0030_REPORT_IF_H_TENKO="","",UNJC0030_REPORT_IF_H_TENKO)</f>
        <v/>
      </c>
      <c r="AG15" s="1512"/>
      <c r="AH15" s="1512"/>
      <c r="AI15" s="1512"/>
      <c r="AJ15" s="1512"/>
      <c r="AK15" s="1536"/>
    </row>
    <row r="16" spans="2:215">
      <c r="E16" s="1537" t="s">
        <v>1534</v>
      </c>
      <c r="F16" s="1532"/>
      <c r="G16" s="1532"/>
      <c r="H16" s="1532"/>
      <c r="I16" s="1532"/>
      <c r="J16" s="1538" t="str">
        <f>IF(UNJC0030_REPORT_IF_H_SAISHU_SHA="","",UNJC0030_REPORT_IF_H_SAISHU_SHA)</f>
        <v/>
      </c>
      <c r="K16" s="1538"/>
      <c r="L16" s="1538"/>
      <c r="M16" s="1538"/>
      <c r="N16" s="1538"/>
      <c r="O16" s="1538"/>
      <c r="P16" s="1538"/>
      <c r="Q16" s="1538"/>
      <c r="R16" s="1538"/>
      <c r="S16" s="1538"/>
      <c r="T16" s="1538"/>
      <c r="U16" s="1538"/>
      <c r="V16" s="1538"/>
      <c r="W16" s="1538"/>
      <c r="X16" s="1538"/>
      <c r="Y16" s="1538"/>
      <c r="Z16" s="1538"/>
      <c r="AA16" s="1539" t="s">
        <v>1535</v>
      </c>
      <c r="AB16" s="1539"/>
      <c r="AC16" s="1539"/>
      <c r="AD16" s="1539"/>
      <c r="AE16" s="1539"/>
      <c r="AF16" s="1540" t="str">
        <f>IF(UNJC0030_REPORT_IF_H_KION="","",UNJC0030_REPORT_IF_H_KION)</f>
        <v/>
      </c>
      <c r="AG16" s="1540"/>
      <c r="AH16" s="1540"/>
      <c r="AI16" s="1540"/>
      <c r="AJ16" s="1540"/>
      <c r="AK16" s="1541"/>
    </row>
    <row r="17" spans="5:37">
      <c r="E17" s="1537" t="s">
        <v>1163</v>
      </c>
      <c r="F17" s="1532"/>
      <c r="G17" s="1532"/>
      <c r="H17" s="1532"/>
      <c r="I17" s="1532"/>
      <c r="J17" s="1538" t="str">
        <f>IF(UNJC0030_REPORT_IF_H_SAISHU_HOHO="","",UNJC0030_REPORT_IF_H_SAISHU_HOHO)</f>
        <v/>
      </c>
      <c r="K17" s="1538"/>
      <c r="L17" s="1538"/>
      <c r="M17" s="1538"/>
      <c r="N17" s="1538"/>
      <c r="O17" s="1538"/>
      <c r="P17" s="1538"/>
      <c r="Q17" s="1538"/>
      <c r="R17" s="1538"/>
      <c r="S17" s="1538"/>
      <c r="T17" s="1538"/>
      <c r="U17" s="1538"/>
      <c r="V17" s="1538"/>
      <c r="W17" s="1538"/>
      <c r="X17" s="1538"/>
      <c r="Y17" s="1538"/>
      <c r="Z17" s="1538"/>
      <c r="AA17" s="1539" t="s">
        <v>1536</v>
      </c>
      <c r="AB17" s="1539"/>
      <c r="AC17" s="1539"/>
      <c r="AD17" s="1539"/>
      <c r="AE17" s="1539"/>
      <c r="AF17" s="1540" t="str">
        <f>IF(UNJC0030_REPORT_IF_H_SUION="","",UNJC0030_REPORT_IF_H_SUION)</f>
        <v/>
      </c>
      <c r="AG17" s="1540"/>
      <c r="AH17" s="1540"/>
      <c r="AI17" s="1540"/>
      <c r="AJ17" s="1540"/>
      <c r="AK17" s="1541"/>
    </row>
    <row r="18" spans="5:37">
      <c r="E18" s="1537" t="s">
        <v>1537</v>
      </c>
      <c r="F18" s="1532"/>
      <c r="G18" s="1532"/>
      <c r="H18" s="1532"/>
      <c r="I18" s="1532"/>
      <c r="J18" s="1555" t="str">
        <f>IF(UNJC0030_REPORT_IF_H_SAISHU_BASHO="","",UNJC0030_REPORT_IF_H_SAISHU_BASHO)</f>
        <v/>
      </c>
      <c r="K18" s="1555"/>
      <c r="L18" s="1555"/>
      <c r="M18" s="1555"/>
      <c r="N18" s="1555"/>
      <c r="O18" s="1555"/>
      <c r="P18" s="1555"/>
      <c r="Q18" s="1555"/>
      <c r="R18" s="1555"/>
      <c r="S18" s="1555"/>
      <c r="T18" s="1555"/>
      <c r="U18" s="1555"/>
      <c r="V18" s="1555"/>
      <c r="W18" s="1555"/>
      <c r="X18" s="1555"/>
      <c r="Y18" s="1555"/>
      <c r="Z18" s="1555"/>
      <c r="AA18" s="1539" t="s">
        <v>1538</v>
      </c>
      <c r="AB18" s="1539"/>
      <c r="AC18" s="1539"/>
      <c r="AD18" s="1539"/>
      <c r="AE18" s="1539"/>
      <c r="AF18" s="1557" t="str">
        <f>IF(UNJC0030_REPORT_IF_H_SAISHU_DATE="","",UNJC0030_REPORT_IF_H_SAISHU_DATE)</f>
        <v/>
      </c>
      <c r="AG18" s="1557"/>
      <c r="AH18" s="1557"/>
      <c r="AI18" s="1557"/>
      <c r="AJ18" s="1557"/>
      <c r="AK18" s="1558"/>
    </row>
    <row r="19" spans="5:37">
      <c r="E19" s="1553"/>
      <c r="F19" s="1554"/>
      <c r="G19" s="1554"/>
      <c r="H19" s="1554"/>
      <c r="I19" s="1554"/>
      <c r="J19" s="1556"/>
      <c r="K19" s="1556"/>
      <c r="L19" s="1556"/>
      <c r="M19" s="1556"/>
      <c r="N19" s="1556"/>
      <c r="O19" s="1556"/>
      <c r="P19" s="1556"/>
      <c r="Q19" s="1556"/>
      <c r="R19" s="1556"/>
      <c r="S19" s="1556"/>
      <c r="T19" s="1556"/>
      <c r="U19" s="1556"/>
      <c r="V19" s="1556"/>
      <c r="W19" s="1556"/>
      <c r="X19" s="1556"/>
      <c r="Y19" s="1556"/>
      <c r="Z19" s="1556"/>
      <c r="AA19" s="1546" t="s">
        <v>1539</v>
      </c>
      <c r="AB19" s="1546"/>
      <c r="AC19" s="1546"/>
      <c r="AD19" s="1546"/>
      <c r="AE19" s="1546"/>
      <c r="AF19" s="1559" t="str">
        <f>IF(UNJC0030_REPORT_IF_H_SAISHU_TIME="","",UNJC0030_REPORT_IF_H_SAISHU_TIME)</f>
        <v/>
      </c>
      <c r="AG19" s="1559"/>
      <c r="AH19" s="1559"/>
      <c r="AI19" s="1559"/>
      <c r="AJ19" s="1559"/>
      <c r="AK19" s="1560"/>
    </row>
    <row r="20" spans="5:37">
      <c r="E20" s="1021"/>
      <c r="F20" s="1021"/>
      <c r="G20" s="1021"/>
      <c r="H20" s="1021"/>
      <c r="I20" s="1021"/>
      <c r="J20" s="1021"/>
      <c r="K20" s="1021"/>
      <c r="L20" s="1021"/>
      <c r="M20" s="1021"/>
      <c r="N20" s="1021"/>
      <c r="O20" s="1021"/>
      <c r="P20" s="1021"/>
      <c r="Q20" s="1021"/>
      <c r="R20" s="1004"/>
      <c r="S20" s="1004"/>
      <c r="T20" s="1004"/>
      <c r="U20" s="1004"/>
      <c r="V20" s="1004"/>
      <c r="W20" s="1004"/>
      <c r="X20" s="1004"/>
      <c r="Y20" s="1004"/>
      <c r="Z20" s="1004"/>
      <c r="AA20" s="1004"/>
      <c r="AB20" s="1004"/>
      <c r="AC20" s="1004"/>
      <c r="AD20" s="1004"/>
      <c r="AE20" s="1004"/>
      <c r="AF20" s="1004"/>
      <c r="AG20" s="1004"/>
      <c r="AH20" s="1004"/>
      <c r="AI20" s="1004"/>
      <c r="AJ20" s="1004"/>
      <c r="AK20" s="1004"/>
    </row>
    <row r="21" spans="5:37">
      <c r="E21" s="1508" t="s">
        <v>1540</v>
      </c>
      <c r="F21" s="1509"/>
      <c r="G21" s="1509"/>
      <c r="H21" s="1509"/>
      <c r="I21" s="1509"/>
      <c r="J21" s="1512" t="str">
        <f>IF(UNJC0030_REPORT_IF_H_YOKI="","",UNJC0030_REPORT_IF_H_YOKI)</f>
        <v/>
      </c>
      <c r="K21" s="1512"/>
      <c r="L21" s="1512"/>
      <c r="M21" s="1512"/>
      <c r="N21" s="1536"/>
      <c r="O21" s="1021"/>
      <c r="P21" s="1021"/>
      <c r="Q21" s="1021"/>
      <c r="R21" s="1004"/>
      <c r="S21" s="1004"/>
      <c r="T21" s="1004"/>
      <c r="U21" s="1004"/>
      <c r="V21" s="1004"/>
      <c r="W21" s="1004"/>
      <c r="X21" s="1004"/>
      <c r="Y21" s="1004"/>
      <c r="Z21" s="1004"/>
      <c r="AA21" s="1004"/>
      <c r="AB21" s="1004"/>
      <c r="AC21" s="1493" t="s">
        <v>1119</v>
      </c>
      <c r="AD21" s="1551"/>
      <c r="AE21" s="1551"/>
      <c r="AF21" s="1551"/>
      <c r="AG21" s="1552"/>
      <c r="AH21" s="1561" t="str">
        <f>IF(UNJC0030_REPORT_IF_H_REF_JURI_NO="","",UNJC0030_REPORT_IF_H_REF_JURI_NO)</f>
        <v/>
      </c>
      <c r="AI21" s="1551"/>
      <c r="AJ21" s="1551"/>
      <c r="AK21" s="1562"/>
    </row>
    <row r="22" spans="5:37">
      <c r="E22" s="1545" t="s">
        <v>1164</v>
      </c>
      <c r="F22" s="1546"/>
      <c r="G22" s="1546"/>
      <c r="H22" s="1546"/>
      <c r="I22" s="1546"/>
      <c r="J22" s="1549" t="str">
        <f>IF(UNJC0030_REPORT_IF_H_HENKYAKU="","",UNJC0030_REPORT_IF_H_HENKYAKU)</f>
        <v/>
      </c>
      <c r="K22" s="1549"/>
      <c r="L22" s="1549"/>
      <c r="M22" s="1549"/>
      <c r="N22" s="1550"/>
      <c r="O22" s="1021"/>
      <c r="P22" s="1004"/>
      <c r="Q22" s="1021"/>
      <c r="R22" s="1004"/>
      <c r="S22" s="1004"/>
      <c r="T22" s="1004"/>
      <c r="U22" s="1004"/>
      <c r="V22" s="1004"/>
      <c r="W22" s="1004"/>
      <c r="X22" s="1004"/>
      <c r="Y22" s="1004"/>
      <c r="Z22" s="1004"/>
      <c r="AA22" s="1004"/>
      <c r="AB22" s="1004"/>
      <c r="AC22" s="1502" t="s">
        <v>2</v>
      </c>
      <c r="AD22" s="1563"/>
      <c r="AE22" s="1563"/>
      <c r="AF22" s="1563"/>
      <c r="AG22" s="1564"/>
      <c r="AH22" s="1565" t="str">
        <f>IF(UNJC0030_REPORT_IF_H_MITSU_NO="","",UNJC0030_REPORT_IF_H_MITSU_NO)</f>
        <v/>
      </c>
      <c r="AI22" s="1563"/>
      <c r="AJ22" s="1563"/>
      <c r="AK22" s="1566"/>
    </row>
    <row r="23" spans="5:37">
      <c r="E23" s="1021"/>
      <c r="F23" s="1021"/>
      <c r="G23" s="1021"/>
      <c r="H23" s="1021"/>
      <c r="I23" s="1021"/>
      <c r="J23" s="1021"/>
      <c r="K23" s="1021"/>
      <c r="L23" s="1021"/>
      <c r="M23" s="1021"/>
      <c r="N23" s="1021"/>
      <c r="O23" s="1021"/>
      <c r="P23" s="1021"/>
      <c r="Q23" s="1021"/>
      <c r="R23" s="1004"/>
      <c r="S23" s="1004"/>
      <c r="T23" s="1004"/>
      <c r="U23" s="1004"/>
      <c r="V23" s="1004"/>
      <c r="W23" s="1004"/>
      <c r="X23" s="1004"/>
      <c r="Y23" s="1004"/>
      <c r="Z23" s="1004"/>
      <c r="AA23" s="1004"/>
      <c r="AB23" s="1004"/>
      <c r="AC23" s="1004"/>
      <c r="AD23" s="1004"/>
      <c r="AE23" s="1004"/>
      <c r="AF23" s="1004"/>
      <c r="AG23" s="1004"/>
      <c r="AH23" s="1004"/>
      <c r="AI23" s="1004"/>
      <c r="AJ23" s="1004"/>
      <c r="AK23" s="1004"/>
    </row>
    <row r="24" spans="5:37">
      <c r="E24" s="1508" t="s">
        <v>1541</v>
      </c>
      <c r="F24" s="1509"/>
      <c r="G24" s="1509"/>
      <c r="H24" s="1509"/>
      <c r="I24" s="1509"/>
      <c r="J24" s="1512" t="str">
        <f>IF(UNJC0030_REPORT_IF_H_JURI_NO="","",IF(UNJC0030_REPORT_IF_H_SHOKEN_FLG=TRUE,"必要","不要"))</f>
        <v/>
      </c>
      <c r="K24" s="1512"/>
      <c r="L24" s="1512"/>
      <c r="M24" s="1512"/>
      <c r="N24" s="1536"/>
      <c r="O24" s="1021"/>
      <c r="P24" s="1534" t="s">
        <v>920</v>
      </c>
      <c r="Q24" s="1523"/>
      <c r="R24" s="1523"/>
      <c r="S24" s="1523"/>
      <c r="T24" s="1523"/>
      <c r="U24" s="1523"/>
      <c r="V24" s="1523" t="s">
        <v>1542</v>
      </c>
      <c r="W24" s="1523"/>
      <c r="X24" s="1523"/>
      <c r="Y24" s="1523"/>
      <c r="Z24" s="1523"/>
      <c r="AA24" s="1523"/>
      <c r="AB24" s="1523"/>
      <c r="AC24" s="1523"/>
      <c r="AD24" s="1523"/>
      <c r="AE24" s="1523"/>
      <c r="AF24" s="1523"/>
      <c r="AG24" s="1523"/>
      <c r="AH24" s="1523"/>
      <c r="AI24" s="1523"/>
      <c r="AJ24" s="1523"/>
      <c r="AK24" s="1576"/>
    </row>
    <row r="25" spans="5:37">
      <c r="E25" s="1542" t="s">
        <v>1543</v>
      </c>
      <c r="F25" s="1539"/>
      <c r="G25" s="1539"/>
      <c r="H25" s="1539"/>
      <c r="I25" s="1539"/>
      <c r="J25" s="1577" t="str">
        <f>IF(UNJC0030_REPORT_IF_H_GAISO_KBN_MEI="","",UNJC0030_REPORT_IF_H_GAISO_KBN_MEI)</f>
        <v/>
      </c>
      <c r="K25" s="1577"/>
      <c r="L25" s="1577"/>
      <c r="M25" s="1577"/>
      <c r="N25" s="1578"/>
      <c r="O25" s="1021"/>
      <c r="P25" s="1569" t="str">
        <f>IF(UNJC0030_REPORT_IF_H_CHUKAN_DATE_1="","",UNJC0030_REPORT_IF_H_CHUKAN_DATE_1)</f>
        <v/>
      </c>
      <c r="Q25" s="1557"/>
      <c r="R25" s="1557"/>
      <c r="S25" s="1557"/>
      <c r="T25" s="1557"/>
      <c r="U25" s="1557"/>
      <c r="V25" s="1570" t="str">
        <f>IF(UNJC0030_REPORT_IF_H_CHUKAN_NAIYO_1="","",UNJC0030_REPORT_IF_H_CHUKAN_NAIYO_1)</f>
        <v/>
      </c>
      <c r="W25" s="1570"/>
      <c r="X25" s="1570"/>
      <c r="Y25" s="1570"/>
      <c r="Z25" s="1570"/>
      <c r="AA25" s="1570"/>
      <c r="AB25" s="1570"/>
      <c r="AC25" s="1570"/>
      <c r="AD25" s="1570"/>
      <c r="AE25" s="1570"/>
      <c r="AF25" s="1570"/>
      <c r="AG25" s="1570"/>
      <c r="AH25" s="1570"/>
      <c r="AI25" s="1570"/>
      <c r="AJ25" s="1570"/>
      <c r="AK25" s="1571"/>
    </row>
    <row r="26" spans="5:37">
      <c r="E26" s="1542" t="s">
        <v>1544</v>
      </c>
      <c r="F26" s="1539"/>
      <c r="G26" s="1539"/>
      <c r="H26" s="1539"/>
      <c r="I26" s="1539"/>
      <c r="J26" s="1567" t="str">
        <f>IF(UNJC0030_REPORT_IF_H_BUSU="","",UNJC0030_REPORT_IF_H_BUSU)</f>
        <v/>
      </c>
      <c r="K26" s="1567"/>
      <c r="L26" s="1567"/>
      <c r="M26" s="1567"/>
      <c r="N26" s="1568"/>
      <c r="O26" s="1021"/>
      <c r="P26" s="1569" t="str">
        <f>IF(UNJC0030_REPORT_IF_H_CHUKAN_DATE_2="","",UNJC0030_REPORT_IF_H_CHUKAN_DATE_2)</f>
        <v/>
      </c>
      <c r="Q26" s="1557"/>
      <c r="R26" s="1557"/>
      <c r="S26" s="1557"/>
      <c r="T26" s="1557"/>
      <c r="U26" s="1557"/>
      <c r="V26" s="1570" t="str">
        <f>IF(UNJC0030_REPORT_IF_H_CHUKAN_NAIYO_2="","",UNJC0030_REPORT_IF_H_CHUKAN_NAIYO_2)</f>
        <v/>
      </c>
      <c r="W26" s="1570"/>
      <c r="X26" s="1570"/>
      <c r="Y26" s="1570"/>
      <c r="Z26" s="1570"/>
      <c r="AA26" s="1570"/>
      <c r="AB26" s="1570"/>
      <c r="AC26" s="1570"/>
      <c r="AD26" s="1570"/>
      <c r="AE26" s="1570"/>
      <c r="AF26" s="1570"/>
      <c r="AG26" s="1570"/>
      <c r="AH26" s="1570"/>
      <c r="AI26" s="1570"/>
      <c r="AJ26" s="1570"/>
      <c r="AK26" s="1571"/>
    </row>
    <row r="27" spans="5:37">
      <c r="E27" s="1545" t="s">
        <v>1545</v>
      </c>
      <c r="F27" s="1546"/>
      <c r="G27" s="1546"/>
      <c r="H27" s="1546"/>
      <c r="I27" s="1546"/>
      <c r="J27" s="1549" t="str">
        <f>IF(UNJC0030_REPORT_IF_H_HOKOKU_HOHO_MEI="","",UNJC0030_REPORT_IF_H_HOKOKU_HOHO_MEI)</f>
        <v/>
      </c>
      <c r="K27" s="1549"/>
      <c r="L27" s="1549"/>
      <c r="M27" s="1549"/>
      <c r="N27" s="1550"/>
      <c r="O27" s="1021"/>
      <c r="P27" s="1572" t="str">
        <f>IF(UNJC0030_REPORT_IF_H_CHUKAN_DATE_3="","",UNJC0030_REPORT_IF_H_CHUKAN_DATE_3)</f>
        <v/>
      </c>
      <c r="Q27" s="1573"/>
      <c r="R27" s="1573"/>
      <c r="S27" s="1573"/>
      <c r="T27" s="1573"/>
      <c r="U27" s="1573"/>
      <c r="V27" s="1574" t="str">
        <f>IF(UNJC0030_REPORT_IF_H_CHUKAN_NAIYO_3="","",UNJC0030_REPORT_IF_H_CHUKAN_NAIYO_3)</f>
        <v/>
      </c>
      <c r="W27" s="1574"/>
      <c r="X27" s="1574"/>
      <c r="Y27" s="1574"/>
      <c r="Z27" s="1574"/>
      <c r="AA27" s="1574"/>
      <c r="AB27" s="1574"/>
      <c r="AC27" s="1574"/>
      <c r="AD27" s="1574"/>
      <c r="AE27" s="1574"/>
      <c r="AF27" s="1574"/>
      <c r="AG27" s="1574"/>
      <c r="AH27" s="1574"/>
      <c r="AI27" s="1574"/>
      <c r="AJ27" s="1574"/>
      <c r="AK27" s="1575"/>
    </row>
    <row r="28" spans="5:37">
      <c r="E28" s="1021"/>
      <c r="F28" s="1021"/>
      <c r="G28" s="1021"/>
      <c r="H28" s="1021"/>
      <c r="I28" s="1021"/>
      <c r="J28" s="1021"/>
      <c r="K28" s="1021"/>
      <c r="L28" s="1021"/>
      <c r="M28" s="1021"/>
      <c r="N28" s="1021"/>
      <c r="O28" s="1021"/>
      <c r="P28" s="1021"/>
      <c r="Q28" s="1021"/>
      <c r="R28" s="1004"/>
      <c r="S28" s="1004"/>
      <c r="T28" s="1004"/>
      <c r="U28" s="1004"/>
      <c r="V28" s="1004"/>
      <c r="W28" s="1004"/>
      <c r="X28" s="1004"/>
      <c r="Y28" s="1004"/>
      <c r="Z28" s="1004"/>
      <c r="AA28" s="1004"/>
      <c r="AB28" s="1004"/>
      <c r="AC28" s="1004"/>
      <c r="AD28" s="1004"/>
      <c r="AE28" s="1004"/>
      <c r="AF28" s="1004"/>
      <c r="AG28" s="1004"/>
      <c r="AH28" s="1004"/>
      <c r="AI28" s="1004"/>
      <c r="AJ28" s="1004"/>
      <c r="AK28" s="1004"/>
    </row>
    <row r="29" spans="5:37" ht="13.5" customHeight="1">
      <c r="E29" s="1579" t="s">
        <v>1</v>
      </c>
      <c r="F29" s="1580"/>
      <c r="G29" s="1580"/>
      <c r="H29" s="1580"/>
      <c r="I29" s="1580"/>
      <c r="J29" s="1585" t="str">
        <f>IF(UNJC0030_REPORT_IF_H_BIKO="","",UNJC0030_REPORT_IF_H_BIKO)</f>
        <v/>
      </c>
      <c r="K29" s="1586"/>
      <c r="L29" s="1586"/>
      <c r="M29" s="1586"/>
      <c r="N29" s="1586"/>
      <c r="O29" s="1586"/>
      <c r="P29" s="1586"/>
      <c r="Q29" s="1586"/>
      <c r="R29" s="1586"/>
      <c r="S29" s="1586"/>
      <c r="T29" s="1586"/>
      <c r="U29" s="1586"/>
      <c r="V29" s="1586"/>
      <c r="W29" s="1586"/>
      <c r="X29" s="1586"/>
      <c r="Y29" s="1586"/>
      <c r="Z29" s="1586"/>
      <c r="AA29" s="1586"/>
      <c r="AB29" s="1586"/>
      <c r="AC29" s="1586"/>
      <c r="AD29" s="1586"/>
      <c r="AE29" s="1586"/>
      <c r="AF29" s="1586"/>
      <c r="AG29" s="1586"/>
      <c r="AH29" s="1586"/>
      <c r="AI29" s="1586"/>
      <c r="AJ29" s="1586"/>
      <c r="AK29" s="1587"/>
    </row>
    <row r="30" spans="5:37" ht="13.5" customHeight="1">
      <c r="E30" s="1581"/>
      <c r="F30" s="1582"/>
      <c r="G30" s="1582"/>
      <c r="H30" s="1582"/>
      <c r="I30" s="1582"/>
      <c r="J30" s="1588"/>
      <c r="K30" s="1589"/>
      <c r="L30" s="1589"/>
      <c r="M30" s="1589"/>
      <c r="N30" s="1589"/>
      <c r="O30" s="1589"/>
      <c r="P30" s="1589"/>
      <c r="Q30" s="1589"/>
      <c r="R30" s="1589"/>
      <c r="S30" s="1589"/>
      <c r="T30" s="1589"/>
      <c r="U30" s="1589"/>
      <c r="V30" s="1589"/>
      <c r="W30" s="1589"/>
      <c r="X30" s="1589"/>
      <c r="Y30" s="1589"/>
      <c r="Z30" s="1589"/>
      <c r="AA30" s="1589"/>
      <c r="AB30" s="1589"/>
      <c r="AC30" s="1589"/>
      <c r="AD30" s="1589"/>
      <c r="AE30" s="1589"/>
      <c r="AF30" s="1589"/>
      <c r="AG30" s="1589"/>
      <c r="AH30" s="1589"/>
      <c r="AI30" s="1589"/>
      <c r="AJ30" s="1589"/>
      <c r="AK30" s="1590"/>
    </row>
    <row r="31" spans="5:37" ht="13.5" customHeight="1">
      <c r="E31" s="1581"/>
      <c r="F31" s="1582"/>
      <c r="G31" s="1582"/>
      <c r="H31" s="1582"/>
      <c r="I31" s="1582"/>
      <c r="J31" s="1588"/>
      <c r="K31" s="1589"/>
      <c r="L31" s="1589"/>
      <c r="M31" s="1589"/>
      <c r="N31" s="1589"/>
      <c r="O31" s="1589"/>
      <c r="P31" s="1589"/>
      <c r="Q31" s="1589"/>
      <c r="R31" s="1589"/>
      <c r="S31" s="1589"/>
      <c r="T31" s="1589"/>
      <c r="U31" s="1589"/>
      <c r="V31" s="1589"/>
      <c r="W31" s="1589"/>
      <c r="X31" s="1589"/>
      <c r="Y31" s="1589"/>
      <c r="Z31" s="1589"/>
      <c r="AA31" s="1589"/>
      <c r="AB31" s="1589"/>
      <c r="AC31" s="1589"/>
      <c r="AD31" s="1589"/>
      <c r="AE31" s="1589"/>
      <c r="AF31" s="1589"/>
      <c r="AG31" s="1589"/>
      <c r="AH31" s="1589"/>
      <c r="AI31" s="1589"/>
      <c r="AJ31" s="1589"/>
      <c r="AK31" s="1590"/>
    </row>
    <row r="32" spans="5:37" ht="13.5" customHeight="1">
      <c r="E32" s="1581"/>
      <c r="F32" s="1582"/>
      <c r="G32" s="1582"/>
      <c r="H32" s="1582"/>
      <c r="I32" s="1582"/>
      <c r="J32" s="1588"/>
      <c r="K32" s="1589"/>
      <c r="L32" s="1589"/>
      <c r="M32" s="1589"/>
      <c r="N32" s="1589"/>
      <c r="O32" s="1589"/>
      <c r="P32" s="1589"/>
      <c r="Q32" s="1589"/>
      <c r="R32" s="1589"/>
      <c r="S32" s="1589"/>
      <c r="T32" s="1589"/>
      <c r="U32" s="1589"/>
      <c r="V32" s="1589"/>
      <c r="W32" s="1589"/>
      <c r="X32" s="1589"/>
      <c r="Y32" s="1589"/>
      <c r="Z32" s="1589"/>
      <c r="AA32" s="1589"/>
      <c r="AB32" s="1589"/>
      <c r="AC32" s="1589"/>
      <c r="AD32" s="1589"/>
      <c r="AE32" s="1589"/>
      <c r="AF32" s="1589"/>
      <c r="AG32" s="1589"/>
      <c r="AH32" s="1589"/>
      <c r="AI32" s="1589"/>
      <c r="AJ32" s="1589"/>
      <c r="AK32" s="1590"/>
    </row>
    <row r="33" spans="5:37" ht="13.5" customHeight="1">
      <c r="E33" s="1581"/>
      <c r="F33" s="1582"/>
      <c r="G33" s="1582"/>
      <c r="H33" s="1582"/>
      <c r="I33" s="1582"/>
      <c r="J33" s="1588"/>
      <c r="K33" s="1589"/>
      <c r="L33" s="1589"/>
      <c r="M33" s="1589"/>
      <c r="N33" s="1589"/>
      <c r="O33" s="1589"/>
      <c r="P33" s="1589"/>
      <c r="Q33" s="1589"/>
      <c r="R33" s="1589"/>
      <c r="S33" s="1589"/>
      <c r="T33" s="1589"/>
      <c r="U33" s="1589"/>
      <c r="V33" s="1589"/>
      <c r="W33" s="1589"/>
      <c r="X33" s="1589"/>
      <c r="Y33" s="1589"/>
      <c r="Z33" s="1589"/>
      <c r="AA33" s="1589"/>
      <c r="AB33" s="1589"/>
      <c r="AC33" s="1589"/>
      <c r="AD33" s="1589"/>
      <c r="AE33" s="1589"/>
      <c r="AF33" s="1589"/>
      <c r="AG33" s="1589"/>
      <c r="AH33" s="1589"/>
      <c r="AI33" s="1589"/>
      <c r="AJ33" s="1589"/>
      <c r="AK33" s="1590"/>
    </row>
    <row r="34" spans="5:37" ht="13.5" customHeight="1">
      <c r="E34" s="1583"/>
      <c r="F34" s="1584"/>
      <c r="G34" s="1584"/>
      <c r="H34" s="1584"/>
      <c r="I34" s="1584"/>
      <c r="J34" s="1591"/>
      <c r="K34" s="1592"/>
      <c r="L34" s="1592"/>
      <c r="M34" s="1592"/>
      <c r="N34" s="1592"/>
      <c r="O34" s="1592"/>
      <c r="P34" s="1592"/>
      <c r="Q34" s="1592"/>
      <c r="R34" s="1592"/>
      <c r="S34" s="1592"/>
      <c r="T34" s="1592"/>
      <c r="U34" s="1592"/>
      <c r="V34" s="1592"/>
      <c r="W34" s="1592"/>
      <c r="X34" s="1592"/>
      <c r="Y34" s="1592"/>
      <c r="Z34" s="1592"/>
      <c r="AA34" s="1592"/>
      <c r="AB34" s="1592"/>
      <c r="AC34" s="1592"/>
      <c r="AD34" s="1592"/>
      <c r="AE34" s="1592"/>
      <c r="AF34" s="1592"/>
      <c r="AG34" s="1592"/>
      <c r="AH34" s="1592"/>
      <c r="AI34" s="1592"/>
      <c r="AJ34" s="1592"/>
      <c r="AK34" s="1593"/>
    </row>
    <row r="35" spans="5:37">
      <c r="E35" s="1021"/>
      <c r="F35" s="1021"/>
      <c r="G35" s="1021"/>
      <c r="H35" s="1021"/>
      <c r="I35" s="1021"/>
      <c r="J35" s="1021"/>
      <c r="K35" s="1021"/>
      <c r="L35" s="1021"/>
      <c r="M35" s="1021"/>
      <c r="N35" s="1021"/>
      <c r="O35" s="1021"/>
      <c r="P35" s="1021"/>
      <c r="Q35" s="1021"/>
      <c r="R35" s="1004"/>
      <c r="S35" s="1004"/>
      <c r="T35" s="1004"/>
      <c r="U35" s="1004"/>
      <c r="V35" s="1004"/>
      <c r="W35" s="1004"/>
      <c r="X35" s="1004"/>
      <c r="Y35" s="1004"/>
      <c r="Z35" s="1004"/>
      <c r="AA35" s="1004"/>
      <c r="AB35" s="1004"/>
      <c r="AC35" s="1004"/>
      <c r="AD35" s="1004"/>
      <c r="AE35" s="1004"/>
      <c r="AF35" s="1004"/>
      <c r="AG35" s="1004"/>
      <c r="AH35" s="1004"/>
      <c r="AI35" s="1004"/>
      <c r="AJ35" s="1004"/>
      <c r="AK35" s="1004"/>
    </row>
    <row r="36" spans="5:37" ht="13.5" customHeight="1">
      <c r="E36" s="1594" t="s">
        <v>1546</v>
      </c>
      <c r="F36" s="1595"/>
      <c r="G36" s="1595"/>
      <c r="H36" s="1595"/>
      <c r="I36" s="1595"/>
      <c r="J36" s="1600"/>
      <c r="K36" s="1600"/>
      <c r="L36" s="1600"/>
      <c r="M36" s="1600"/>
      <c r="N36" s="1600"/>
      <c r="O36" s="1600"/>
      <c r="P36" s="1600"/>
      <c r="Q36" s="1600"/>
      <c r="R36" s="1600"/>
      <c r="S36" s="1600"/>
      <c r="T36" s="1600"/>
      <c r="U36" s="1600"/>
      <c r="V36" s="1600"/>
      <c r="W36" s="1600"/>
      <c r="X36" s="1600"/>
      <c r="Y36" s="1600"/>
      <c r="Z36" s="1600"/>
      <c r="AA36" s="1600"/>
      <c r="AB36" s="1600"/>
      <c r="AC36" s="1600"/>
      <c r="AD36" s="1600"/>
      <c r="AE36" s="1600"/>
      <c r="AF36" s="1600"/>
      <c r="AG36" s="1600"/>
      <c r="AH36" s="1600"/>
      <c r="AI36" s="1600"/>
      <c r="AJ36" s="1600"/>
      <c r="AK36" s="1601"/>
    </row>
    <row r="37" spans="5:37" ht="13.5" customHeight="1">
      <c r="E37" s="1596"/>
      <c r="F37" s="1597"/>
      <c r="G37" s="1597"/>
      <c r="H37" s="1597"/>
      <c r="I37" s="1597"/>
      <c r="J37" s="1602"/>
      <c r="K37" s="1602"/>
      <c r="L37" s="1602"/>
      <c r="M37" s="1602"/>
      <c r="N37" s="1602"/>
      <c r="O37" s="1602"/>
      <c r="P37" s="1602"/>
      <c r="Q37" s="1602"/>
      <c r="R37" s="1602"/>
      <c r="S37" s="1602"/>
      <c r="T37" s="1602"/>
      <c r="U37" s="1602"/>
      <c r="V37" s="1602"/>
      <c r="W37" s="1602"/>
      <c r="X37" s="1602"/>
      <c r="Y37" s="1602"/>
      <c r="Z37" s="1602"/>
      <c r="AA37" s="1602"/>
      <c r="AB37" s="1602"/>
      <c r="AC37" s="1602"/>
      <c r="AD37" s="1602"/>
      <c r="AE37" s="1602"/>
      <c r="AF37" s="1602"/>
      <c r="AG37" s="1602"/>
      <c r="AH37" s="1602"/>
      <c r="AI37" s="1602"/>
      <c r="AJ37" s="1602"/>
      <c r="AK37" s="1603"/>
    </row>
    <row r="38" spans="5:37" ht="13.5" customHeight="1">
      <c r="E38" s="1596"/>
      <c r="F38" s="1597"/>
      <c r="G38" s="1597"/>
      <c r="H38" s="1597"/>
      <c r="I38" s="1597"/>
      <c r="J38" s="1602"/>
      <c r="K38" s="1602"/>
      <c r="L38" s="1602"/>
      <c r="M38" s="1602"/>
      <c r="N38" s="1602"/>
      <c r="O38" s="1602"/>
      <c r="P38" s="1602"/>
      <c r="Q38" s="1602"/>
      <c r="R38" s="1602"/>
      <c r="S38" s="1602"/>
      <c r="T38" s="1602"/>
      <c r="U38" s="1602"/>
      <c r="V38" s="1602"/>
      <c r="W38" s="1602"/>
      <c r="X38" s="1602"/>
      <c r="Y38" s="1602"/>
      <c r="Z38" s="1602"/>
      <c r="AA38" s="1602"/>
      <c r="AB38" s="1602"/>
      <c r="AC38" s="1602"/>
      <c r="AD38" s="1602"/>
      <c r="AE38" s="1602"/>
      <c r="AF38" s="1602"/>
      <c r="AG38" s="1602"/>
      <c r="AH38" s="1602"/>
      <c r="AI38" s="1602"/>
      <c r="AJ38" s="1602"/>
      <c r="AK38" s="1603"/>
    </row>
    <row r="39" spans="5:37" ht="13.5" customHeight="1">
      <c r="E39" s="1596"/>
      <c r="F39" s="1597"/>
      <c r="G39" s="1597"/>
      <c r="H39" s="1597"/>
      <c r="I39" s="1597"/>
      <c r="J39" s="1602"/>
      <c r="K39" s="1602"/>
      <c r="L39" s="1602"/>
      <c r="M39" s="1602"/>
      <c r="N39" s="1602"/>
      <c r="O39" s="1602"/>
      <c r="P39" s="1602"/>
      <c r="Q39" s="1602"/>
      <c r="R39" s="1602"/>
      <c r="S39" s="1602"/>
      <c r="T39" s="1602"/>
      <c r="U39" s="1602"/>
      <c r="V39" s="1602"/>
      <c r="W39" s="1602"/>
      <c r="X39" s="1602"/>
      <c r="Y39" s="1602"/>
      <c r="Z39" s="1602"/>
      <c r="AA39" s="1602"/>
      <c r="AB39" s="1602"/>
      <c r="AC39" s="1602"/>
      <c r="AD39" s="1602"/>
      <c r="AE39" s="1602"/>
      <c r="AF39" s="1602"/>
      <c r="AG39" s="1602"/>
      <c r="AH39" s="1602"/>
      <c r="AI39" s="1602"/>
      <c r="AJ39" s="1602"/>
      <c r="AK39" s="1603"/>
    </row>
    <row r="40" spans="5:37" ht="13.5" customHeight="1">
      <c r="E40" s="1598"/>
      <c r="F40" s="1599"/>
      <c r="G40" s="1599"/>
      <c r="H40" s="1599"/>
      <c r="I40" s="1599"/>
      <c r="J40" s="1604"/>
      <c r="K40" s="1604"/>
      <c r="L40" s="1604"/>
      <c r="M40" s="1604"/>
      <c r="N40" s="1604"/>
      <c r="O40" s="1604"/>
      <c r="P40" s="1604"/>
      <c r="Q40" s="1604"/>
      <c r="R40" s="1604"/>
      <c r="S40" s="1604"/>
      <c r="T40" s="1604"/>
      <c r="U40" s="1604"/>
      <c r="V40" s="1604"/>
      <c r="W40" s="1604"/>
      <c r="X40" s="1604"/>
      <c r="Y40" s="1604"/>
      <c r="Z40" s="1604"/>
      <c r="AA40" s="1604"/>
      <c r="AB40" s="1604"/>
      <c r="AC40" s="1604"/>
      <c r="AD40" s="1604"/>
      <c r="AE40" s="1604"/>
      <c r="AF40" s="1604"/>
      <c r="AG40" s="1604"/>
      <c r="AH40" s="1604"/>
      <c r="AI40" s="1604"/>
      <c r="AJ40" s="1604"/>
      <c r="AK40" s="1605"/>
    </row>
    <row r="41" spans="5:37">
      <c r="E41" s="1021"/>
      <c r="F41" s="1021"/>
      <c r="G41" s="1021"/>
      <c r="H41" s="1021"/>
      <c r="I41" s="1021"/>
      <c r="J41" s="1021"/>
      <c r="K41" s="1021"/>
      <c r="L41" s="1021"/>
      <c r="M41" s="1021"/>
      <c r="N41" s="1021"/>
      <c r="O41" s="1021"/>
      <c r="P41" s="1021"/>
      <c r="Q41" s="1021"/>
      <c r="R41" s="1004"/>
      <c r="S41" s="1004"/>
      <c r="T41" s="1004"/>
      <c r="U41" s="1004"/>
      <c r="V41" s="1004"/>
      <c r="W41" s="1004"/>
      <c r="X41" s="1004"/>
      <c r="Y41" s="1004"/>
      <c r="Z41" s="1004"/>
      <c r="AA41" s="1004"/>
      <c r="AB41" s="1004"/>
      <c r="AC41" s="1004"/>
      <c r="AD41" s="1004"/>
      <c r="AE41" s="1004"/>
      <c r="AF41" s="1004"/>
      <c r="AG41" s="1004"/>
      <c r="AH41" s="1004"/>
      <c r="AI41" s="1004"/>
      <c r="AJ41" s="1004"/>
      <c r="AK41" s="1004"/>
    </row>
    <row r="42" spans="5:37">
      <c r="E42" s="1493" t="s">
        <v>3572</v>
      </c>
      <c r="F42" s="1494"/>
      <c r="G42" s="1494"/>
      <c r="H42" s="1494"/>
      <c r="I42" s="1494"/>
      <c r="J42" s="1495"/>
      <c r="K42" s="1606" t="s">
        <v>1074</v>
      </c>
      <c r="L42" s="1494"/>
      <c r="M42" s="1494"/>
      <c r="N42" s="1494"/>
      <c r="O42" s="1494"/>
      <c r="P42" s="1494"/>
      <c r="Q42" s="1495"/>
      <c r="R42" s="1606" t="s">
        <v>1547</v>
      </c>
      <c r="S42" s="1494"/>
      <c r="T42" s="1494"/>
      <c r="U42" s="1495"/>
      <c r="V42" s="1606" t="s">
        <v>1686</v>
      </c>
      <c r="W42" s="1494"/>
      <c r="X42" s="1494"/>
      <c r="Y42" s="1495"/>
      <c r="Z42" s="1606" t="s">
        <v>1075</v>
      </c>
      <c r="AA42" s="1494"/>
      <c r="AB42" s="1494"/>
      <c r="AC42" s="1495"/>
      <c r="AD42" s="1606" t="s">
        <v>1076</v>
      </c>
      <c r="AE42" s="1494"/>
      <c r="AF42" s="1494"/>
      <c r="AG42" s="1494"/>
      <c r="AH42" s="1494"/>
      <c r="AI42" s="1494"/>
      <c r="AJ42" s="1494"/>
      <c r="AK42" s="1607"/>
    </row>
    <row r="43" spans="5:37">
      <c r="E43" s="1608" t="s">
        <v>1548</v>
      </c>
      <c r="F43" s="1609"/>
      <c r="G43" s="1609"/>
      <c r="H43" s="1609"/>
      <c r="I43" s="1609"/>
      <c r="J43" s="1610"/>
      <c r="K43" s="1611" t="s">
        <v>33</v>
      </c>
      <c r="L43" s="1609"/>
      <c r="M43" s="1609"/>
      <c r="N43" s="1609"/>
      <c r="O43" s="1609"/>
      <c r="P43" s="1609"/>
      <c r="Q43" s="1609"/>
      <c r="R43" s="1609"/>
      <c r="S43" s="1609"/>
      <c r="T43" s="1609"/>
      <c r="U43" s="1609"/>
      <c r="V43" s="1609"/>
      <c r="W43" s="1609"/>
      <c r="X43" s="1609"/>
      <c r="Y43" s="1609"/>
      <c r="Z43" s="1609"/>
      <c r="AA43" s="1609"/>
      <c r="AB43" s="1610"/>
      <c r="AC43" s="1611" t="s">
        <v>1549</v>
      </c>
      <c r="AD43" s="1609"/>
      <c r="AE43" s="1610"/>
      <c r="AF43" s="1611" t="s">
        <v>1517</v>
      </c>
      <c r="AG43" s="1609"/>
      <c r="AH43" s="1610"/>
      <c r="AI43" s="1611" t="s">
        <v>1550</v>
      </c>
      <c r="AJ43" s="1609"/>
      <c r="AK43" s="1612"/>
    </row>
    <row r="44" spans="5:37">
      <c r="E44" s="1613" t="str">
        <f>IF(UNJC0030_REPORT_IF_H_HOKOKU_MEI_1="","",UNJC0030_REPORT_IF_H_HOKOKU_MEI_1)</f>
        <v/>
      </c>
      <c r="F44" s="1614"/>
      <c r="G44" s="1614"/>
      <c r="H44" s="1614"/>
      <c r="I44" s="1614"/>
      <c r="J44" s="1615"/>
      <c r="K44" s="1616" t="str">
        <f>IF(UNJC0030_REPORT_IF_H_BUSHO_1="","",UNJC0030_REPORT_IF_H_BUSHO_1)</f>
        <v/>
      </c>
      <c r="L44" s="1614"/>
      <c r="M44" s="1614"/>
      <c r="N44" s="1614"/>
      <c r="O44" s="1614"/>
      <c r="P44" s="1614"/>
      <c r="Q44" s="1615"/>
      <c r="R44" s="1616" t="str">
        <f>IF(UNJC0030_REPORT_IF_H_TANTO_1="","",UNJC0030_REPORT_IF_H_TANTO_1&amp;"様")</f>
        <v/>
      </c>
      <c r="S44" s="1614"/>
      <c r="T44" s="1614"/>
      <c r="U44" s="1615"/>
      <c r="V44" s="1616" t="str">
        <f>IF(UNJC0030_REPORT_IF_H_TEL_1="","",UNJC0030_REPORT_IF_H_TEL_1)</f>
        <v/>
      </c>
      <c r="W44" s="1614"/>
      <c r="X44" s="1614"/>
      <c r="Y44" s="1615"/>
      <c r="Z44" s="1616" t="str">
        <f>IF(UNJC0030_REPORT_IF_H_FAX_1="","",UNJC0030_REPORT_IF_H_FAX_1)</f>
        <v/>
      </c>
      <c r="AA44" s="1614"/>
      <c r="AB44" s="1614"/>
      <c r="AC44" s="1615"/>
      <c r="AD44" s="1616" t="str">
        <f>IF(UNJC0030_REPORT_IF_H_MAIL_1="","",UNJC0030_REPORT_IF_H_MAIL_1)</f>
        <v/>
      </c>
      <c r="AE44" s="1614"/>
      <c r="AF44" s="1614"/>
      <c r="AG44" s="1614"/>
      <c r="AH44" s="1614"/>
      <c r="AI44" s="1614"/>
      <c r="AJ44" s="1614"/>
      <c r="AK44" s="1617"/>
    </row>
    <row r="45" spans="5:37">
      <c r="E45" s="1618" t="str">
        <f>IF(UNJC0030_REPORT_IF_H_YUBIN_NO_1="","",UNJC0030_REPORT_IF_H_YUBIN_NO_1)</f>
        <v/>
      </c>
      <c r="F45" s="1619"/>
      <c r="G45" s="1619"/>
      <c r="H45" s="1619"/>
      <c r="I45" s="1619"/>
      <c r="J45" s="1620"/>
      <c r="K45" s="1621" t="str">
        <f>IF(UNJC0030_REPORT_IF_H_ADDRESS_1="","",UNJC0030_REPORT_IF_H_ADDRESS_1)</f>
        <v/>
      </c>
      <c r="L45" s="1622"/>
      <c r="M45" s="1622"/>
      <c r="N45" s="1622"/>
      <c r="O45" s="1622"/>
      <c r="P45" s="1622"/>
      <c r="Q45" s="1622"/>
      <c r="R45" s="1622"/>
      <c r="S45" s="1622"/>
      <c r="T45" s="1622"/>
      <c r="U45" s="1622"/>
      <c r="V45" s="1622"/>
      <c r="W45" s="1622"/>
      <c r="X45" s="1622"/>
      <c r="Y45" s="1622"/>
      <c r="Z45" s="1622"/>
      <c r="AA45" s="1622"/>
      <c r="AB45" s="1623"/>
      <c r="AC45" s="1624" t="str">
        <f>IF(UNJC0030_REPORT_IF_H_CHUKAN_SOFU_FLG_1=TRUE,"○","")</f>
        <v/>
      </c>
      <c r="AD45" s="1619"/>
      <c r="AE45" s="1620"/>
      <c r="AF45" s="1624" t="str">
        <f>IF(UNJC0030_REPORT_IF_H_SOKUHO_SOFU_FLG_1=TRUE,"○","")</f>
        <v/>
      </c>
      <c r="AG45" s="1619"/>
      <c r="AH45" s="1620"/>
      <c r="AI45" s="1624" t="str">
        <f>IF(UNJC0030_REPORT_IF_H_HOKOKUSHO_SOFU_FLG_1=TRUE,"○","")</f>
        <v/>
      </c>
      <c r="AJ45" s="1619"/>
      <c r="AK45" s="1625"/>
    </row>
    <row r="46" spans="5:37">
      <c r="E46" s="1626" t="str">
        <f>IF(UNJC0030_REPORT_IF_H_HOKOKU_MEI_2="","",UNJC0030_REPORT_IF_H_HOKOKU_MEI_2)</f>
        <v/>
      </c>
      <c r="F46" s="1627"/>
      <c r="G46" s="1627"/>
      <c r="H46" s="1627"/>
      <c r="I46" s="1627"/>
      <c r="J46" s="1628"/>
      <c r="K46" s="1629" t="str">
        <f>IF(UNJC0030_REPORT_IF_H_BUSHO_2="","",UNJC0030_REPORT_IF_H_BUSHO_2)</f>
        <v/>
      </c>
      <c r="L46" s="1627"/>
      <c r="M46" s="1627"/>
      <c r="N46" s="1627"/>
      <c r="O46" s="1627"/>
      <c r="P46" s="1627"/>
      <c r="Q46" s="1628"/>
      <c r="R46" s="1629" t="str">
        <f>IF(UNJC0030_REPORT_IF_H_TANTO_2="","",UNJC0030_REPORT_IF_H_TANTO_2&amp;"様")</f>
        <v/>
      </c>
      <c r="S46" s="1627"/>
      <c r="T46" s="1627"/>
      <c r="U46" s="1628"/>
      <c r="V46" s="1629" t="str">
        <f>IF(UNJC0030_REPORT_IF_H_TEL_2="","",UNJC0030_REPORT_IF_H_TEL_2)</f>
        <v/>
      </c>
      <c r="W46" s="1627"/>
      <c r="X46" s="1627"/>
      <c r="Y46" s="1628"/>
      <c r="Z46" s="1629" t="str">
        <f>IF(UNJC0030_REPORT_IF_H_FAX_2="","",UNJC0030_REPORT_IF_H_FAX_2)</f>
        <v/>
      </c>
      <c r="AA46" s="1627"/>
      <c r="AB46" s="1627"/>
      <c r="AC46" s="1628"/>
      <c r="AD46" s="1629" t="str">
        <f>IF(UNJC0030_REPORT_IF_H_MAIL_2="","",UNJC0030_REPORT_IF_H_MAIL_2)</f>
        <v/>
      </c>
      <c r="AE46" s="1627"/>
      <c r="AF46" s="1627"/>
      <c r="AG46" s="1627"/>
      <c r="AH46" s="1627"/>
      <c r="AI46" s="1627"/>
      <c r="AJ46" s="1627"/>
      <c r="AK46" s="1630"/>
    </row>
    <row r="47" spans="5:37">
      <c r="E47" s="1639" t="str">
        <f>IF(UNJC0030_REPORT_IF_H_YUBIN_NO_2="","",UNJC0030_REPORT_IF_H_YUBIN_NO_2)</f>
        <v/>
      </c>
      <c r="F47" s="1640"/>
      <c r="G47" s="1640"/>
      <c r="H47" s="1640"/>
      <c r="I47" s="1640"/>
      <c r="J47" s="1641"/>
      <c r="K47" s="1642" t="str">
        <f>IF(UNJC0030_REPORT_IF_H_ADDRESS_2="","",UNJC0030_REPORT_IF_H_ADDRESS_2)</f>
        <v/>
      </c>
      <c r="L47" s="1643"/>
      <c r="M47" s="1643"/>
      <c r="N47" s="1643"/>
      <c r="O47" s="1643"/>
      <c r="P47" s="1643"/>
      <c r="Q47" s="1643"/>
      <c r="R47" s="1643"/>
      <c r="S47" s="1643"/>
      <c r="T47" s="1643"/>
      <c r="U47" s="1643"/>
      <c r="V47" s="1643"/>
      <c r="W47" s="1643"/>
      <c r="X47" s="1643"/>
      <c r="Y47" s="1643"/>
      <c r="Z47" s="1643"/>
      <c r="AA47" s="1643"/>
      <c r="AB47" s="1644"/>
      <c r="AC47" s="1645" t="str">
        <f>IF(UNJC0030_REPORT_IF_H_CHUKAN_SOFU_FLG_2=TRUE,"○","")</f>
        <v/>
      </c>
      <c r="AD47" s="1640"/>
      <c r="AE47" s="1641"/>
      <c r="AF47" s="1645" t="str">
        <f>IF(UNJC0030_REPORT_IF_H_SOKUHO_SOFU_FLG_2=TRUE,"○","")</f>
        <v/>
      </c>
      <c r="AG47" s="1640"/>
      <c r="AH47" s="1641"/>
      <c r="AI47" s="1645" t="str">
        <f>IF(UNJC0030_REPORT_IF_H_HOKOKUSHO_SOFU_FLG_2=TRUE,"○","")</f>
        <v/>
      </c>
      <c r="AJ47" s="1640"/>
      <c r="AK47" s="1646"/>
    </row>
    <row r="48" spans="5:37">
      <c r="E48" s="1626" t="str">
        <f>IF(UNJC0030_REPORT_IF_H_HOKOKU_MEI_3="","",UNJC0030_REPORT_IF_H_HOKOKU_MEI_3)</f>
        <v/>
      </c>
      <c r="F48" s="1627"/>
      <c r="G48" s="1627"/>
      <c r="H48" s="1627"/>
      <c r="I48" s="1627"/>
      <c r="J48" s="1628"/>
      <c r="K48" s="1629" t="str">
        <f>IF(UNJC0030_REPORT_IF_H_BUSHO_3="","",UNJC0030_REPORT_IF_H_BUSHO_3)</f>
        <v/>
      </c>
      <c r="L48" s="1627"/>
      <c r="M48" s="1627"/>
      <c r="N48" s="1627"/>
      <c r="O48" s="1627"/>
      <c r="P48" s="1627"/>
      <c r="Q48" s="1628"/>
      <c r="R48" s="1629" t="str">
        <f>IF(UNJC0030_REPORT_IF_H_TANTO_3="","",UNJC0030_REPORT_IF_H_TANTO_3&amp;"様")</f>
        <v/>
      </c>
      <c r="S48" s="1627"/>
      <c r="T48" s="1627"/>
      <c r="U48" s="1628"/>
      <c r="V48" s="1629" t="str">
        <f>IF(UNJC0030_REPORT_IF_H_TEL_3="","",UNJC0030_REPORT_IF_H_TEL_3)</f>
        <v/>
      </c>
      <c r="W48" s="1627"/>
      <c r="X48" s="1627"/>
      <c r="Y48" s="1628"/>
      <c r="Z48" s="1629" t="str">
        <f>IF(UNJC0030_REPORT_IF_H_FAX_3="","",UNJC0030_REPORT_IF_H_FAX_3)</f>
        <v/>
      </c>
      <c r="AA48" s="1627"/>
      <c r="AB48" s="1627"/>
      <c r="AC48" s="1628"/>
      <c r="AD48" s="1629" t="str">
        <f>IF(UNJC0030_REPORT_IF_H_MAIL_3="","",UNJC0030_REPORT_IF_H_MAIL_3)</f>
        <v/>
      </c>
      <c r="AE48" s="1627"/>
      <c r="AF48" s="1627"/>
      <c r="AG48" s="1627"/>
      <c r="AH48" s="1627"/>
      <c r="AI48" s="1627"/>
      <c r="AJ48" s="1627"/>
      <c r="AK48" s="1630"/>
    </row>
    <row r="49" spans="2:38">
      <c r="E49" s="1631" t="str">
        <f>IF(UNJC0030_REPORT_IF_H_YUBIN_NO_3="","",UNJC0030_REPORT_IF_H_YUBIN_NO_3)</f>
        <v/>
      </c>
      <c r="F49" s="1632"/>
      <c r="G49" s="1632"/>
      <c r="H49" s="1632"/>
      <c r="I49" s="1632"/>
      <c r="J49" s="1633"/>
      <c r="K49" s="1634" t="str">
        <f>IF(UNJC0030_REPORT_IF_H_ADDRESS_3="","",UNJC0030_REPORT_IF_H_ADDRESS_3)</f>
        <v/>
      </c>
      <c r="L49" s="1635"/>
      <c r="M49" s="1635"/>
      <c r="N49" s="1635"/>
      <c r="O49" s="1635"/>
      <c r="P49" s="1635"/>
      <c r="Q49" s="1635"/>
      <c r="R49" s="1635"/>
      <c r="S49" s="1635"/>
      <c r="T49" s="1635"/>
      <c r="U49" s="1635"/>
      <c r="V49" s="1635"/>
      <c r="W49" s="1635"/>
      <c r="X49" s="1635"/>
      <c r="Y49" s="1635"/>
      <c r="Z49" s="1635"/>
      <c r="AA49" s="1635"/>
      <c r="AB49" s="1636"/>
      <c r="AC49" s="1637" t="str">
        <f>IF(UNJC0030_REPORT_IF_H_CHUKAN_SOFU_FLG_3=TRUE,"○","")</f>
        <v/>
      </c>
      <c r="AD49" s="1632"/>
      <c r="AE49" s="1633"/>
      <c r="AF49" s="1637" t="str">
        <f>IF(UNJC0030_REPORT_IF_H_SOKUHO_SOFU_FLG_3=TRUE,"○","")</f>
        <v/>
      </c>
      <c r="AG49" s="1632"/>
      <c r="AH49" s="1633"/>
      <c r="AI49" s="1637" t="str">
        <f>IF(UNJC0030_REPORT_IF_H_HOKOKUSHO_SOFU_FLG_3=TRUE,"○","")</f>
        <v/>
      </c>
      <c r="AJ49" s="1632"/>
      <c r="AK49" s="1638"/>
    </row>
    <row r="53" spans="2:38" ht="14.25" thickBot="1">
      <c r="B53" s="278" t="s">
        <v>1555</v>
      </c>
    </row>
    <row r="54" spans="2:38" ht="15" thickTop="1" thickBot="1">
      <c r="E54" s="1659" t="s">
        <v>78</v>
      </c>
      <c r="F54" s="1660"/>
      <c r="G54" s="1660"/>
      <c r="H54" s="1661">
        <v>12</v>
      </c>
      <c r="I54" s="1662"/>
      <c r="J54" s="1004"/>
      <c r="K54" s="1004"/>
      <c r="L54" s="1021"/>
      <c r="M54" s="1021"/>
      <c r="N54" s="1021"/>
      <c r="O54" s="1021"/>
      <c r="P54" s="1021"/>
      <c r="Q54" s="1021"/>
      <c r="R54" s="1004"/>
      <c r="S54" s="1004"/>
      <c r="T54" s="1004"/>
      <c r="U54" s="1004"/>
      <c r="V54" s="1004"/>
      <c r="W54" s="1004"/>
      <c r="X54" s="1004"/>
      <c r="Y54" s="1004"/>
      <c r="Z54" s="1004"/>
      <c r="AA54" s="1004"/>
      <c r="AB54" s="1004"/>
      <c r="AC54" s="1004"/>
      <c r="AD54" s="1004"/>
      <c r="AE54" s="1004"/>
      <c r="AF54" s="1004"/>
      <c r="AG54" s="1004"/>
      <c r="AH54" s="1004"/>
      <c r="AI54" s="1004"/>
      <c r="AJ54" s="1004"/>
      <c r="AK54" s="1004"/>
    </row>
    <row r="55" spans="2:38" ht="14.25" thickTop="1">
      <c r="B55" s="548"/>
      <c r="C55" s="278" t="s">
        <v>1593</v>
      </c>
      <c r="D55" s="278" t="s">
        <v>1594</v>
      </c>
      <c r="E55" s="1534" t="s">
        <v>1532</v>
      </c>
      <c r="F55" s="1523"/>
      <c r="G55" s="1523"/>
      <c r="H55" s="1523"/>
      <c r="I55" s="1523"/>
      <c r="J55" s="1663" t="e">
        <f ca="1">LOOKUP(UNJC0030_REPORT_IF_B_EDA,OFFSET(UNJC0030_REPORT_IF_B_JURI_EDA_NO,1,0,UNJC0030_REPORT_IF_EDA_CNT),
OFFSET(UNJC0030_REPORT_IF_B_SAISHU_KAISHA_MEI,1,0,UNJC0030_REPORT_IF_EDA_CNT))</f>
        <v>#REF!</v>
      </c>
      <c r="K55" s="1663"/>
      <c r="L55" s="1663"/>
      <c r="M55" s="1663"/>
      <c r="N55" s="1663"/>
      <c r="O55" s="1663"/>
      <c r="P55" s="1663"/>
      <c r="Q55" s="1663"/>
      <c r="R55" s="1663"/>
      <c r="S55" s="1663"/>
      <c r="T55" s="1663"/>
      <c r="U55" s="1663"/>
      <c r="V55" s="1663"/>
      <c r="W55" s="1663"/>
      <c r="X55" s="1663"/>
      <c r="Y55" s="1663"/>
      <c r="Z55" s="1663"/>
      <c r="AA55" s="1509" t="s">
        <v>1533</v>
      </c>
      <c r="AB55" s="1509"/>
      <c r="AC55" s="1509"/>
      <c r="AD55" s="1509"/>
      <c r="AE55" s="1509"/>
      <c r="AF55" s="1664" t="e">
        <f ca="1">LOOKUP(UNJC0030_REPORT_IF_B_EDA,OFFSET(UNJC0030_REPORT_IF_B_JURI_EDA_NO,1,0,UNJC0030_REPORT_IF_EDA_CNT),
OFFSET(UNJC0030_REPORT_IF_B_TENKO,1,0,UNJC0030_REPORT_IF_EDA_CNT))</f>
        <v>#REF!</v>
      </c>
      <c r="AG55" s="1664"/>
      <c r="AH55" s="1664"/>
      <c r="AI55" s="1664"/>
      <c r="AJ55" s="1664"/>
      <c r="AK55" s="1665"/>
    </row>
    <row r="56" spans="2:38">
      <c r="B56" s="200"/>
      <c r="E56" s="1537" t="s">
        <v>1534</v>
      </c>
      <c r="F56" s="1532"/>
      <c r="G56" s="1532"/>
      <c r="H56" s="1532"/>
      <c r="I56" s="1532"/>
      <c r="J56" s="1647" t="e">
        <f ca="1">LOOKUP(UNJC0030_REPORT_IF_B_EDA,OFFSET(UNJC0030_REPORT_IF_B_JURI_EDA_NO,1,0,UNJC0030_REPORT_IF_EDA_CNT),
OFFSET(UNJC0030_REPORT_IF_B_SAISHU_SHA,1,0,UNJC0030_REPORT_IF_EDA_CNT))</f>
        <v>#REF!</v>
      </c>
      <c r="K56" s="1647"/>
      <c r="L56" s="1647"/>
      <c r="M56" s="1647"/>
      <c r="N56" s="1647"/>
      <c r="O56" s="1647"/>
      <c r="P56" s="1647"/>
      <c r="Q56" s="1647"/>
      <c r="R56" s="1647"/>
      <c r="S56" s="1647"/>
      <c r="T56" s="1647"/>
      <c r="U56" s="1647"/>
      <c r="V56" s="1647"/>
      <c r="W56" s="1647"/>
      <c r="X56" s="1647"/>
      <c r="Y56" s="1647"/>
      <c r="Z56" s="1647"/>
      <c r="AA56" s="1539" t="s">
        <v>1535</v>
      </c>
      <c r="AB56" s="1539"/>
      <c r="AC56" s="1539"/>
      <c r="AD56" s="1539"/>
      <c r="AE56" s="1539"/>
      <c r="AF56" s="1648" t="e">
        <f ca="1">IF(LOOKUP(UNJC0030_REPORT_IF_B_EDA,OFFSET(UNJC0030_REPORT_IF_B_JURI_EDA_NO,1,0,UNJC0030_REPORT_IF_EDA_CNT),
OFFSET(UNJC0030_REPORT_IF_B_KION,1,0,UNJC0030_REPORT_IF_EDA_CNT))="","",
LOOKUP(UNJC0030_REPORT_IF_B_EDA,OFFSET(UNJC0030_REPORT_IF_B_JURI_EDA_NO,1,0,UNJC0030_REPORT_IF_EDA_CNT),
OFFSET(UNJC0030_REPORT_IF_B_KION,1,0,UNJC0030_REPORT_IF_EDA_CNT)))</f>
        <v>#REF!</v>
      </c>
      <c r="AG56" s="1648"/>
      <c r="AH56" s="1648"/>
      <c r="AI56" s="1648"/>
      <c r="AJ56" s="1648"/>
      <c r="AK56" s="1649"/>
    </row>
    <row r="57" spans="2:38">
      <c r="B57" s="200"/>
      <c r="E57" s="1537" t="s">
        <v>1163</v>
      </c>
      <c r="F57" s="1532"/>
      <c r="G57" s="1532"/>
      <c r="H57" s="1532"/>
      <c r="I57" s="1532"/>
      <c r="J57" s="1647" t="e">
        <f ca="1">LOOKUP(UNJC0030_REPORT_IF_B_EDA,OFFSET(UNJC0030_REPORT_IF_B_JURI_EDA_NO,1,0,UNJC0030_REPORT_IF_EDA_CNT),
OFFSET(UNJC0030_REPORT_IF_B_SAISHU_HOHO,1,0,UNJC0030_REPORT_IF_EDA_CNT))</f>
        <v>#REF!</v>
      </c>
      <c r="K57" s="1647"/>
      <c r="L57" s="1647"/>
      <c r="M57" s="1647"/>
      <c r="N57" s="1647"/>
      <c r="O57" s="1647"/>
      <c r="P57" s="1647"/>
      <c r="Q57" s="1647"/>
      <c r="R57" s="1647"/>
      <c r="S57" s="1647"/>
      <c r="T57" s="1647"/>
      <c r="U57" s="1647"/>
      <c r="V57" s="1647"/>
      <c r="W57" s="1647"/>
      <c r="X57" s="1647"/>
      <c r="Y57" s="1647"/>
      <c r="Z57" s="1647"/>
      <c r="AA57" s="1539" t="s">
        <v>1536</v>
      </c>
      <c r="AB57" s="1539"/>
      <c r="AC57" s="1539"/>
      <c r="AD57" s="1539"/>
      <c r="AE57" s="1539"/>
      <c r="AF57" s="1648" t="e">
        <f ca="1">IF(LOOKUP(UNJC0030_REPORT_IF_B_EDA,OFFSET(UNJC0030_REPORT_IF_B_JURI_EDA_NO,1,0,UNJC0030_REPORT_IF_EDA_CNT),
OFFSET(UNJC0030_REPORT_IF_B_SUION,1,0,UNJC0030_REPORT_IF_EDA_CNT))="","",
LOOKUP(UNJC0030_REPORT_IF_B_EDA,OFFSET(UNJC0030_REPORT_IF_B_JURI_EDA_NO,1,0,UNJC0030_REPORT_IF_EDA_CNT),
OFFSET(UNJC0030_REPORT_IF_B_SUION,1,0,UNJC0030_REPORT_IF_EDA_CNT)))</f>
        <v>#REF!</v>
      </c>
      <c r="AG57" s="1648"/>
      <c r="AH57" s="1648"/>
      <c r="AI57" s="1648"/>
      <c r="AJ57" s="1648"/>
      <c r="AK57" s="1649"/>
    </row>
    <row r="58" spans="2:38">
      <c r="B58" s="200"/>
      <c r="E58" s="1537" t="s">
        <v>1537</v>
      </c>
      <c r="F58" s="1532"/>
      <c r="G58" s="1532"/>
      <c r="H58" s="1532"/>
      <c r="I58" s="1532"/>
      <c r="J58" s="1657" t="e">
        <f ca="1">LOOKUP(UNJC0030_REPORT_IF_B_EDA,OFFSET(UNJC0030_REPORT_IF_B_JURI_EDA_NO,1,0,UNJC0030_REPORT_IF_EDA_CNT),
OFFSET(UNJC0030_REPORT_IF_B_SAISHU_BASHO,1,0,UNJC0030_REPORT_IF_EDA_CNT))</f>
        <v>#REF!</v>
      </c>
      <c r="K58" s="1657"/>
      <c r="L58" s="1657"/>
      <c r="M58" s="1657"/>
      <c r="N58" s="1657"/>
      <c r="O58" s="1657"/>
      <c r="P58" s="1657"/>
      <c r="Q58" s="1657"/>
      <c r="R58" s="1657"/>
      <c r="S58" s="1657"/>
      <c r="T58" s="1657"/>
      <c r="U58" s="1657"/>
      <c r="V58" s="1657"/>
      <c r="W58" s="1657"/>
      <c r="X58" s="1657"/>
      <c r="Y58" s="1657"/>
      <c r="Z58" s="1657"/>
      <c r="AA58" s="1539" t="s">
        <v>1538</v>
      </c>
      <c r="AB58" s="1539"/>
      <c r="AC58" s="1539"/>
      <c r="AD58" s="1539"/>
      <c r="AE58" s="1539"/>
      <c r="AF58" s="1557" t="e">
        <f ca="1">IF(LOOKUP(UNJC0030_REPORT_IF_B_EDA,OFFSET(UNJC0030_REPORT_IF_B_JURI_EDA_NO,1,0,UNJC0030_REPORT_IF_EDA_CNT),
OFFSET(UNJC0030_REPORT_IF_B_SAISHU_DATE,1,0,UNJC0030_REPORT_IF_EDA_CNT))="","",
LOOKUP(UNJC0030_REPORT_IF_B_EDA,OFFSET(UNJC0030_REPORT_IF_B_JURI_EDA_NO,1,0,UNJC0030_REPORT_IF_EDA_CNT),
OFFSET(UNJC0030_REPORT_IF_B_SAISHU_DATE,1,0,UNJC0030_REPORT_IF_EDA_CNT)))</f>
        <v>#REF!</v>
      </c>
      <c r="AG58" s="1557"/>
      <c r="AH58" s="1557"/>
      <c r="AI58" s="1557"/>
      <c r="AJ58" s="1557"/>
      <c r="AK58" s="1558"/>
    </row>
    <row r="59" spans="2:38">
      <c r="B59" s="549"/>
      <c r="C59" s="278" t="s">
        <v>1593</v>
      </c>
      <c r="E59" s="1553"/>
      <c r="F59" s="1554"/>
      <c r="G59" s="1554"/>
      <c r="H59" s="1554"/>
      <c r="I59" s="1554"/>
      <c r="J59" s="1658"/>
      <c r="K59" s="1658"/>
      <c r="L59" s="1658"/>
      <c r="M59" s="1658"/>
      <c r="N59" s="1658"/>
      <c r="O59" s="1658"/>
      <c r="P59" s="1658"/>
      <c r="Q59" s="1658"/>
      <c r="R59" s="1658"/>
      <c r="S59" s="1658"/>
      <c r="T59" s="1658"/>
      <c r="U59" s="1658"/>
      <c r="V59" s="1658"/>
      <c r="W59" s="1658"/>
      <c r="X59" s="1658"/>
      <c r="Y59" s="1658"/>
      <c r="Z59" s="1658"/>
      <c r="AA59" s="1546" t="s">
        <v>1539</v>
      </c>
      <c r="AB59" s="1546"/>
      <c r="AC59" s="1546"/>
      <c r="AD59" s="1546"/>
      <c r="AE59" s="1546"/>
      <c r="AF59" s="1559" t="e">
        <f ca="1">IF(LOOKUP(UNJC0030_REPORT_IF_B_EDA,OFFSET(UNJC0030_REPORT_IF_B_JURI_EDA_NO,1,0,UNJC0030_REPORT_IF_EDA_CNT),
OFFSET(UNJC0030_REPORT_IF_B_SAISHU_TIME,1,0,UNJC0030_REPORT_IF_EDA_CNT))="","",
LOOKUP(UNJC0030_REPORT_IF_B_EDA,OFFSET(UNJC0030_REPORT_IF_B_JURI_EDA_NO,1,0,UNJC0030_REPORT_IF_EDA_CNT),
OFFSET(UNJC0030_REPORT_IF_B_SAISHU_TIME,1,0,UNJC0030_REPORT_IF_EDA_CNT)))</f>
        <v>#REF!</v>
      </c>
      <c r="AG59" s="1559"/>
      <c r="AH59" s="1559"/>
      <c r="AI59" s="1559"/>
      <c r="AJ59" s="1559"/>
      <c r="AK59" s="1560"/>
    </row>
    <row r="60" spans="2:38">
      <c r="E60" s="1653" t="s">
        <v>62</v>
      </c>
      <c r="F60" s="1654"/>
      <c r="G60" s="1654"/>
      <c r="H60" s="1654"/>
      <c r="I60" s="1654"/>
      <c r="J60" s="1655" t="e">
        <f ca="1">LOOKUP(UNJC0030_REPORT_IF_B_EDA,OFFSET(UNJC0030_REPORT_IF_B_JURI_EDA_NO,1,0,UNJC0030_REPORT_IF_EDA_CNT),
OFFSET(UNJC0030_REPORT_IF_B_SHIRYO_SHURUI_MEI,1,0,UNJC0030_REPORT_IF_EDA_CNT))</f>
        <v>#REF!</v>
      </c>
      <c r="K60" s="1655"/>
      <c r="L60" s="1655"/>
      <c r="M60" s="1655"/>
      <c r="N60" s="1655"/>
      <c r="O60" s="1655"/>
      <c r="P60" s="1655"/>
      <c r="Q60" s="1655"/>
      <c r="R60" s="1655"/>
      <c r="S60" s="1655"/>
      <c r="T60" s="1655"/>
      <c r="U60" s="1654" t="s">
        <v>63</v>
      </c>
      <c r="V60" s="1654"/>
      <c r="W60" s="1654"/>
      <c r="X60" s="1654"/>
      <c r="Y60" s="1654"/>
      <c r="Z60" s="1655" t="e">
        <f ca="1">IF(LOOKUP(UNJC0030_REPORT_IF_B_EDA,OFFSET(UNJC0030_REPORT_IF_B_JURI_EDA_NO,1,0,UNJC0030_REPORT_IF_EDA_CNT),
OFFSET(UNJC0030_REPORT_IF_B_SHIRYO_MEI,1,0,UNJC0030_REPORT_IF_EDA_CNT))="一括記載",
LOOKUP(UNJC0030_REPORT_IF_B_EDA,OFFSET(UNJC0030_REPORT_IF_B_JURI_EDA_NO,1,0,UNJC0030_REPORT_IF_EDA_CNT),
OFFSET(UNJC0030_REPORT_IF_B_IKKATSU_M,1,0,UNJC0030_REPORT_IF_EDA_CNT))&amp;"試料・単位 × "&amp;
LOOKUP(UNJC0030_REPORT_IF_B_EDA,OFFSET(UNJC0030_REPORT_IF_B_JURI_EDA_NO,1,0,UNJC0030_REPORT_IF_EDA_CNT),
OFFSET(UNJC0030_REPORT_IF_B_IKKATSU_N,1,0,UNJC0030_REPORT_IF_EDA_CNT))&amp;"ヶ所・点 ＝ "&amp;
LOOKUP(UNJC0030_REPORT_IF_B_EDA,OFFSET(UNJC0030_REPORT_IF_B_JURI_EDA_NO,1,0,UNJC0030_REPORT_IF_EDA_CNT),
OFFSET(UNJC0030_REPORT_IF_B_IKKATSU_M,1,0,UNJC0030_REPORT_IF_EDA_CNT))*
LOOKUP(UNJC0030_REPORT_IF_B_EDA,OFFSET(UNJC0030_REPORT_IF_B_JURI_EDA_NO,1,0,UNJC0030_REPORT_IF_EDA_CNT),
OFFSET(UNJC0030_REPORT_IF_B_IKKATSU_N,1,0,UNJC0030_REPORT_IF_EDA_CNT))&amp;"ヶ所・点",
LOOKUP(UNJC0030_REPORT_IF_B_EDA,OFFSET(UNJC0030_REPORT_IF_B_JURI_EDA_NO,1,0,UNJC0030_REPORT_IF_EDA_CNT),
OFFSET(UNJC0030_REPORT_IF_B_SHIRYO_MEI,1,0,UNJC0030_REPORT_IF_EDA_CNT)))</f>
        <v>#REF!</v>
      </c>
      <c r="AA60" s="1655"/>
      <c r="AB60" s="1655"/>
      <c r="AC60" s="1655"/>
      <c r="AD60" s="1655"/>
      <c r="AE60" s="1655"/>
      <c r="AF60" s="1655"/>
      <c r="AG60" s="1655"/>
      <c r="AH60" s="1655"/>
      <c r="AI60" s="1655"/>
      <c r="AJ60" s="1655"/>
      <c r="AK60" s="1656"/>
    </row>
    <row r="61" spans="2:38">
      <c r="B61" s="1242"/>
      <c r="C61" s="1242"/>
      <c r="D61" s="1242"/>
      <c r="E61" s="1579" t="s">
        <v>1</v>
      </c>
      <c r="F61" s="1580"/>
      <c r="G61" s="1580"/>
      <c r="H61" s="1580"/>
      <c r="I61" s="1580"/>
      <c r="J61" s="1585" t="e">
        <f ca="1">LOOKUP(UNJC0030_REPORT_IF_B_EDA,OFFSET(UNJC0030_REPORT_IF_B_JURI_EDA_NO,1,0,UNJC0030_REPORT_IF_EDA_CNT),
OFFSET(UNJC0030_REPORT_IF_B_EBIKO,1,0,UNJC0030_REPORT_IF_EDA_CNT))</f>
        <v>#REF!</v>
      </c>
      <c r="K61" s="1586"/>
      <c r="L61" s="1586"/>
      <c r="M61" s="1586"/>
      <c r="N61" s="1586"/>
      <c r="O61" s="1586"/>
      <c r="P61" s="1586"/>
      <c r="Q61" s="1586"/>
      <c r="R61" s="1586"/>
      <c r="S61" s="1586"/>
      <c r="T61" s="1586"/>
      <c r="U61" s="1586"/>
      <c r="V61" s="1586"/>
      <c r="W61" s="1586"/>
      <c r="X61" s="1586"/>
      <c r="Y61" s="1586"/>
      <c r="Z61" s="1586"/>
      <c r="AA61" s="1586"/>
      <c r="AB61" s="1586"/>
      <c r="AC61" s="1586"/>
      <c r="AD61" s="1586"/>
      <c r="AE61" s="1586"/>
      <c r="AF61" s="1586"/>
      <c r="AG61" s="1586"/>
      <c r="AH61" s="1586"/>
      <c r="AI61" s="1586"/>
      <c r="AJ61" s="1586"/>
      <c r="AK61" s="1587"/>
      <c r="AL61" s="1242"/>
    </row>
    <row r="62" spans="2:38">
      <c r="B62" s="1242"/>
      <c r="C62" s="1242" t="s">
        <v>1596</v>
      </c>
      <c r="D62" s="1242" t="s">
        <v>1597</v>
      </c>
      <c r="E62" s="1581"/>
      <c r="F62" s="1582"/>
      <c r="G62" s="1582"/>
      <c r="H62" s="1582"/>
      <c r="I62" s="1582"/>
      <c r="J62" s="1588"/>
      <c r="K62" s="1589"/>
      <c r="L62" s="1589"/>
      <c r="M62" s="1589"/>
      <c r="N62" s="1589"/>
      <c r="O62" s="1589"/>
      <c r="P62" s="1589"/>
      <c r="Q62" s="1589"/>
      <c r="R62" s="1589"/>
      <c r="S62" s="1589"/>
      <c r="T62" s="1589"/>
      <c r="U62" s="1589"/>
      <c r="V62" s="1589"/>
      <c r="W62" s="1589"/>
      <c r="X62" s="1589"/>
      <c r="Y62" s="1589"/>
      <c r="Z62" s="1589"/>
      <c r="AA62" s="1589"/>
      <c r="AB62" s="1589"/>
      <c r="AC62" s="1589"/>
      <c r="AD62" s="1589"/>
      <c r="AE62" s="1589"/>
      <c r="AF62" s="1589"/>
      <c r="AG62" s="1589"/>
      <c r="AH62" s="1589"/>
      <c r="AI62" s="1589"/>
      <c r="AJ62" s="1589"/>
      <c r="AK62" s="1590"/>
      <c r="AL62" s="1243"/>
    </row>
    <row r="63" spans="2:38">
      <c r="B63" s="1242"/>
      <c r="C63" s="1242"/>
      <c r="D63" s="1242"/>
      <c r="E63" s="1581"/>
      <c r="F63" s="1582"/>
      <c r="G63" s="1582"/>
      <c r="H63" s="1582"/>
      <c r="I63" s="1582"/>
      <c r="J63" s="1588"/>
      <c r="K63" s="1589"/>
      <c r="L63" s="1589"/>
      <c r="M63" s="1589"/>
      <c r="N63" s="1589"/>
      <c r="O63" s="1589"/>
      <c r="P63" s="1589"/>
      <c r="Q63" s="1589"/>
      <c r="R63" s="1589"/>
      <c r="S63" s="1589"/>
      <c r="T63" s="1589"/>
      <c r="U63" s="1589"/>
      <c r="V63" s="1589"/>
      <c r="W63" s="1589"/>
      <c r="X63" s="1589"/>
      <c r="Y63" s="1589"/>
      <c r="Z63" s="1589"/>
      <c r="AA63" s="1589"/>
      <c r="AB63" s="1589"/>
      <c r="AC63" s="1589"/>
      <c r="AD63" s="1589"/>
      <c r="AE63" s="1589"/>
      <c r="AF63" s="1589"/>
      <c r="AG63" s="1589"/>
      <c r="AH63" s="1589"/>
      <c r="AI63" s="1589"/>
      <c r="AJ63" s="1589"/>
      <c r="AK63" s="1590"/>
      <c r="AL63" s="1243"/>
    </row>
    <row r="64" spans="2:38">
      <c r="B64" s="1242" t="s">
        <v>1598</v>
      </c>
      <c r="C64" s="1242" t="s">
        <v>1599</v>
      </c>
      <c r="D64" s="1242" t="str">
        <f>ADDRESS(ROW(UNJC0030_REPORT_IF_B_COPY_MOTO),COLUMN(UNJC0030_REPORT_IF_B_COPY_MOTO))&amp;":"&amp;ADDRESS(ROW(UNJC0030_REPORT_IF_B_COPY_MOTO)+ROWS(UNJC0030_REPORT_IF_B_COPY_MOTO)-1,COLUMN(UNJC0030_REPORT_IF_B_COPY_MOTO)+COLUMNS(UNJC0030_REPORT_IF_B_COPY_MOTO)-1)</f>
        <v>$E$54:$AK$67</v>
      </c>
      <c r="E64" s="1581"/>
      <c r="F64" s="1582"/>
      <c r="G64" s="1582"/>
      <c r="H64" s="1582"/>
      <c r="I64" s="1582"/>
      <c r="J64" s="1588"/>
      <c r="K64" s="1589"/>
      <c r="L64" s="1589"/>
      <c r="M64" s="1589"/>
      <c r="N64" s="1589"/>
      <c r="O64" s="1589"/>
      <c r="P64" s="1589"/>
      <c r="Q64" s="1589"/>
      <c r="R64" s="1589"/>
      <c r="S64" s="1589"/>
      <c r="T64" s="1589"/>
      <c r="U64" s="1589"/>
      <c r="V64" s="1589"/>
      <c r="W64" s="1589"/>
      <c r="X64" s="1589"/>
      <c r="Y64" s="1589"/>
      <c r="Z64" s="1589"/>
      <c r="AA64" s="1589"/>
      <c r="AB64" s="1589"/>
      <c r="AC64" s="1589"/>
      <c r="AD64" s="1589"/>
      <c r="AE64" s="1589"/>
      <c r="AF64" s="1589"/>
      <c r="AG64" s="1589"/>
      <c r="AH64" s="1589"/>
      <c r="AI64" s="1589"/>
      <c r="AJ64" s="1589"/>
      <c r="AK64" s="1590"/>
      <c r="AL64" s="1243"/>
    </row>
    <row r="65" spans="2:38">
      <c r="B65" s="1242" t="s">
        <v>1600</v>
      </c>
      <c r="C65" s="1242" t="s">
        <v>1601</v>
      </c>
      <c r="D65" s="1242" t="str">
        <f>ADDRESS(ROW(UNJC0030_REPORT_IF_B_EDA),COLUMN(UNJC0030_REPORT_IF_B_EDA))</f>
        <v>$H$54</v>
      </c>
      <c r="E65" s="1581"/>
      <c r="F65" s="1582"/>
      <c r="G65" s="1582"/>
      <c r="H65" s="1582"/>
      <c r="I65" s="1582"/>
      <c r="J65" s="1588"/>
      <c r="K65" s="1589"/>
      <c r="L65" s="1589"/>
      <c r="M65" s="1589"/>
      <c r="N65" s="1589"/>
      <c r="O65" s="1589"/>
      <c r="P65" s="1589"/>
      <c r="Q65" s="1589"/>
      <c r="R65" s="1589"/>
      <c r="S65" s="1589"/>
      <c r="T65" s="1589"/>
      <c r="U65" s="1589"/>
      <c r="V65" s="1589"/>
      <c r="W65" s="1589"/>
      <c r="X65" s="1589"/>
      <c r="Y65" s="1589"/>
      <c r="Z65" s="1589"/>
      <c r="AA65" s="1589"/>
      <c r="AB65" s="1589"/>
      <c r="AC65" s="1589"/>
      <c r="AD65" s="1589"/>
      <c r="AE65" s="1589"/>
      <c r="AF65" s="1589"/>
      <c r="AG65" s="1589"/>
      <c r="AH65" s="1589"/>
      <c r="AI65" s="1589"/>
      <c r="AJ65" s="1589"/>
      <c r="AK65" s="1590"/>
      <c r="AL65" s="1243"/>
    </row>
    <row r="66" spans="2:38">
      <c r="B66" s="1242"/>
      <c r="C66" s="1242"/>
      <c r="D66" s="1242"/>
      <c r="E66" s="1583"/>
      <c r="F66" s="1584"/>
      <c r="G66" s="1584"/>
      <c r="H66" s="1584"/>
      <c r="I66" s="1584"/>
      <c r="J66" s="1591"/>
      <c r="K66" s="1592"/>
      <c r="L66" s="1592"/>
      <c r="M66" s="1592"/>
      <c r="N66" s="1592"/>
      <c r="O66" s="1592"/>
      <c r="P66" s="1592"/>
      <c r="Q66" s="1592"/>
      <c r="R66" s="1592"/>
      <c r="S66" s="1592"/>
      <c r="T66" s="1592"/>
      <c r="U66" s="1592"/>
      <c r="V66" s="1592"/>
      <c r="W66" s="1592"/>
      <c r="X66" s="1592"/>
      <c r="Y66" s="1592"/>
      <c r="Z66" s="1592"/>
      <c r="AA66" s="1592"/>
      <c r="AB66" s="1592"/>
      <c r="AC66" s="1592"/>
      <c r="AD66" s="1592"/>
      <c r="AE66" s="1592"/>
      <c r="AF66" s="1592"/>
      <c r="AG66" s="1592"/>
      <c r="AH66" s="1592"/>
      <c r="AI66" s="1592"/>
      <c r="AJ66" s="1592"/>
      <c r="AK66" s="1593"/>
      <c r="AL66" s="1243"/>
    </row>
    <row r="67" spans="2:38">
      <c r="B67" s="1242"/>
      <c r="C67" s="1242"/>
      <c r="D67" s="1242"/>
      <c r="E67" s="1244" t="s">
        <v>17</v>
      </c>
      <c r="F67" s="1606" t="s">
        <v>1595</v>
      </c>
      <c r="G67" s="1494"/>
      <c r="H67" s="1494"/>
      <c r="I67" s="1494"/>
      <c r="J67" s="1494"/>
      <c r="K67" s="1494"/>
      <c r="L67" s="1494"/>
      <c r="M67" s="1494"/>
      <c r="N67" s="1494"/>
      <c r="O67" s="1494"/>
      <c r="P67" s="1494"/>
      <c r="Q67" s="1494"/>
      <c r="R67" s="1495"/>
      <c r="S67" s="1606" t="s">
        <v>19</v>
      </c>
      <c r="T67" s="1494"/>
      <c r="U67" s="1494"/>
      <c r="V67" s="1495"/>
      <c r="W67" s="1606" t="s">
        <v>1116</v>
      </c>
      <c r="X67" s="1494"/>
      <c r="Y67" s="1494"/>
      <c r="Z67" s="1494"/>
      <c r="AA67" s="1494"/>
      <c r="AB67" s="1494"/>
      <c r="AC67" s="1494"/>
      <c r="AD67" s="1494"/>
      <c r="AE67" s="1494"/>
      <c r="AF67" s="1494"/>
      <c r="AG67" s="1495"/>
      <c r="AH67" s="1606" t="s">
        <v>1117</v>
      </c>
      <c r="AI67" s="1494"/>
      <c r="AJ67" s="1494"/>
      <c r="AK67" s="1607"/>
      <c r="AL67" s="1243"/>
    </row>
    <row r="68" spans="2:38">
      <c r="B68" s="1242"/>
      <c r="C68" s="1242"/>
      <c r="D68" s="1242"/>
      <c r="E68" s="1242"/>
      <c r="F68" s="1242"/>
      <c r="G68" s="1242"/>
      <c r="H68" s="1242"/>
      <c r="I68" s="1242"/>
      <c r="J68" s="1242"/>
      <c r="K68" s="1242"/>
      <c r="L68" s="1242"/>
      <c r="M68" s="1242"/>
      <c r="N68" s="1242"/>
      <c r="O68" s="1242"/>
      <c r="P68" s="1242"/>
      <c r="Q68" s="1242"/>
      <c r="R68" s="1242"/>
      <c r="S68" s="1242"/>
      <c r="T68" s="1242"/>
      <c r="U68" s="1242"/>
      <c r="V68" s="1242"/>
      <c r="W68" s="1242"/>
      <c r="X68" s="1242"/>
      <c r="Y68" s="1242"/>
      <c r="Z68" s="1242"/>
      <c r="AA68" s="1242"/>
      <c r="AB68" s="1242"/>
      <c r="AC68" s="1242"/>
      <c r="AD68" s="1242"/>
      <c r="AE68" s="1242"/>
      <c r="AF68" s="1242"/>
      <c r="AG68" s="1242"/>
      <c r="AH68" s="1242"/>
      <c r="AI68" s="1242"/>
      <c r="AJ68" s="1242"/>
      <c r="AK68" s="1242"/>
      <c r="AL68" s="1243"/>
    </row>
    <row r="69" spans="2:38">
      <c r="E69" s="970"/>
      <c r="F69" s="970"/>
      <c r="G69" s="970"/>
      <c r="H69" s="970"/>
      <c r="I69" s="970"/>
      <c r="J69" s="970"/>
      <c r="K69" s="970"/>
      <c r="L69" s="970"/>
      <c r="M69" s="970"/>
      <c r="N69" s="970"/>
      <c r="O69" s="970"/>
      <c r="P69" s="970"/>
      <c r="Q69" s="970"/>
      <c r="R69" s="970"/>
      <c r="S69" s="970"/>
      <c r="T69" s="970"/>
      <c r="U69" s="970"/>
      <c r="V69" s="970"/>
      <c r="W69" s="970"/>
      <c r="X69" s="970"/>
      <c r="Y69" s="970"/>
      <c r="Z69" s="970"/>
      <c r="AA69" s="970"/>
      <c r="AB69" s="970"/>
      <c r="AC69" s="970"/>
      <c r="AD69" s="970"/>
      <c r="AE69" s="970"/>
      <c r="AF69" s="970"/>
      <c r="AG69" s="970"/>
      <c r="AH69" s="970"/>
      <c r="AI69" s="970"/>
      <c r="AJ69" s="970"/>
      <c r="AK69" s="970"/>
      <c r="AL69" s="974"/>
    </row>
    <row r="70" spans="2:38">
      <c r="E70" s="970"/>
      <c r="F70" s="970"/>
      <c r="G70" s="970"/>
      <c r="H70" s="970"/>
      <c r="I70" s="970"/>
      <c r="J70" s="970"/>
      <c r="K70" s="970"/>
      <c r="L70" s="970"/>
      <c r="M70" s="970"/>
      <c r="N70" s="970"/>
      <c r="O70" s="970"/>
      <c r="P70" s="970"/>
      <c r="Q70" s="970"/>
      <c r="R70" s="970"/>
      <c r="S70" s="970"/>
      <c r="T70" s="970"/>
      <c r="U70" s="970"/>
      <c r="V70" s="970"/>
      <c r="W70" s="970"/>
      <c r="X70" s="970"/>
      <c r="Y70" s="970"/>
      <c r="Z70" s="970"/>
      <c r="AA70" s="970"/>
      <c r="AB70" s="970"/>
      <c r="AC70" s="970"/>
      <c r="AD70" s="970"/>
      <c r="AE70" s="970"/>
      <c r="AF70" s="970"/>
      <c r="AG70" s="970"/>
      <c r="AH70" s="970"/>
      <c r="AI70" s="970"/>
      <c r="AJ70" s="970"/>
      <c r="AK70" s="970"/>
      <c r="AL70" s="974"/>
    </row>
    <row r="71" spans="2:38">
      <c r="E71" s="970"/>
      <c r="F71" s="970"/>
      <c r="G71" s="970"/>
      <c r="H71" s="970"/>
      <c r="I71" s="970"/>
      <c r="J71" s="970"/>
      <c r="K71" s="970"/>
      <c r="L71" s="970"/>
      <c r="M71" s="970"/>
      <c r="N71" s="970"/>
      <c r="O71" s="970"/>
      <c r="P71" s="970"/>
      <c r="Q71" s="970"/>
      <c r="R71" s="970"/>
      <c r="S71" s="970"/>
      <c r="T71" s="970"/>
      <c r="U71" s="970"/>
      <c r="V71" s="970"/>
      <c r="W71" s="970"/>
      <c r="X71" s="970"/>
      <c r="Y71" s="970"/>
      <c r="Z71" s="970"/>
      <c r="AA71" s="970"/>
      <c r="AB71" s="970"/>
      <c r="AC71" s="970"/>
      <c r="AD71" s="970"/>
      <c r="AE71" s="970"/>
      <c r="AF71" s="970"/>
      <c r="AG71" s="970"/>
      <c r="AH71" s="970"/>
      <c r="AI71" s="970"/>
      <c r="AJ71" s="970"/>
      <c r="AK71" s="970"/>
      <c r="AL71" s="974"/>
    </row>
    <row r="72" spans="2:38">
      <c r="E72" s="970"/>
      <c r="F72" s="970"/>
      <c r="G72" s="970"/>
      <c r="H72" s="970"/>
      <c r="I72" s="970"/>
      <c r="J72" s="970"/>
      <c r="K72" s="970"/>
      <c r="L72" s="970"/>
      <c r="M72" s="970"/>
      <c r="N72" s="970"/>
      <c r="O72" s="970"/>
      <c r="P72" s="970"/>
      <c r="Q72" s="970"/>
      <c r="R72" s="970"/>
      <c r="S72" s="970"/>
      <c r="T72" s="970"/>
      <c r="U72" s="970"/>
      <c r="V72" s="970"/>
      <c r="W72" s="970"/>
      <c r="X72" s="970"/>
      <c r="Y72" s="970"/>
      <c r="Z72" s="970"/>
      <c r="AA72" s="970"/>
      <c r="AB72" s="970"/>
      <c r="AC72" s="970"/>
      <c r="AD72" s="970"/>
      <c r="AE72" s="970"/>
      <c r="AF72" s="970"/>
      <c r="AG72" s="970"/>
      <c r="AH72" s="970"/>
      <c r="AI72" s="970"/>
      <c r="AJ72" s="970"/>
      <c r="AK72" s="970"/>
      <c r="AL72" s="974"/>
    </row>
    <row r="73" spans="2:38">
      <c r="E73" s="970"/>
      <c r="F73" s="970"/>
      <c r="G73" s="970"/>
      <c r="H73" s="970"/>
      <c r="I73" s="970"/>
      <c r="J73" s="970"/>
      <c r="K73" s="970"/>
      <c r="L73" s="970"/>
      <c r="M73" s="970"/>
      <c r="N73" s="970"/>
      <c r="O73" s="970"/>
      <c r="P73" s="970"/>
      <c r="Q73" s="970"/>
      <c r="R73" s="970"/>
      <c r="S73" s="970"/>
      <c r="T73" s="970"/>
      <c r="U73" s="970"/>
      <c r="V73" s="970"/>
      <c r="W73" s="970"/>
      <c r="X73" s="970"/>
      <c r="Y73" s="970"/>
      <c r="Z73" s="970"/>
      <c r="AA73" s="970"/>
      <c r="AB73" s="970"/>
      <c r="AC73" s="970"/>
      <c r="AD73" s="970"/>
      <c r="AE73" s="970"/>
      <c r="AF73" s="970"/>
      <c r="AG73" s="970"/>
      <c r="AH73" s="970"/>
      <c r="AI73" s="970"/>
      <c r="AJ73" s="970"/>
      <c r="AK73" s="970"/>
      <c r="AL73" s="974"/>
    </row>
    <row r="74" spans="2:38">
      <c r="E74" s="970"/>
      <c r="F74" s="970"/>
      <c r="G74" s="970"/>
      <c r="H74" s="970"/>
      <c r="I74" s="970"/>
      <c r="J74" s="970"/>
      <c r="K74" s="970"/>
      <c r="L74" s="970"/>
      <c r="M74" s="970"/>
      <c r="N74" s="970"/>
      <c r="O74" s="970"/>
      <c r="P74" s="970"/>
      <c r="Q74" s="970"/>
      <c r="R74" s="970"/>
      <c r="S74" s="970"/>
      <c r="T74" s="970"/>
      <c r="U74" s="970"/>
      <c r="V74" s="970"/>
      <c r="W74" s="970"/>
      <c r="X74" s="970"/>
      <c r="Y74" s="970"/>
      <c r="Z74" s="970"/>
      <c r="AA74" s="970"/>
      <c r="AB74" s="970"/>
      <c r="AC74" s="970"/>
      <c r="AD74" s="970"/>
      <c r="AE74" s="970"/>
      <c r="AF74" s="970"/>
      <c r="AG74" s="970"/>
      <c r="AH74" s="970"/>
      <c r="AI74" s="970"/>
      <c r="AJ74" s="970"/>
      <c r="AK74" s="970"/>
      <c r="AL74" s="974"/>
    </row>
    <row r="75" spans="2:38">
      <c r="E75" s="970"/>
      <c r="F75" s="970"/>
      <c r="G75" s="970"/>
      <c r="H75" s="970"/>
      <c r="I75" s="970"/>
      <c r="J75" s="970"/>
      <c r="K75" s="970"/>
      <c r="L75" s="970"/>
      <c r="M75" s="970"/>
      <c r="N75" s="970"/>
      <c r="O75" s="970"/>
      <c r="P75" s="970"/>
      <c r="Q75" s="970"/>
      <c r="R75" s="970"/>
      <c r="S75" s="970"/>
      <c r="T75" s="970"/>
      <c r="U75" s="970"/>
      <c r="V75" s="970"/>
      <c r="W75" s="970"/>
      <c r="X75" s="970"/>
      <c r="Y75" s="970"/>
      <c r="Z75" s="970"/>
      <c r="AA75" s="970"/>
      <c r="AB75" s="970"/>
      <c r="AC75" s="970"/>
      <c r="AD75" s="970"/>
      <c r="AE75" s="970"/>
      <c r="AF75" s="970"/>
      <c r="AG75" s="970"/>
      <c r="AH75" s="970"/>
      <c r="AI75" s="970"/>
      <c r="AJ75" s="970"/>
      <c r="AK75" s="970"/>
      <c r="AL75" s="974"/>
    </row>
    <row r="76" spans="2:38">
      <c r="E76" s="970"/>
      <c r="F76" s="970"/>
      <c r="G76" s="970"/>
      <c r="H76" s="970"/>
      <c r="I76" s="970"/>
      <c r="J76" s="970"/>
      <c r="K76" s="970"/>
      <c r="L76" s="970"/>
      <c r="M76" s="970"/>
      <c r="N76" s="970"/>
      <c r="O76" s="970"/>
      <c r="P76" s="970"/>
      <c r="Q76" s="970"/>
      <c r="R76" s="970"/>
      <c r="S76" s="970"/>
      <c r="T76" s="970"/>
      <c r="U76" s="970"/>
      <c r="V76" s="970"/>
      <c r="W76" s="970"/>
      <c r="X76" s="970"/>
      <c r="Y76" s="970"/>
      <c r="Z76" s="970"/>
      <c r="AA76" s="970"/>
      <c r="AB76" s="970"/>
      <c r="AC76" s="970"/>
      <c r="AD76" s="970"/>
      <c r="AE76" s="970"/>
      <c r="AF76" s="970"/>
      <c r="AG76" s="970"/>
      <c r="AH76" s="970"/>
      <c r="AI76" s="970"/>
      <c r="AJ76" s="970"/>
      <c r="AK76" s="970"/>
      <c r="AL76" s="974"/>
    </row>
    <row r="77" spans="2:38">
      <c r="E77" s="970"/>
      <c r="F77" s="970"/>
      <c r="G77" s="970"/>
      <c r="H77" s="970"/>
      <c r="I77" s="970"/>
      <c r="J77" s="970"/>
      <c r="K77" s="970"/>
      <c r="L77" s="970"/>
      <c r="M77" s="970"/>
      <c r="N77" s="970"/>
      <c r="O77" s="970"/>
      <c r="P77" s="970"/>
      <c r="Q77" s="970"/>
      <c r="R77" s="970"/>
      <c r="S77" s="970"/>
      <c r="T77" s="970"/>
      <c r="U77" s="970"/>
      <c r="V77" s="970"/>
      <c r="W77" s="970"/>
      <c r="X77" s="970"/>
      <c r="Y77" s="970"/>
      <c r="Z77" s="970"/>
      <c r="AA77" s="970"/>
      <c r="AB77" s="970"/>
      <c r="AC77" s="970"/>
      <c r="AD77" s="970"/>
      <c r="AE77" s="970"/>
      <c r="AF77" s="970"/>
      <c r="AG77" s="970"/>
      <c r="AH77" s="970"/>
      <c r="AI77" s="970"/>
      <c r="AJ77" s="970"/>
      <c r="AK77" s="970"/>
      <c r="AL77" s="974"/>
    </row>
    <row r="78" spans="2:38">
      <c r="E78" s="970"/>
      <c r="F78" s="970"/>
      <c r="G78" s="970"/>
      <c r="H78" s="970"/>
      <c r="I78" s="970"/>
      <c r="J78" s="970"/>
      <c r="K78" s="970"/>
      <c r="L78" s="970"/>
      <c r="M78" s="970"/>
      <c r="N78" s="970"/>
      <c r="O78" s="970"/>
      <c r="P78" s="970"/>
      <c r="Q78" s="970"/>
      <c r="R78" s="970"/>
      <c r="S78" s="970"/>
      <c r="T78" s="970"/>
      <c r="U78" s="970"/>
      <c r="V78" s="970"/>
      <c r="W78" s="970"/>
      <c r="X78" s="970"/>
      <c r="Y78" s="970"/>
      <c r="Z78" s="970"/>
      <c r="AA78" s="970"/>
      <c r="AB78" s="970"/>
      <c r="AC78" s="970"/>
      <c r="AD78" s="970"/>
      <c r="AE78" s="970"/>
      <c r="AF78" s="970"/>
      <c r="AG78" s="970"/>
      <c r="AH78" s="970"/>
      <c r="AI78" s="970"/>
      <c r="AJ78" s="970"/>
      <c r="AK78" s="970"/>
      <c r="AL78" s="974"/>
    </row>
    <row r="79" spans="2:38">
      <c r="E79" s="970"/>
      <c r="F79" s="970"/>
      <c r="G79" s="970"/>
      <c r="H79" s="970"/>
      <c r="I79" s="970"/>
      <c r="J79" s="970"/>
      <c r="K79" s="970"/>
      <c r="L79" s="970"/>
      <c r="M79" s="970"/>
      <c r="N79" s="970"/>
      <c r="O79" s="970"/>
      <c r="P79" s="970"/>
      <c r="Q79" s="970"/>
      <c r="R79" s="970"/>
      <c r="S79" s="970"/>
      <c r="T79" s="970"/>
      <c r="U79" s="970"/>
      <c r="V79" s="970"/>
      <c r="W79" s="970"/>
      <c r="X79" s="970"/>
      <c r="Y79" s="970"/>
      <c r="Z79" s="970"/>
      <c r="AA79" s="970"/>
      <c r="AB79" s="970"/>
      <c r="AC79" s="970"/>
      <c r="AD79" s="970"/>
      <c r="AE79" s="970"/>
      <c r="AF79" s="970"/>
      <c r="AG79" s="970"/>
      <c r="AH79" s="970"/>
      <c r="AI79" s="970"/>
      <c r="AJ79" s="970"/>
      <c r="AK79" s="970"/>
      <c r="AL79" s="974"/>
    </row>
    <row r="80" spans="2:38">
      <c r="E80" s="970"/>
      <c r="F80" s="970"/>
      <c r="G80" s="970"/>
      <c r="H80" s="970"/>
      <c r="I80" s="970"/>
      <c r="J80" s="970"/>
      <c r="K80" s="970"/>
      <c r="L80" s="970"/>
      <c r="M80" s="970"/>
      <c r="N80" s="970"/>
      <c r="O80" s="970"/>
      <c r="P80" s="970"/>
      <c r="Q80" s="970"/>
      <c r="R80" s="970"/>
      <c r="S80" s="970"/>
      <c r="T80" s="970"/>
      <c r="U80" s="970"/>
      <c r="V80" s="970"/>
      <c r="W80" s="970"/>
      <c r="X80" s="970"/>
      <c r="Y80" s="970"/>
      <c r="Z80" s="970"/>
      <c r="AA80" s="970"/>
      <c r="AB80" s="970"/>
      <c r="AC80" s="970"/>
      <c r="AD80" s="970"/>
      <c r="AE80" s="970"/>
      <c r="AF80" s="970"/>
      <c r="AG80" s="970"/>
      <c r="AH80" s="970"/>
      <c r="AI80" s="970"/>
      <c r="AJ80" s="970"/>
      <c r="AK80" s="970"/>
      <c r="AL80" s="974"/>
    </row>
    <row r="81" spans="5:38">
      <c r="E81" s="970"/>
      <c r="F81" s="970"/>
      <c r="G81" s="970"/>
      <c r="H81" s="970"/>
      <c r="I81" s="970"/>
      <c r="J81" s="970"/>
      <c r="K81" s="970"/>
      <c r="L81" s="970"/>
      <c r="M81" s="970"/>
      <c r="N81" s="970"/>
      <c r="O81" s="970"/>
      <c r="P81" s="970"/>
      <c r="Q81" s="970"/>
      <c r="R81" s="970"/>
      <c r="S81" s="970"/>
      <c r="T81" s="970"/>
      <c r="U81" s="970"/>
      <c r="V81" s="970"/>
      <c r="W81" s="970"/>
      <c r="X81" s="970"/>
      <c r="Y81" s="970"/>
      <c r="Z81" s="970"/>
      <c r="AA81" s="970"/>
      <c r="AB81" s="970"/>
      <c r="AC81" s="970"/>
      <c r="AD81" s="970"/>
      <c r="AE81" s="970"/>
      <c r="AF81" s="970"/>
      <c r="AG81" s="970"/>
      <c r="AH81" s="970"/>
      <c r="AI81" s="970"/>
      <c r="AJ81" s="970"/>
      <c r="AK81" s="970"/>
      <c r="AL81" s="974"/>
    </row>
    <row r="82" spans="5:38">
      <c r="E82" s="970"/>
      <c r="F82" s="970"/>
      <c r="G82" s="970"/>
      <c r="H82" s="970"/>
      <c r="I82" s="970"/>
      <c r="J82" s="970"/>
      <c r="K82" s="970"/>
      <c r="L82" s="970"/>
      <c r="M82" s="970"/>
      <c r="N82" s="970"/>
      <c r="O82" s="970"/>
      <c r="P82" s="970"/>
      <c r="Q82" s="970"/>
      <c r="R82" s="970"/>
      <c r="S82" s="970"/>
      <c r="T82" s="970"/>
      <c r="U82" s="970"/>
      <c r="V82" s="970"/>
      <c r="W82" s="970"/>
      <c r="X82" s="970"/>
      <c r="Y82" s="970"/>
      <c r="Z82" s="970"/>
      <c r="AA82" s="970"/>
      <c r="AB82" s="970"/>
      <c r="AC82" s="970"/>
      <c r="AD82" s="970"/>
      <c r="AE82" s="970"/>
      <c r="AF82" s="970"/>
      <c r="AG82" s="970"/>
      <c r="AH82" s="970"/>
      <c r="AI82" s="970"/>
      <c r="AJ82" s="970"/>
      <c r="AK82" s="970"/>
      <c r="AL82" s="974"/>
    </row>
    <row r="83" spans="5:38">
      <c r="E83" s="970"/>
      <c r="F83" s="970"/>
      <c r="G83" s="970"/>
      <c r="H83" s="970"/>
      <c r="I83" s="970"/>
      <c r="J83" s="970"/>
      <c r="K83" s="970"/>
      <c r="L83" s="970"/>
      <c r="M83" s="970"/>
      <c r="N83" s="970"/>
      <c r="O83" s="970"/>
      <c r="P83" s="970"/>
      <c r="Q83" s="970"/>
      <c r="R83" s="970"/>
      <c r="S83" s="970"/>
      <c r="T83" s="970"/>
      <c r="U83" s="970"/>
      <c r="V83" s="970"/>
      <c r="W83" s="970"/>
      <c r="X83" s="970"/>
      <c r="Y83" s="970"/>
      <c r="Z83" s="970"/>
      <c r="AA83" s="970"/>
      <c r="AB83" s="970"/>
      <c r="AC83" s="970"/>
      <c r="AD83" s="970"/>
      <c r="AE83" s="970"/>
      <c r="AF83" s="970"/>
      <c r="AG83" s="970"/>
      <c r="AH83" s="970"/>
      <c r="AI83" s="970"/>
      <c r="AJ83" s="970"/>
      <c r="AK83" s="970"/>
      <c r="AL83" s="974"/>
    </row>
    <row r="84" spans="5:38">
      <c r="E84" s="970"/>
      <c r="F84" s="970"/>
      <c r="G84" s="970"/>
      <c r="H84" s="970"/>
      <c r="I84" s="970"/>
      <c r="J84" s="970"/>
      <c r="K84" s="970"/>
      <c r="L84" s="970"/>
      <c r="M84" s="970"/>
      <c r="N84" s="970"/>
      <c r="O84" s="970"/>
      <c r="P84" s="970"/>
      <c r="Q84" s="970"/>
      <c r="R84" s="970"/>
      <c r="S84" s="970"/>
      <c r="T84" s="970"/>
      <c r="U84" s="970"/>
      <c r="V84" s="970"/>
      <c r="W84" s="970"/>
      <c r="X84" s="970"/>
      <c r="Y84" s="970"/>
      <c r="Z84" s="970"/>
      <c r="AA84" s="970"/>
      <c r="AB84" s="970"/>
      <c r="AC84" s="970"/>
      <c r="AD84" s="970"/>
      <c r="AE84" s="970"/>
      <c r="AF84" s="970"/>
      <c r="AG84" s="970"/>
      <c r="AH84" s="970"/>
      <c r="AI84" s="970"/>
      <c r="AJ84" s="970"/>
      <c r="AK84" s="970"/>
      <c r="AL84" s="974"/>
    </row>
    <row r="85" spans="5:38">
      <c r="E85" s="970"/>
      <c r="F85" s="970"/>
      <c r="G85" s="970"/>
      <c r="H85" s="970"/>
      <c r="I85" s="970"/>
      <c r="J85" s="970"/>
      <c r="K85" s="970"/>
      <c r="L85" s="970"/>
      <c r="M85" s="970"/>
      <c r="N85" s="970"/>
      <c r="O85" s="970"/>
      <c r="P85" s="970"/>
      <c r="Q85" s="970"/>
      <c r="R85" s="970"/>
      <c r="S85" s="970"/>
      <c r="T85" s="970"/>
      <c r="U85" s="970"/>
      <c r="V85" s="970"/>
      <c r="W85" s="970"/>
      <c r="X85" s="970"/>
      <c r="Y85" s="970"/>
      <c r="Z85" s="970"/>
      <c r="AA85" s="970"/>
      <c r="AB85" s="970"/>
      <c r="AC85" s="970"/>
      <c r="AD85" s="970"/>
      <c r="AE85" s="970"/>
      <c r="AF85" s="970"/>
      <c r="AG85" s="970"/>
      <c r="AH85" s="970"/>
      <c r="AI85" s="970"/>
      <c r="AJ85" s="970"/>
      <c r="AK85" s="970"/>
      <c r="AL85" s="974"/>
    </row>
    <row r="86" spans="5:38">
      <c r="E86" s="970"/>
      <c r="F86" s="970"/>
      <c r="G86" s="970"/>
      <c r="H86" s="970"/>
      <c r="I86" s="970"/>
      <c r="J86" s="970"/>
      <c r="K86" s="970"/>
      <c r="L86" s="970"/>
      <c r="M86" s="970"/>
      <c r="N86" s="970"/>
      <c r="O86" s="970"/>
      <c r="P86" s="970"/>
      <c r="Q86" s="970"/>
      <c r="R86" s="970"/>
      <c r="S86" s="970"/>
      <c r="T86" s="970"/>
      <c r="U86" s="970"/>
      <c r="V86" s="970"/>
      <c r="W86" s="970"/>
      <c r="X86" s="970"/>
      <c r="Y86" s="970"/>
      <c r="Z86" s="970"/>
      <c r="AA86" s="970"/>
      <c r="AB86" s="970"/>
      <c r="AC86" s="970"/>
      <c r="AD86" s="970"/>
      <c r="AE86" s="970"/>
      <c r="AF86" s="970"/>
      <c r="AG86" s="970"/>
      <c r="AH86" s="970"/>
      <c r="AI86" s="970"/>
      <c r="AJ86" s="970"/>
      <c r="AK86" s="970"/>
      <c r="AL86" s="974"/>
    </row>
    <row r="87" spans="5:38">
      <c r="E87" s="970"/>
      <c r="F87" s="970"/>
      <c r="G87" s="970"/>
      <c r="H87" s="970"/>
      <c r="I87" s="970"/>
      <c r="J87" s="970"/>
      <c r="K87" s="970"/>
      <c r="L87" s="970"/>
      <c r="M87" s="970"/>
      <c r="N87" s="970"/>
      <c r="O87" s="970"/>
      <c r="P87" s="970"/>
      <c r="Q87" s="970"/>
      <c r="R87" s="970"/>
      <c r="S87" s="970"/>
      <c r="T87" s="970"/>
      <c r="U87" s="970"/>
      <c r="V87" s="970"/>
      <c r="W87" s="970"/>
      <c r="X87" s="970"/>
      <c r="Y87" s="970"/>
      <c r="Z87" s="970"/>
      <c r="AA87" s="970"/>
      <c r="AB87" s="970"/>
      <c r="AC87" s="970"/>
      <c r="AD87" s="970"/>
      <c r="AE87" s="970"/>
      <c r="AF87" s="970"/>
      <c r="AG87" s="970"/>
      <c r="AH87" s="970"/>
      <c r="AI87" s="970"/>
      <c r="AJ87" s="970"/>
      <c r="AK87" s="970"/>
      <c r="AL87" s="974"/>
    </row>
    <row r="88" spans="5:38">
      <c r="E88" s="970"/>
      <c r="F88" s="970"/>
      <c r="G88" s="970"/>
      <c r="H88" s="970"/>
      <c r="I88" s="970"/>
      <c r="J88" s="970"/>
      <c r="K88" s="970"/>
      <c r="L88" s="970"/>
      <c r="M88" s="970"/>
      <c r="N88" s="970"/>
      <c r="O88" s="970"/>
      <c r="P88" s="970"/>
      <c r="Q88" s="970"/>
      <c r="R88" s="970"/>
      <c r="S88" s="970"/>
      <c r="T88" s="970"/>
      <c r="U88" s="970"/>
      <c r="V88" s="970"/>
      <c r="W88" s="970"/>
      <c r="X88" s="970"/>
      <c r="Y88" s="970"/>
      <c r="Z88" s="970"/>
      <c r="AA88" s="970"/>
      <c r="AB88" s="970"/>
      <c r="AC88" s="970"/>
      <c r="AD88" s="970"/>
      <c r="AE88" s="970"/>
      <c r="AF88" s="970"/>
      <c r="AG88" s="970"/>
      <c r="AH88" s="970"/>
      <c r="AI88" s="970"/>
      <c r="AJ88" s="970"/>
      <c r="AK88" s="970"/>
      <c r="AL88" s="974"/>
    </row>
    <row r="89" spans="5:38">
      <c r="E89" s="970"/>
      <c r="F89" s="970"/>
      <c r="G89" s="970"/>
      <c r="H89" s="970"/>
      <c r="I89" s="970"/>
      <c r="J89" s="970"/>
      <c r="K89" s="970"/>
      <c r="L89" s="970"/>
      <c r="M89" s="970"/>
      <c r="N89" s="970"/>
      <c r="O89" s="970"/>
      <c r="P89" s="970"/>
      <c r="Q89" s="970"/>
      <c r="R89" s="970"/>
      <c r="S89" s="970"/>
      <c r="T89" s="970"/>
      <c r="U89" s="970"/>
      <c r="V89" s="970"/>
      <c r="W89" s="970"/>
      <c r="X89" s="970"/>
      <c r="Y89" s="970"/>
      <c r="Z89" s="970"/>
      <c r="AA89" s="970"/>
      <c r="AB89" s="970"/>
      <c r="AC89" s="970"/>
      <c r="AD89" s="970"/>
      <c r="AE89" s="970"/>
      <c r="AF89" s="970"/>
      <c r="AG89" s="970"/>
      <c r="AH89" s="970"/>
      <c r="AI89" s="970"/>
      <c r="AJ89" s="970"/>
      <c r="AK89" s="970"/>
      <c r="AL89" s="974"/>
    </row>
    <row r="90" spans="5:38">
      <c r="E90" s="970"/>
      <c r="F90" s="970"/>
      <c r="G90" s="970"/>
      <c r="H90" s="970"/>
      <c r="I90" s="970"/>
      <c r="J90" s="970"/>
      <c r="K90" s="970"/>
      <c r="L90" s="970"/>
      <c r="M90" s="970"/>
      <c r="N90" s="970"/>
      <c r="O90" s="970"/>
      <c r="P90" s="970"/>
      <c r="Q90" s="970"/>
      <c r="R90" s="970"/>
      <c r="S90" s="970"/>
      <c r="T90" s="970"/>
      <c r="U90" s="970"/>
      <c r="V90" s="970"/>
      <c r="W90" s="970"/>
      <c r="X90" s="970"/>
      <c r="Y90" s="970"/>
      <c r="Z90" s="970"/>
      <c r="AA90" s="970"/>
      <c r="AB90" s="970"/>
      <c r="AC90" s="970"/>
      <c r="AD90" s="970"/>
      <c r="AE90" s="970"/>
      <c r="AF90" s="970"/>
      <c r="AG90" s="970"/>
      <c r="AH90" s="970"/>
      <c r="AI90" s="970"/>
      <c r="AJ90" s="970"/>
      <c r="AK90" s="970"/>
      <c r="AL90" s="974"/>
    </row>
    <row r="91" spans="5:38">
      <c r="E91" s="970"/>
      <c r="F91" s="970"/>
      <c r="G91" s="970"/>
      <c r="H91" s="970"/>
      <c r="I91" s="970"/>
      <c r="J91" s="970"/>
      <c r="K91" s="970"/>
      <c r="L91" s="970"/>
      <c r="M91" s="970"/>
      <c r="N91" s="970"/>
      <c r="O91" s="970"/>
      <c r="P91" s="970"/>
      <c r="Q91" s="970"/>
      <c r="R91" s="970"/>
      <c r="S91" s="970"/>
      <c r="T91" s="970"/>
      <c r="U91" s="970"/>
      <c r="V91" s="970"/>
      <c r="W91" s="970"/>
      <c r="X91" s="970"/>
      <c r="Y91" s="970"/>
      <c r="Z91" s="970"/>
      <c r="AA91" s="970"/>
      <c r="AB91" s="970"/>
      <c r="AC91" s="970"/>
      <c r="AD91" s="970"/>
      <c r="AE91" s="970"/>
      <c r="AF91" s="970"/>
      <c r="AG91" s="970"/>
      <c r="AH91" s="970"/>
      <c r="AI91" s="970"/>
      <c r="AJ91" s="970"/>
      <c r="AK91" s="970"/>
    </row>
    <row r="92" spans="5:38">
      <c r="E92" s="970"/>
      <c r="F92" s="970"/>
      <c r="G92" s="970"/>
      <c r="H92" s="970"/>
      <c r="I92" s="970"/>
      <c r="J92" s="970"/>
      <c r="K92" s="970"/>
      <c r="L92" s="970"/>
      <c r="M92" s="970"/>
      <c r="N92" s="970"/>
      <c r="O92" s="970"/>
      <c r="P92" s="970"/>
      <c r="Q92" s="970"/>
      <c r="R92" s="970"/>
      <c r="S92" s="970"/>
      <c r="T92" s="970"/>
      <c r="U92" s="970"/>
      <c r="V92" s="970"/>
      <c r="W92" s="970"/>
      <c r="X92" s="970"/>
      <c r="Y92" s="970"/>
      <c r="Z92" s="970"/>
      <c r="AA92" s="970"/>
      <c r="AB92" s="970"/>
      <c r="AC92" s="970"/>
      <c r="AD92" s="970"/>
      <c r="AE92" s="970"/>
      <c r="AF92" s="970"/>
      <c r="AG92" s="970"/>
      <c r="AH92" s="970"/>
      <c r="AI92" s="970"/>
      <c r="AJ92" s="970"/>
      <c r="AK92" s="970"/>
    </row>
    <row r="93" spans="5:38">
      <c r="E93" s="970"/>
      <c r="F93" s="970"/>
      <c r="G93" s="970"/>
      <c r="H93" s="970"/>
      <c r="I93" s="970"/>
      <c r="J93" s="970"/>
      <c r="K93" s="970"/>
      <c r="L93" s="970"/>
      <c r="M93" s="970"/>
      <c r="N93" s="970"/>
      <c r="O93" s="970"/>
      <c r="P93" s="970"/>
      <c r="Q93" s="970"/>
      <c r="R93" s="970"/>
      <c r="S93" s="970"/>
      <c r="T93" s="970"/>
      <c r="U93" s="970"/>
      <c r="V93" s="970"/>
      <c r="W93" s="970"/>
      <c r="X93" s="970"/>
      <c r="Y93" s="970"/>
      <c r="Z93" s="970"/>
      <c r="AA93" s="970"/>
      <c r="AB93" s="970"/>
      <c r="AC93" s="970"/>
      <c r="AD93" s="970"/>
      <c r="AE93" s="970"/>
      <c r="AF93" s="970"/>
      <c r="AG93" s="970"/>
      <c r="AH93" s="970"/>
      <c r="AI93" s="970"/>
      <c r="AJ93" s="970"/>
      <c r="AK93" s="970"/>
    </row>
    <row r="94" spans="5:38">
      <c r="E94" s="970"/>
      <c r="F94" s="970"/>
      <c r="G94" s="970"/>
      <c r="H94" s="970"/>
      <c r="I94" s="970"/>
      <c r="J94" s="970"/>
      <c r="K94" s="970"/>
      <c r="L94" s="970"/>
      <c r="M94" s="970"/>
      <c r="N94" s="970"/>
      <c r="O94" s="970"/>
      <c r="P94" s="970"/>
      <c r="Q94" s="970"/>
      <c r="R94" s="970"/>
      <c r="S94" s="970"/>
      <c r="T94" s="970"/>
      <c r="U94" s="970"/>
      <c r="V94" s="970"/>
      <c r="W94" s="970"/>
      <c r="X94" s="970"/>
      <c r="Y94" s="970"/>
      <c r="Z94" s="970"/>
      <c r="AA94" s="970"/>
      <c r="AB94" s="970"/>
      <c r="AC94" s="970"/>
      <c r="AD94" s="970"/>
      <c r="AE94" s="970"/>
      <c r="AF94" s="970"/>
      <c r="AG94" s="970"/>
      <c r="AH94" s="970"/>
      <c r="AI94" s="970"/>
      <c r="AJ94" s="970"/>
      <c r="AK94" s="970"/>
    </row>
    <row r="95" spans="5:38">
      <c r="E95" s="970"/>
      <c r="F95" s="970"/>
      <c r="G95" s="970"/>
      <c r="H95" s="970"/>
      <c r="I95" s="970"/>
      <c r="J95" s="970"/>
      <c r="K95" s="970"/>
      <c r="L95" s="970"/>
      <c r="M95" s="970"/>
      <c r="N95" s="970"/>
      <c r="O95" s="970"/>
      <c r="P95" s="970"/>
      <c r="Q95" s="970"/>
      <c r="R95" s="970"/>
      <c r="S95" s="970"/>
      <c r="T95" s="970"/>
      <c r="U95" s="970"/>
      <c r="V95" s="970"/>
      <c r="W95" s="970"/>
      <c r="X95" s="970"/>
      <c r="Y95" s="970"/>
      <c r="Z95" s="970"/>
      <c r="AA95" s="970"/>
      <c r="AB95" s="970"/>
      <c r="AC95" s="970"/>
      <c r="AD95" s="970"/>
      <c r="AE95" s="970"/>
      <c r="AF95" s="970"/>
      <c r="AG95" s="970"/>
      <c r="AH95" s="970"/>
      <c r="AI95" s="970"/>
      <c r="AJ95" s="970"/>
      <c r="AK95" s="970"/>
    </row>
    <row r="96" spans="5:38">
      <c r="E96" s="970"/>
      <c r="F96" s="970"/>
      <c r="G96" s="970"/>
      <c r="H96" s="970"/>
      <c r="I96" s="970"/>
      <c r="J96" s="970"/>
      <c r="K96" s="970"/>
      <c r="L96" s="970"/>
      <c r="M96" s="970"/>
      <c r="N96" s="970"/>
      <c r="O96" s="970"/>
      <c r="P96" s="970"/>
      <c r="Q96" s="970"/>
      <c r="R96" s="970"/>
      <c r="S96" s="970"/>
      <c r="T96" s="970"/>
      <c r="U96" s="970"/>
      <c r="V96" s="970"/>
      <c r="W96" s="970"/>
      <c r="X96" s="970"/>
      <c r="Y96" s="970"/>
      <c r="Z96" s="970"/>
      <c r="AA96" s="970"/>
      <c r="AB96" s="970"/>
      <c r="AC96" s="970"/>
      <c r="AD96" s="970"/>
      <c r="AE96" s="970"/>
      <c r="AF96" s="970"/>
      <c r="AG96" s="970"/>
      <c r="AH96" s="970"/>
      <c r="AI96" s="970"/>
      <c r="AJ96" s="970"/>
      <c r="AK96" s="970"/>
    </row>
    <row r="97" spans="5:37">
      <c r="E97" s="970"/>
      <c r="F97" s="970"/>
      <c r="G97" s="970"/>
      <c r="H97" s="970"/>
      <c r="I97" s="970"/>
      <c r="J97" s="970"/>
      <c r="K97" s="970"/>
      <c r="L97" s="970"/>
      <c r="M97" s="970"/>
      <c r="N97" s="970"/>
      <c r="O97" s="970"/>
      <c r="P97" s="970"/>
      <c r="Q97" s="970"/>
      <c r="R97" s="970"/>
      <c r="S97" s="970"/>
      <c r="T97" s="970"/>
      <c r="U97" s="970"/>
      <c r="V97" s="970"/>
      <c r="W97" s="970"/>
      <c r="X97" s="970"/>
      <c r="Y97" s="970"/>
      <c r="Z97" s="970"/>
      <c r="AA97" s="970"/>
      <c r="AB97" s="970"/>
      <c r="AC97" s="970"/>
      <c r="AD97" s="970"/>
      <c r="AE97" s="970"/>
      <c r="AF97" s="970"/>
      <c r="AG97" s="970"/>
      <c r="AH97" s="970"/>
      <c r="AI97" s="970"/>
      <c r="AJ97" s="970"/>
      <c r="AK97" s="970"/>
    </row>
    <row r="98" spans="5:37">
      <c r="E98" s="970"/>
      <c r="F98" s="970"/>
      <c r="G98" s="970"/>
      <c r="H98" s="970"/>
      <c r="I98" s="970"/>
      <c r="J98" s="970"/>
      <c r="K98" s="970"/>
      <c r="L98" s="970"/>
      <c r="M98" s="970"/>
      <c r="N98" s="970"/>
      <c r="O98" s="970"/>
      <c r="P98" s="970"/>
      <c r="Q98" s="970"/>
      <c r="R98" s="970"/>
      <c r="S98" s="970"/>
      <c r="T98" s="970"/>
      <c r="U98" s="970"/>
      <c r="V98" s="970"/>
      <c r="W98" s="970"/>
      <c r="X98" s="970"/>
      <c r="Y98" s="970"/>
      <c r="Z98" s="970"/>
      <c r="AA98" s="970"/>
      <c r="AB98" s="970"/>
      <c r="AC98" s="970"/>
      <c r="AD98" s="970"/>
      <c r="AE98" s="970"/>
      <c r="AF98" s="970"/>
      <c r="AG98" s="970"/>
      <c r="AH98" s="970"/>
      <c r="AI98" s="970"/>
      <c r="AJ98" s="970"/>
      <c r="AK98" s="970"/>
    </row>
    <row r="99" spans="5:37">
      <c r="E99" s="970"/>
      <c r="F99" s="970"/>
      <c r="G99" s="970"/>
      <c r="H99" s="970"/>
      <c r="I99" s="970"/>
      <c r="J99" s="970"/>
      <c r="K99" s="970"/>
      <c r="L99" s="970"/>
      <c r="M99" s="970"/>
      <c r="N99" s="970"/>
      <c r="O99" s="970"/>
      <c r="P99" s="970"/>
      <c r="Q99" s="970"/>
      <c r="R99" s="970"/>
      <c r="S99" s="970"/>
      <c r="T99" s="970"/>
      <c r="U99" s="970"/>
      <c r="V99" s="970"/>
      <c r="W99" s="970"/>
      <c r="X99" s="970"/>
      <c r="Y99" s="970"/>
      <c r="Z99" s="970"/>
      <c r="AA99" s="970"/>
      <c r="AB99" s="970"/>
      <c r="AC99" s="970"/>
      <c r="AD99" s="970"/>
      <c r="AE99" s="970"/>
      <c r="AF99" s="970"/>
      <c r="AG99" s="970"/>
      <c r="AH99" s="970"/>
      <c r="AI99" s="970"/>
      <c r="AJ99" s="970"/>
      <c r="AK99" s="970"/>
    </row>
    <row r="100" spans="5:37">
      <c r="E100" s="970"/>
      <c r="F100" s="970"/>
      <c r="G100" s="970"/>
      <c r="H100" s="970"/>
      <c r="I100" s="970"/>
      <c r="J100" s="970"/>
      <c r="K100" s="970"/>
      <c r="L100" s="970"/>
      <c r="M100" s="970"/>
      <c r="N100" s="970"/>
      <c r="O100" s="970"/>
      <c r="P100" s="970"/>
      <c r="Q100" s="970"/>
      <c r="R100" s="970"/>
      <c r="S100" s="970"/>
      <c r="T100" s="970"/>
      <c r="U100" s="970"/>
      <c r="V100" s="970"/>
      <c r="W100" s="970"/>
      <c r="X100" s="970"/>
      <c r="Y100" s="970"/>
      <c r="Z100" s="970"/>
      <c r="AA100" s="970"/>
      <c r="AB100" s="970"/>
      <c r="AC100" s="970"/>
      <c r="AD100" s="970"/>
      <c r="AE100" s="970"/>
      <c r="AF100" s="970"/>
      <c r="AG100" s="970"/>
      <c r="AH100" s="970"/>
      <c r="AI100" s="970"/>
      <c r="AJ100" s="970"/>
      <c r="AK100" s="970"/>
    </row>
    <row r="101" spans="5:37">
      <c r="E101" s="970"/>
      <c r="F101" s="970"/>
      <c r="G101" s="970"/>
      <c r="H101" s="970"/>
      <c r="I101" s="970"/>
      <c r="J101" s="970"/>
      <c r="K101" s="970"/>
      <c r="L101" s="970"/>
      <c r="M101" s="970"/>
      <c r="N101" s="970"/>
      <c r="O101" s="970"/>
      <c r="P101" s="970"/>
      <c r="Q101" s="970"/>
      <c r="R101" s="970"/>
      <c r="S101" s="970"/>
      <c r="T101" s="970"/>
      <c r="U101" s="970"/>
      <c r="V101" s="970"/>
      <c r="W101" s="970"/>
      <c r="X101" s="970"/>
      <c r="Y101" s="970"/>
      <c r="Z101" s="970"/>
      <c r="AA101" s="970"/>
      <c r="AB101" s="970"/>
      <c r="AC101" s="970"/>
      <c r="AD101" s="970"/>
      <c r="AE101" s="970"/>
      <c r="AF101" s="970"/>
      <c r="AG101" s="970"/>
      <c r="AH101" s="970"/>
      <c r="AI101" s="970"/>
      <c r="AJ101" s="970"/>
      <c r="AK101" s="970"/>
    </row>
    <row r="102" spans="5:37">
      <c r="E102" s="970"/>
      <c r="F102" s="970"/>
      <c r="G102" s="970"/>
      <c r="H102" s="970"/>
      <c r="I102" s="970"/>
      <c r="J102" s="970"/>
      <c r="K102" s="970"/>
      <c r="L102" s="970"/>
      <c r="M102" s="970"/>
      <c r="N102" s="970"/>
      <c r="O102" s="970"/>
      <c r="P102" s="970"/>
      <c r="Q102" s="970"/>
      <c r="R102" s="970"/>
      <c r="S102" s="970"/>
      <c r="T102" s="970"/>
      <c r="U102" s="970"/>
      <c r="V102" s="970"/>
      <c r="W102" s="970"/>
      <c r="X102" s="970"/>
      <c r="Y102" s="970"/>
      <c r="Z102" s="970"/>
      <c r="AA102" s="970"/>
      <c r="AB102" s="970"/>
      <c r="AC102" s="970"/>
      <c r="AD102" s="970"/>
      <c r="AE102" s="970"/>
      <c r="AF102" s="970"/>
      <c r="AG102" s="970"/>
      <c r="AH102" s="970"/>
      <c r="AI102" s="970"/>
      <c r="AJ102" s="970"/>
      <c r="AK102" s="970"/>
    </row>
    <row r="103" spans="5:37">
      <c r="E103" s="970"/>
      <c r="F103" s="970"/>
      <c r="G103" s="970"/>
      <c r="H103" s="970"/>
      <c r="I103" s="970"/>
      <c r="J103" s="970"/>
      <c r="K103" s="970"/>
      <c r="L103" s="970"/>
      <c r="M103" s="970"/>
      <c r="N103" s="970"/>
      <c r="O103" s="970"/>
      <c r="P103" s="970"/>
      <c r="Q103" s="970"/>
      <c r="R103" s="970"/>
      <c r="S103" s="970"/>
      <c r="T103" s="970"/>
      <c r="U103" s="970"/>
      <c r="V103" s="970"/>
      <c r="W103" s="970"/>
      <c r="X103" s="970"/>
      <c r="Y103" s="970"/>
      <c r="Z103" s="970"/>
      <c r="AA103" s="970"/>
      <c r="AB103" s="970"/>
      <c r="AC103" s="970"/>
      <c r="AD103" s="970"/>
      <c r="AE103" s="970"/>
      <c r="AF103" s="970"/>
      <c r="AG103" s="970"/>
      <c r="AH103" s="970"/>
      <c r="AI103" s="970"/>
      <c r="AJ103" s="970"/>
      <c r="AK103" s="970"/>
    </row>
    <row r="104" spans="5:37">
      <c r="E104" s="970"/>
      <c r="F104" s="970"/>
      <c r="G104" s="970"/>
      <c r="H104" s="970"/>
      <c r="I104" s="970"/>
      <c r="J104" s="970"/>
      <c r="K104" s="970"/>
      <c r="L104" s="970"/>
      <c r="M104" s="970"/>
      <c r="N104" s="970"/>
      <c r="O104" s="970"/>
      <c r="P104" s="970"/>
      <c r="Q104" s="970"/>
      <c r="R104" s="970"/>
      <c r="S104" s="970"/>
      <c r="T104" s="970"/>
      <c r="U104" s="970"/>
      <c r="V104" s="970"/>
      <c r="W104" s="970"/>
      <c r="X104" s="970"/>
      <c r="Y104" s="970"/>
      <c r="Z104" s="970"/>
      <c r="AA104" s="970"/>
      <c r="AB104" s="970"/>
      <c r="AC104" s="970"/>
      <c r="AD104" s="970"/>
      <c r="AE104" s="970"/>
      <c r="AF104" s="970"/>
      <c r="AG104" s="970"/>
      <c r="AH104" s="970"/>
      <c r="AI104" s="970"/>
      <c r="AJ104" s="970"/>
      <c r="AK104" s="970"/>
    </row>
    <row r="105" spans="5:37">
      <c r="E105" s="970"/>
      <c r="F105" s="970"/>
      <c r="G105" s="970"/>
      <c r="H105" s="970"/>
      <c r="I105" s="970"/>
      <c r="J105" s="970"/>
      <c r="K105" s="970"/>
      <c r="L105" s="970"/>
      <c r="M105" s="970"/>
      <c r="N105" s="970"/>
      <c r="O105" s="970"/>
      <c r="P105" s="970"/>
      <c r="Q105" s="970"/>
      <c r="R105" s="970"/>
      <c r="S105" s="970"/>
      <c r="T105" s="970"/>
      <c r="U105" s="970"/>
      <c r="V105" s="970"/>
      <c r="W105" s="970"/>
      <c r="X105" s="970"/>
      <c r="Y105" s="970"/>
      <c r="Z105" s="970"/>
      <c r="AA105" s="970"/>
      <c r="AB105" s="970"/>
      <c r="AC105" s="970"/>
      <c r="AD105" s="970"/>
      <c r="AE105" s="970"/>
      <c r="AF105" s="970"/>
      <c r="AG105" s="970"/>
      <c r="AH105" s="970"/>
      <c r="AI105" s="970"/>
      <c r="AJ105" s="970"/>
      <c r="AK105" s="970"/>
    </row>
    <row r="106" spans="5:37">
      <c r="E106" s="970"/>
      <c r="F106" s="970"/>
      <c r="G106" s="970"/>
      <c r="H106" s="970"/>
      <c r="I106" s="970"/>
      <c r="J106" s="970"/>
      <c r="K106" s="970"/>
      <c r="L106" s="970"/>
      <c r="M106" s="970"/>
      <c r="N106" s="970"/>
      <c r="O106" s="970"/>
      <c r="P106" s="970"/>
      <c r="Q106" s="970"/>
      <c r="R106" s="970"/>
      <c r="S106" s="970"/>
      <c r="T106" s="970"/>
      <c r="U106" s="970"/>
      <c r="V106" s="970"/>
      <c r="W106" s="970"/>
      <c r="X106" s="970"/>
      <c r="Y106" s="970"/>
      <c r="Z106" s="970"/>
      <c r="AA106" s="970"/>
      <c r="AB106" s="970"/>
      <c r="AC106" s="970"/>
      <c r="AD106" s="970"/>
      <c r="AE106" s="970"/>
      <c r="AF106" s="970"/>
      <c r="AG106" s="970"/>
      <c r="AH106" s="970"/>
      <c r="AI106" s="970"/>
      <c r="AJ106" s="970"/>
      <c r="AK106" s="970"/>
    </row>
    <row r="107" spans="5:37">
      <c r="E107" s="970"/>
      <c r="F107" s="970"/>
      <c r="G107" s="970"/>
      <c r="H107" s="970"/>
      <c r="I107" s="970"/>
      <c r="J107" s="970"/>
      <c r="K107" s="970"/>
      <c r="L107" s="970"/>
      <c r="M107" s="970"/>
      <c r="N107" s="970"/>
      <c r="O107" s="970"/>
      <c r="P107" s="970"/>
      <c r="Q107" s="970"/>
      <c r="R107" s="970"/>
      <c r="S107" s="970"/>
      <c r="T107" s="970"/>
      <c r="U107" s="970"/>
      <c r="V107" s="970"/>
      <c r="W107" s="970"/>
      <c r="X107" s="970"/>
      <c r="Y107" s="970"/>
      <c r="Z107" s="970"/>
      <c r="AA107" s="970"/>
      <c r="AB107" s="970"/>
      <c r="AC107" s="970"/>
      <c r="AD107" s="970"/>
      <c r="AE107" s="970"/>
      <c r="AF107" s="970"/>
      <c r="AG107" s="970"/>
      <c r="AH107" s="970"/>
      <c r="AI107" s="970"/>
      <c r="AJ107" s="970"/>
      <c r="AK107" s="970"/>
    </row>
    <row r="108" spans="5:37">
      <c r="E108" s="970"/>
      <c r="F108" s="970"/>
      <c r="G108" s="970"/>
      <c r="H108" s="970"/>
      <c r="I108" s="970"/>
      <c r="J108" s="970"/>
      <c r="K108" s="970"/>
      <c r="L108" s="970"/>
      <c r="M108" s="970"/>
      <c r="N108" s="970"/>
      <c r="O108" s="970"/>
      <c r="P108" s="970"/>
      <c r="Q108" s="970"/>
      <c r="R108" s="970"/>
      <c r="S108" s="970"/>
      <c r="T108" s="970"/>
      <c r="U108" s="970"/>
      <c r="V108" s="970"/>
      <c r="W108" s="970"/>
      <c r="X108" s="970"/>
      <c r="Y108" s="970"/>
      <c r="Z108" s="970"/>
      <c r="AA108" s="970"/>
      <c r="AB108" s="970"/>
      <c r="AC108" s="970"/>
      <c r="AD108" s="970"/>
      <c r="AE108" s="970"/>
      <c r="AF108" s="970"/>
      <c r="AG108" s="970"/>
      <c r="AH108" s="970"/>
      <c r="AI108" s="970"/>
      <c r="AJ108" s="970"/>
      <c r="AK108" s="970"/>
    </row>
    <row r="109" spans="5:37">
      <c r="E109" s="970"/>
      <c r="F109" s="970"/>
      <c r="G109" s="970"/>
      <c r="H109" s="970"/>
      <c r="I109" s="970"/>
      <c r="J109" s="970"/>
      <c r="K109" s="970"/>
      <c r="L109" s="970"/>
      <c r="M109" s="970"/>
      <c r="N109" s="970"/>
      <c r="O109" s="970"/>
      <c r="P109" s="970"/>
      <c r="Q109" s="970"/>
      <c r="R109" s="970"/>
      <c r="S109" s="970"/>
      <c r="T109" s="970"/>
      <c r="U109" s="970"/>
      <c r="V109" s="970"/>
      <c r="W109" s="970"/>
      <c r="X109" s="970"/>
      <c r="Y109" s="970"/>
      <c r="Z109" s="970"/>
      <c r="AA109" s="970"/>
      <c r="AB109" s="970"/>
      <c r="AC109" s="970"/>
      <c r="AD109" s="970"/>
      <c r="AE109" s="970"/>
      <c r="AF109" s="970"/>
      <c r="AG109" s="970"/>
      <c r="AH109" s="970"/>
      <c r="AI109" s="970"/>
      <c r="AJ109" s="970"/>
      <c r="AK109" s="970"/>
    </row>
    <row r="110" spans="5:37">
      <c r="E110" s="970"/>
      <c r="F110" s="970"/>
      <c r="G110" s="970"/>
      <c r="H110" s="970"/>
      <c r="I110" s="970"/>
      <c r="J110" s="970"/>
      <c r="K110" s="970"/>
      <c r="L110" s="970"/>
      <c r="M110" s="970"/>
      <c r="N110" s="970"/>
      <c r="O110" s="970"/>
      <c r="P110" s="970"/>
      <c r="Q110" s="970"/>
      <c r="R110" s="970"/>
      <c r="S110" s="970"/>
      <c r="T110" s="970"/>
      <c r="U110" s="970"/>
      <c r="V110" s="970"/>
      <c r="W110" s="970"/>
      <c r="X110" s="970"/>
      <c r="Y110" s="970"/>
      <c r="Z110" s="970"/>
      <c r="AA110" s="970"/>
      <c r="AB110" s="970"/>
      <c r="AC110" s="970"/>
      <c r="AD110" s="970"/>
      <c r="AE110" s="970"/>
      <c r="AF110" s="970"/>
      <c r="AG110" s="970"/>
      <c r="AH110" s="970"/>
      <c r="AI110" s="970"/>
      <c r="AJ110" s="970"/>
      <c r="AK110" s="970"/>
    </row>
    <row r="111" spans="5:37">
      <c r="E111" s="970"/>
      <c r="F111" s="970"/>
      <c r="G111" s="970"/>
      <c r="H111" s="970"/>
      <c r="I111" s="970"/>
      <c r="J111" s="970"/>
      <c r="K111" s="970"/>
      <c r="L111" s="970"/>
      <c r="M111" s="970"/>
      <c r="N111" s="970"/>
      <c r="O111" s="970"/>
      <c r="P111" s="970"/>
      <c r="Q111" s="970"/>
      <c r="R111" s="970"/>
      <c r="S111" s="970"/>
      <c r="T111" s="970"/>
      <c r="U111" s="970"/>
      <c r="V111" s="970"/>
      <c r="W111" s="970"/>
      <c r="X111" s="970"/>
      <c r="Y111" s="970"/>
      <c r="Z111" s="970"/>
      <c r="AA111" s="970"/>
      <c r="AB111" s="970"/>
      <c r="AC111" s="970"/>
      <c r="AD111" s="970"/>
      <c r="AE111" s="970"/>
      <c r="AF111" s="970"/>
      <c r="AG111" s="970"/>
      <c r="AH111" s="970"/>
      <c r="AI111" s="970"/>
      <c r="AJ111" s="970"/>
      <c r="AK111" s="970"/>
    </row>
    <row r="112" spans="5:37">
      <c r="E112" s="970"/>
      <c r="F112" s="970"/>
      <c r="G112" s="970"/>
      <c r="H112" s="970"/>
      <c r="I112" s="970"/>
      <c r="J112" s="970"/>
      <c r="K112" s="970"/>
      <c r="L112" s="970"/>
      <c r="M112" s="970"/>
      <c r="N112" s="970"/>
      <c r="O112" s="970"/>
      <c r="P112" s="970"/>
      <c r="Q112" s="970"/>
      <c r="R112" s="970"/>
      <c r="S112" s="970"/>
      <c r="T112" s="970"/>
      <c r="U112" s="970"/>
      <c r="V112" s="970"/>
      <c r="W112" s="970"/>
      <c r="X112" s="970"/>
      <c r="Y112" s="970"/>
      <c r="Z112" s="970"/>
      <c r="AA112" s="970"/>
      <c r="AB112" s="970"/>
      <c r="AC112" s="970"/>
      <c r="AD112" s="970"/>
      <c r="AE112" s="970"/>
      <c r="AF112" s="970"/>
      <c r="AG112" s="970"/>
      <c r="AH112" s="970"/>
      <c r="AI112" s="970"/>
      <c r="AJ112" s="970"/>
      <c r="AK112" s="970"/>
    </row>
    <row r="113" spans="5:37">
      <c r="E113" s="970"/>
      <c r="F113" s="970"/>
      <c r="G113" s="970"/>
      <c r="H113" s="970"/>
      <c r="I113" s="970"/>
      <c r="J113" s="970"/>
      <c r="K113" s="970"/>
      <c r="L113" s="970"/>
      <c r="M113" s="970"/>
      <c r="N113" s="970"/>
      <c r="O113" s="970"/>
      <c r="P113" s="970"/>
      <c r="Q113" s="970"/>
      <c r="R113" s="970"/>
      <c r="S113" s="970"/>
      <c r="T113" s="970"/>
      <c r="U113" s="970"/>
      <c r="V113" s="970"/>
      <c r="W113" s="970"/>
      <c r="X113" s="970"/>
      <c r="Y113" s="970"/>
      <c r="Z113" s="970"/>
      <c r="AA113" s="970"/>
      <c r="AB113" s="970"/>
      <c r="AC113" s="970"/>
      <c r="AD113" s="970"/>
      <c r="AE113" s="970"/>
      <c r="AF113" s="970"/>
      <c r="AG113" s="970"/>
      <c r="AH113" s="970"/>
      <c r="AI113" s="970"/>
      <c r="AJ113" s="970"/>
      <c r="AK113" s="970"/>
    </row>
    <row r="114" spans="5:37">
      <c r="E114" s="970"/>
      <c r="F114" s="970"/>
      <c r="G114" s="970"/>
      <c r="H114" s="970"/>
      <c r="I114" s="970"/>
      <c r="J114" s="970"/>
      <c r="K114" s="970"/>
      <c r="L114" s="970"/>
      <c r="M114" s="970"/>
      <c r="N114" s="970"/>
      <c r="O114" s="970"/>
      <c r="P114" s="970"/>
      <c r="Q114" s="970"/>
      <c r="R114" s="970"/>
      <c r="S114" s="970"/>
      <c r="T114" s="970"/>
      <c r="U114" s="970"/>
      <c r="V114" s="970"/>
      <c r="W114" s="970"/>
      <c r="X114" s="970"/>
      <c r="Y114" s="970"/>
      <c r="Z114" s="970"/>
      <c r="AA114" s="970"/>
      <c r="AB114" s="970"/>
      <c r="AC114" s="970"/>
      <c r="AD114" s="970"/>
      <c r="AE114" s="970"/>
      <c r="AF114" s="970"/>
      <c r="AG114" s="970"/>
      <c r="AH114" s="970"/>
      <c r="AI114" s="970"/>
      <c r="AJ114" s="970"/>
      <c r="AK114" s="970"/>
    </row>
  </sheetData>
  <mergeCells count="162">
    <mergeCell ref="AP3:BB3"/>
    <mergeCell ref="BC3:BF3"/>
    <mergeCell ref="BR3:BU3"/>
    <mergeCell ref="BG3:BQ3"/>
    <mergeCell ref="E60:I60"/>
    <mergeCell ref="J60:T60"/>
    <mergeCell ref="U60:Y60"/>
    <mergeCell ref="Z60:AK60"/>
    <mergeCell ref="E58:I59"/>
    <mergeCell ref="J58:Z59"/>
    <mergeCell ref="AA58:AE58"/>
    <mergeCell ref="AF58:AK58"/>
    <mergeCell ref="AA59:AE59"/>
    <mergeCell ref="AF59:AK59"/>
    <mergeCell ref="E54:G54"/>
    <mergeCell ref="H54:I54"/>
    <mergeCell ref="E55:I55"/>
    <mergeCell ref="J55:Z55"/>
    <mergeCell ref="AA55:AE55"/>
    <mergeCell ref="AF55:AK55"/>
    <mergeCell ref="E49:J49"/>
    <mergeCell ref="K49:AB49"/>
    <mergeCell ref="AC49:AE49"/>
    <mergeCell ref="AF49:AH49"/>
    <mergeCell ref="AH67:AK67"/>
    <mergeCell ref="F67:R67"/>
    <mergeCell ref="S67:V67"/>
    <mergeCell ref="W67:AG67"/>
    <mergeCell ref="E56:I56"/>
    <mergeCell ref="J56:Z56"/>
    <mergeCell ref="AA56:AE56"/>
    <mergeCell ref="AF56:AK56"/>
    <mergeCell ref="E57:I57"/>
    <mergeCell ref="J57:Z57"/>
    <mergeCell ref="AA57:AE57"/>
    <mergeCell ref="AF57:AK57"/>
    <mergeCell ref="AI49:AK49"/>
    <mergeCell ref="E61:I66"/>
    <mergeCell ref="J61:AK66"/>
    <mergeCell ref="E47:J47"/>
    <mergeCell ref="K47:AB47"/>
    <mergeCell ref="AC47:AE47"/>
    <mergeCell ref="AF47:AH47"/>
    <mergeCell ref="AI47:AK47"/>
    <mergeCell ref="E48:J48"/>
    <mergeCell ref="K48:Q48"/>
    <mergeCell ref="R48:U48"/>
    <mergeCell ref="V48:Y48"/>
    <mergeCell ref="Z48:AC48"/>
    <mergeCell ref="AD48:AK48"/>
    <mergeCell ref="E46:J46"/>
    <mergeCell ref="E45:J45"/>
    <mergeCell ref="K45:AB45"/>
    <mergeCell ref="AC45:AE45"/>
    <mergeCell ref="AF45:AH45"/>
    <mergeCell ref="AI45:AK45"/>
    <mergeCell ref="K44:Q44"/>
    <mergeCell ref="R44:U44"/>
    <mergeCell ref="V44:Y44"/>
    <mergeCell ref="Z44:AC44"/>
    <mergeCell ref="AD44:AK44"/>
    <mergeCell ref="K46:Q46"/>
    <mergeCell ref="R46:U46"/>
    <mergeCell ref="V46:Y46"/>
    <mergeCell ref="Z46:AC46"/>
    <mergeCell ref="AD46:AK46"/>
    <mergeCell ref="E43:J43"/>
    <mergeCell ref="K43:AB43"/>
    <mergeCell ref="AC43:AE43"/>
    <mergeCell ref="AF43:AH43"/>
    <mergeCell ref="AI43:AK43"/>
    <mergeCell ref="E44:J44"/>
    <mergeCell ref="E29:I34"/>
    <mergeCell ref="J29:AK34"/>
    <mergeCell ref="E36:I40"/>
    <mergeCell ref="J36:AK40"/>
    <mergeCell ref="E42:J42"/>
    <mergeCell ref="K42:Q42"/>
    <mergeCell ref="R42:U42"/>
    <mergeCell ref="V42:Y42"/>
    <mergeCell ref="Z42:AC42"/>
    <mergeCell ref="AD42:AK42"/>
    <mergeCell ref="E26:I26"/>
    <mergeCell ref="J26:N26"/>
    <mergeCell ref="P26:U26"/>
    <mergeCell ref="V26:AK26"/>
    <mergeCell ref="E27:I27"/>
    <mergeCell ref="J27:N27"/>
    <mergeCell ref="P27:U27"/>
    <mergeCell ref="V27:AK27"/>
    <mergeCell ref="P24:U24"/>
    <mergeCell ref="V24:AK24"/>
    <mergeCell ref="E25:I25"/>
    <mergeCell ref="J25:N25"/>
    <mergeCell ref="P25:U25"/>
    <mergeCell ref="V25:AK25"/>
    <mergeCell ref="E21:I21"/>
    <mergeCell ref="J21:N21"/>
    <mergeCell ref="E22:I22"/>
    <mergeCell ref="J22:N22"/>
    <mergeCell ref="E24:I24"/>
    <mergeCell ref="J24:N24"/>
    <mergeCell ref="E17:I17"/>
    <mergeCell ref="J17:Z17"/>
    <mergeCell ref="AA17:AE17"/>
    <mergeCell ref="AC21:AG21"/>
    <mergeCell ref="AF17:AK17"/>
    <mergeCell ref="E18:I19"/>
    <mergeCell ref="J18:Z19"/>
    <mergeCell ref="AA18:AE18"/>
    <mergeCell ref="AF18:AK18"/>
    <mergeCell ref="AA19:AE19"/>
    <mergeCell ref="AF19:AK19"/>
    <mergeCell ref="AH21:AK21"/>
    <mergeCell ref="AC22:AG22"/>
    <mergeCell ref="AH22:AK22"/>
    <mergeCell ref="E15:I15"/>
    <mergeCell ref="J15:Z15"/>
    <mergeCell ref="AA15:AE15"/>
    <mergeCell ref="AF15:AK15"/>
    <mergeCell ref="E16:I16"/>
    <mergeCell ref="J16:Z16"/>
    <mergeCell ref="AA16:AE16"/>
    <mergeCell ref="AF16:AK16"/>
    <mergeCell ref="E13:I13"/>
    <mergeCell ref="J13:AK13"/>
    <mergeCell ref="E6:I6"/>
    <mergeCell ref="J6:X6"/>
    <mergeCell ref="Z6:AE6"/>
    <mergeCell ref="AF6:AK6"/>
    <mergeCell ref="E11:I11"/>
    <mergeCell ref="J11:AK11"/>
    <mergeCell ref="E12:I12"/>
    <mergeCell ref="J12:AK12"/>
    <mergeCell ref="E7:I7"/>
    <mergeCell ref="J7:O7"/>
    <mergeCell ref="P7:T7"/>
    <mergeCell ref="U7:X7"/>
    <mergeCell ref="Z7:AE7"/>
    <mergeCell ref="AF7:AK7"/>
    <mergeCell ref="Z8:AE8"/>
    <mergeCell ref="AF8:AK8"/>
    <mergeCell ref="E10:I10"/>
    <mergeCell ref="J10:R10"/>
    <mergeCell ref="S10:W10"/>
    <mergeCell ref="X10:AB10"/>
    <mergeCell ref="AC10:AG10"/>
    <mergeCell ref="AH10:AK10"/>
    <mergeCell ref="E8:I8"/>
    <mergeCell ref="J8:O8"/>
    <mergeCell ref="E4:I4"/>
    <mergeCell ref="J4:X4"/>
    <mergeCell ref="Z4:AE4"/>
    <mergeCell ref="AF4:AK4"/>
    <mergeCell ref="E3:I3"/>
    <mergeCell ref="J3:X3"/>
    <mergeCell ref="Z3:AE3"/>
    <mergeCell ref="AF3:AK3"/>
    <mergeCell ref="AF5:AK5"/>
    <mergeCell ref="E5:I5"/>
    <mergeCell ref="J5:X5"/>
    <mergeCell ref="Z5:AE5"/>
  </mergeCells>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1:D17"/>
  <sheetViews>
    <sheetView workbookViewId="0">
      <selection activeCell="D26" sqref="D26"/>
    </sheetView>
  </sheetViews>
  <sheetFormatPr defaultRowHeight="13.5"/>
  <cols>
    <col min="1" max="1" width="9" style="278"/>
    <col min="2" max="2" width="27.75" style="278" customWidth="1"/>
    <col min="3" max="3" width="34.625" style="278" customWidth="1"/>
    <col min="4" max="4" width="37.375" style="278" customWidth="1"/>
    <col min="5" max="16384" width="9" style="278"/>
  </cols>
  <sheetData>
    <row r="1" spans="2:4">
      <c r="C1" s="253" t="s">
        <v>107</v>
      </c>
      <c r="D1" s="278" t="str">
        <f ca="1">UNJC0030_REPORT_IF_LOAD_JURI_NO</f>
        <v>対象受理No.</v>
      </c>
    </row>
    <row r="4" spans="2:4">
      <c r="B4" s="264" t="s">
        <v>1602</v>
      </c>
      <c r="C4" s="289" t="s">
        <v>1603</v>
      </c>
      <c r="D4" s="273" t="str">
        <f ca="1">D5&amp;D6</f>
        <v xml:space="preserve">SELECT *
  FROM V_BUN_JUCHU_REPORT_H
 WHERE V_BUN_JUCHU_REPORT_H.JURI_NO = '対象受理No.'
</v>
      </c>
    </row>
    <row r="5" spans="2:4" ht="40.5">
      <c r="B5" s="290"/>
      <c r="C5" s="541" t="s">
        <v>1604</v>
      </c>
      <c r="D5" s="538" t="s">
        <v>1605</v>
      </c>
    </row>
    <row r="6" spans="2:4">
      <c r="B6" s="290"/>
      <c r="C6" s="541" t="s">
        <v>1428</v>
      </c>
      <c r="D6" s="278" t="str">
        <f ca="1">" WHERE V_BUN_JUCHU_REPORT_H.JURI_NO = '"&amp;$D$1&amp;"'
"</f>
        <v xml:space="preserve"> WHERE V_BUN_JUCHU_REPORT_H.JURI_NO = '対象受理No.'
</v>
      </c>
    </row>
    <row r="9" spans="2:4">
      <c r="B9" s="264" t="s">
        <v>1606</v>
      </c>
      <c r="C9" s="289" t="s">
        <v>1607</v>
      </c>
      <c r="D9" s="273" t="str">
        <f ca="1">D10&amp;D11</f>
        <v xml:space="preserve">SELECT *
  FROM V_BUN_JUCHU_REPORT_B
 WHERE V_BUN_JUCHU_REPORT_B.JURI_NO = '対象受理No.'
</v>
      </c>
    </row>
    <row r="10" spans="2:4" ht="40.5">
      <c r="B10" s="290"/>
      <c r="C10" s="541" t="s">
        <v>1604</v>
      </c>
      <c r="D10" s="538" t="s">
        <v>1608</v>
      </c>
    </row>
    <row r="11" spans="2:4">
      <c r="B11" s="290"/>
      <c r="C11" s="541" t="s">
        <v>1428</v>
      </c>
      <c r="D11" s="278" t="str">
        <f ca="1">" WHERE V_BUN_JUCHU_REPORT_B.JURI_NO = '"&amp;$D$1&amp;"'
"</f>
        <v xml:space="preserve"> WHERE V_BUN_JUCHU_REPORT_B.JURI_NO = '対象受理No.'
</v>
      </c>
    </row>
    <row r="14" spans="2:4">
      <c r="B14" s="264" t="s">
        <v>1609</v>
      </c>
      <c r="C14" s="289" t="s">
        <v>1610</v>
      </c>
      <c r="D14" s="273" t="str">
        <f ca="1">D15&amp;D16&amp;D17</f>
        <v>SELECT *
  FROM V_BUN_JUCHU_REPORT_SHOSAI
 WHERE V_BUN_JUCHU_REPORT_SHOSAI.JURI_NO = '対象受理No.'
 ORDER BY JURI_EDA_NO ASC, GYO_NO ASC</v>
      </c>
    </row>
    <row r="15" spans="2:4" ht="40.5">
      <c r="B15" s="290"/>
      <c r="C15" s="541" t="s">
        <v>1604</v>
      </c>
      <c r="D15" s="538" t="s">
        <v>1611</v>
      </c>
    </row>
    <row r="16" spans="2:4">
      <c r="B16" s="290"/>
      <c r="C16" s="541" t="s">
        <v>1428</v>
      </c>
      <c r="D16" s="278" t="str">
        <f ca="1">" WHERE V_BUN_JUCHU_REPORT_SHOSAI.JURI_NO = '"&amp;$D$1&amp;"'
"</f>
        <v xml:space="preserve"> WHERE V_BUN_JUCHU_REPORT_SHOSAI.JURI_NO = '対象受理No.'
</v>
      </c>
    </row>
    <row r="17" spans="3:4">
      <c r="C17" s="253" t="s">
        <v>3765</v>
      </c>
      <c r="D17" s="278" t="s">
        <v>3766</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39997558519241921"/>
  </sheetPr>
  <dimension ref="A1:O13"/>
  <sheetViews>
    <sheetView view="pageBreakPreview" zoomScale="145" zoomScaleNormal="100" zoomScaleSheetLayoutView="145" workbookViewId="0">
      <selection activeCell="A7" sqref="A7"/>
    </sheetView>
  </sheetViews>
  <sheetFormatPr defaultColWidth="2.875" defaultRowHeight="16.5"/>
  <cols>
    <col min="1" max="1" width="9" style="230" customWidth="1"/>
    <col min="2" max="9" width="2.25" style="230" customWidth="1"/>
    <col min="10" max="15" width="2.25" style="231" customWidth="1"/>
    <col min="16" max="27" width="2.875" style="231"/>
    <col min="28" max="28" width="11.375" style="231" bestFit="1" customWidth="1"/>
    <col min="29" max="29" width="27.75" style="231" bestFit="1" customWidth="1"/>
    <col min="30" max="30" width="8.625" style="231" bestFit="1" customWidth="1"/>
    <col min="31" max="16384" width="2.875" style="231"/>
  </cols>
  <sheetData>
    <row r="1" spans="1:15" s="278" customFormat="1" ht="11.25" customHeight="1">
      <c r="A1" s="768" t="s">
        <v>1560</v>
      </c>
      <c r="B1" s="1669">
        <f ca="1">OFFSET(UNJC0030_LABEL_IF_LIST_NYURYOKU_DATETIME,1+ROUNDDOWN((ROW()-ROW(UNJC0030_LABEL_COPY_START))/ROWS(UNJC0030_LABEL_IF_LABEL_COPY_MOTO),0),0)</f>
        <v>0</v>
      </c>
      <c r="C1" s="1669"/>
      <c r="D1" s="1669"/>
      <c r="E1" s="1669"/>
      <c r="F1" s="1669"/>
      <c r="G1" s="1669"/>
      <c r="H1" s="1669"/>
      <c r="I1" s="1669"/>
      <c r="J1" s="1669"/>
      <c r="K1" s="1669"/>
      <c r="L1" s="1669"/>
      <c r="M1" s="1669"/>
      <c r="N1" s="1669"/>
      <c r="O1" s="1669"/>
    </row>
    <row r="2" spans="1:15" s="278" customFormat="1" ht="11.25" customHeight="1">
      <c r="A2" s="768" t="s">
        <v>1612</v>
      </c>
      <c r="B2" s="1670" t="str">
        <f ca="1">OFFSET(UNJC0030_LABEL_IF_LIST_JURI_NO,1+ROUNDDOWN((ROW()-ROW(UNJC0030_LABEL_COPY_START))/ROWS(UNJC0030_LABEL_IF_LABEL_COPY_MOTO),0),0)&amp;"-"&amp;
TEXT(OFFSET(UNJC0030_LABEL_IF_LIST_EDA_NO,1+ROUNDDOWN((ROW()-ROW(UNJC0030_LABEL_COPY_START))/ROWS(UNJC0030_LABEL_IF_LABEL_COPY_MOTO),0),0),"00")</f>
        <v>-00</v>
      </c>
      <c r="C2" s="1670"/>
      <c r="D2" s="1670"/>
      <c r="E2" s="1670"/>
      <c r="F2" s="1670"/>
      <c r="G2" s="1670"/>
      <c r="H2" s="1670"/>
      <c r="I2" s="1670"/>
      <c r="J2" s="1670"/>
      <c r="K2" s="1670"/>
      <c r="L2" s="1670"/>
      <c r="M2" s="1670"/>
      <c r="N2" s="1670"/>
      <c r="O2" s="1670"/>
    </row>
    <row r="3" spans="1:15" s="278" customFormat="1" ht="11.25" customHeight="1">
      <c r="A3" s="768" t="s">
        <v>1281</v>
      </c>
      <c r="B3" s="1666" t="str">
        <f ca="1">IF(OFFSET(UNJC0030_LABEL_IF_LIST_SHIRYO_SHURUI_MEI,1+ROUNDDOWN((ROW()-ROW(UNJC0030_LABEL_COPY_START))/ROWS(UNJC0030_LABEL_IF_LABEL_COPY_MOTO),0),0)="","",
OFFSET(UNJC0030_LABEL_IF_LIST_SHIRYO_SHURUI_MEI,1+ROUNDDOWN((ROW()-ROW(UNJC0030_LABEL_COPY_START))/ROWS(UNJC0030_LABEL_IF_LABEL_COPY_MOTO),0),0))</f>
        <v/>
      </c>
      <c r="C3" s="1666"/>
      <c r="D3" s="1666"/>
      <c r="E3" s="1666"/>
      <c r="F3" s="1666"/>
      <c r="G3" s="1666"/>
      <c r="H3" s="1666"/>
      <c r="I3" s="1666"/>
      <c r="J3" s="1666"/>
      <c r="K3" s="1666"/>
      <c r="L3" s="1666"/>
      <c r="M3" s="1666"/>
      <c r="N3" s="1666"/>
      <c r="O3" s="1666"/>
    </row>
    <row r="4" spans="1:15" s="278" customFormat="1" ht="11.25" customHeight="1">
      <c r="A4" s="768" t="s">
        <v>1200</v>
      </c>
      <c r="B4" s="1671" t="str">
        <f ca="1">IF(OFFSET(UNJC0030_LABEL_IF_LIST_ATENA,1+ROUNDDOWN((ROW()-ROW(UNJC0030_LABEL_COPY_START))/ROWS(UNJC0030_LABEL_IF_LABEL_COPY_MOTO),0),0)="","",
OFFSET(UNJC0030_LABEL_IF_LIST_ATENA,1+ROUNDDOWN((ROW()-ROW(UNJC0030_LABEL_COPY_START))/ROWS(UNJC0030_LABEL_IF_LABEL_COPY_MOTO),0),0))</f>
        <v/>
      </c>
      <c r="C4" s="1671"/>
      <c r="D4" s="1671"/>
      <c r="E4" s="1671"/>
      <c r="F4" s="1671"/>
      <c r="G4" s="1671"/>
      <c r="H4" s="1671"/>
      <c r="I4" s="1671"/>
      <c r="J4" s="1671"/>
      <c r="K4" s="1671"/>
      <c r="L4" s="1671"/>
      <c r="M4" s="1671"/>
      <c r="N4" s="1671"/>
      <c r="O4" s="1671"/>
    </row>
    <row r="5" spans="1:15" s="278" customFormat="1" ht="11.25" customHeight="1">
      <c r="A5" s="768" t="s">
        <v>1613</v>
      </c>
      <c r="B5" s="1671" t="str">
        <f ca="1">IF(OFFSET(UNJC0030_LABEL_IF_LIST_SEIKYU_MEI,1+ROUNDDOWN((ROW()-ROW(UNJC0030_LABEL_COPY_START))/ROWS(UNJC0030_LABEL_IF_LABEL_COPY_MOTO),0),0)="","",
OFFSET(UNJC0030_LABEL_IF_LIST_SEIKYU_MEI,1+ROUNDDOWN((ROW()-ROW(UNJC0030_LABEL_COPY_START))/ROWS(UNJC0030_LABEL_IF_LABEL_COPY_MOTO),0),0))</f>
        <v/>
      </c>
      <c r="C5" s="1671"/>
      <c r="D5" s="1671"/>
      <c r="E5" s="1671"/>
      <c r="F5" s="1671"/>
      <c r="G5" s="1671"/>
      <c r="H5" s="1671"/>
      <c r="I5" s="1671"/>
      <c r="J5" s="1671"/>
      <c r="K5" s="1671"/>
      <c r="L5" s="1671"/>
      <c r="M5" s="1671"/>
      <c r="N5" s="1671"/>
      <c r="O5" s="1671"/>
    </row>
    <row r="6" spans="1:15" s="278" customFormat="1" ht="11.25" customHeight="1">
      <c r="A6" s="768" t="s">
        <v>3602</v>
      </c>
      <c r="B6" s="1666" t="str">
        <f ca="1">IF(OFFSET(UNJC0030_LABEL_IF_LIST_SEIKYU_BUSHO,1+ROUNDDOWN((ROW()-ROW(UNJC0030_LABEL_COPY_START))/ROWS(UNJC0030_LABEL_IF_LABEL_COPY_MOTO),0),0)="","",
OFFSET(UNJC0030_LABEL_IF_LIST_SEIKYU_BUSHO,1+ROUNDDOWN((ROW()-ROW(UNJC0030_LABEL_COPY_START))/ROWS(UNJC0030_LABEL_IF_LABEL_COPY_MOTO),0),0))</f>
        <v/>
      </c>
      <c r="C6" s="1666"/>
      <c r="D6" s="1666"/>
      <c r="E6" s="1666"/>
      <c r="F6" s="1666"/>
      <c r="G6" s="1666"/>
      <c r="H6" s="1666"/>
      <c r="I6" s="1666"/>
      <c r="J6" s="1666"/>
      <c r="K6" s="1666"/>
      <c r="L6" s="1666"/>
      <c r="M6" s="1666"/>
      <c r="N6" s="1666"/>
      <c r="O6" s="1666"/>
    </row>
    <row r="7" spans="1:15" s="278" customFormat="1" ht="11.25" customHeight="1">
      <c r="A7" s="768" t="s">
        <v>3603</v>
      </c>
      <c r="B7" s="1666" t="str">
        <f ca="1">IF(OFFSET(UNJC0030_LABEL_IF_LIST_SEIKYU_TANTO,1+ROUNDDOWN((ROW()-ROW(UNJC0030_LABEL_COPY_START))/ROWS(UNJC0030_LABEL_IF_LABEL_COPY_MOTO),0),0)="","",
OFFSET(UNJC0030_LABEL_IF_LIST_SEIKYU_TANTO,1+ROUNDDOWN((ROW()-ROW(UNJC0030_LABEL_COPY_START))/ROWS(UNJC0030_LABEL_IF_LABEL_COPY_MOTO),0),0))</f>
        <v/>
      </c>
      <c r="C7" s="1666"/>
      <c r="D7" s="1666"/>
      <c r="E7" s="1666"/>
      <c r="F7" s="1666"/>
      <c r="G7" s="1666"/>
      <c r="H7" s="1666"/>
      <c r="I7" s="1666"/>
      <c r="J7" s="1666"/>
      <c r="K7" s="1666"/>
      <c r="L7" s="1666"/>
      <c r="M7" s="1666"/>
      <c r="N7" s="1666"/>
      <c r="O7" s="1666"/>
    </row>
    <row r="8" spans="1:15" s="278" customFormat="1" ht="11.25" customHeight="1">
      <c r="A8" s="768" t="s">
        <v>1614</v>
      </c>
      <c r="B8" s="1672" t="str">
        <f ca="1">IF(OFFSET(UNJC0030_LABEL_IF_LIST_KANSEI_DATE,1+ROUNDDOWN((ROW()-ROW(UNJC0030_LABEL_COPY_START))/ROWS(UNJC0030_LABEL_IF_LABEL_COPY_MOTO),0),0)="","",
OFFSET(UNJC0030_LABEL_IF_LIST_KANSEI_DATE,1+ROUNDDOWN((ROW()-ROW(UNJC0030_LABEL_COPY_START))/ROWS(UNJC0030_LABEL_IF_LABEL_COPY_MOTO),0),0))</f>
        <v/>
      </c>
      <c r="C8" s="1672"/>
      <c r="D8" s="1672"/>
      <c r="E8" s="1672"/>
      <c r="F8" s="1672"/>
      <c r="G8" s="1672"/>
      <c r="H8" s="892"/>
      <c r="I8" s="893"/>
      <c r="J8" s="893"/>
      <c r="K8" s="893"/>
      <c r="L8" s="893"/>
      <c r="M8" s="1673" t="str">
        <f ca="1">IF(OFFSET(UNJC0030_LABEL_IF_LIST_TANTO_KANRYO_DATE,1+ROUNDDOWN((ROW()-ROW(UNJC0030_LABEL_COPY_START))/ROWS(UNJC0030_LABEL_IF_LABEL_COPY_MOTO),0),0)="","",
OFFSET(UNJC0030_LABEL_IF_LIST_TANTO_KANRYO_DATE,1+ROUNDDOWN((ROW()-ROW(UNJC0030_LABEL_COPY_START))/ROWS(UNJC0030_LABEL_IF_LABEL_COPY_MOTO),0),0))</f>
        <v/>
      </c>
      <c r="N8" s="1673"/>
      <c r="O8" s="1673"/>
    </row>
    <row r="9" spans="1:15" s="278" customFormat="1" ht="11.25" customHeight="1">
      <c r="A9" s="768" t="s">
        <v>1223</v>
      </c>
      <c r="B9" s="1666" t="str">
        <f ca="1">IF(OFFSET(UNJC0030_LABEL_IF_LIST_HENKYAKU,1+ROUNDDOWN((ROW()-ROW(UNJC0030_LABEL_COPY_START))/ROWS(UNJC0030_LABEL_IF_LABEL_COPY_MOTO),0),0)="","",
OFFSET(UNJC0030_LABEL_IF_LIST_HENKYAKU,1+ROUNDDOWN((ROW()-ROW(UNJC0030_LABEL_COPY_START))/ROWS(UNJC0030_LABEL_IF_LABEL_COPY_MOTO),0),0))</f>
        <v/>
      </c>
      <c r="C9" s="1666"/>
      <c r="D9" s="1666"/>
      <c r="E9" s="1666"/>
      <c r="F9" s="1666"/>
      <c r="G9" s="1666"/>
      <c r="H9" s="1666"/>
      <c r="I9" s="1666"/>
      <c r="J9" s="1666"/>
      <c r="K9" s="1666"/>
      <c r="L9" s="1666"/>
      <c r="M9" s="1666"/>
      <c r="N9" s="1666"/>
      <c r="O9" s="1666"/>
    </row>
    <row r="10" spans="1:15" s="278" customFormat="1" ht="24.75" customHeight="1">
      <c r="A10" s="768" t="s">
        <v>1615</v>
      </c>
      <c r="B10" s="1667" t="str">
        <f ca="1">OFFSET(UNJC0030_LABEL_IF_LIST_JURI_NO,1+ROUNDDOWN((ROW()-ROW(UNJC0030_LABEL_COPY_START))/ROWS(UNJC0030_LABEL_IF_LABEL_COPY_MOTO),0),0)&amp;"-"&amp;
TEXT(OFFSET(UNJC0030_LABEL_IF_LIST_EDA_NO,1+ROUNDDOWN((ROW()-ROW(UNJC0030_LABEL_COPY_START))/ROWS(UNJC0030_LABEL_IF_LABEL_COPY_MOTO),0),0),"00")</f>
        <v>-00</v>
      </c>
      <c r="C10" s="1667"/>
      <c r="D10" s="1667"/>
      <c r="E10" s="1667"/>
      <c r="F10" s="1667"/>
      <c r="G10" s="1667"/>
      <c r="H10" s="1667"/>
      <c r="I10" s="1667"/>
      <c r="J10" s="1667"/>
      <c r="K10" s="1667"/>
      <c r="L10" s="1667"/>
      <c r="M10" s="1667"/>
      <c r="N10" s="1667"/>
      <c r="O10" s="1667"/>
    </row>
    <row r="11" spans="1:15" s="278" customFormat="1" ht="11.25" customHeight="1">
      <c r="A11" s="768" t="s">
        <v>1201</v>
      </c>
      <c r="B11" s="1666" t="str">
        <f ca="1">IF(OFFSET(UNJC0030_LABEL_IF_LIST_HOHO,1+ROUNDDOWN((ROW()-ROW(UNJC0030_LABEL_COPY_START))/ROWS(UNJC0030_LABEL_IF_LABEL_COPY_MOTO),0),0)="","",
OFFSET(UNJC0030_LABEL_IF_LIST_HOHO,1+ROUNDDOWN((ROW()-ROW(UNJC0030_LABEL_COPY_START))/ROWS(UNJC0030_LABEL_IF_LABEL_COPY_MOTO),0),0))</f>
        <v/>
      </c>
      <c r="C11" s="1666"/>
      <c r="D11" s="1666"/>
      <c r="E11" s="1666"/>
      <c r="F11" s="1666"/>
      <c r="G11" s="1666"/>
      <c r="H11" s="1666"/>
      <c r="I11" s="1666"/>
      <c r="J11" s="1666"/>
      <c r="K11" s="1666"/>
      <c r="L11" s="1666"/>
      <c r="M11" s="1666"/>
      <c r="N11" s="1666"/>
      <c r="O11" s="1666"/>
    </row>
    <row r="12" spans="1:15" s="278" customFormat="1" ht="11.25" customHeight="1">
      <c r="A12" s="768" t="s">
        <v>1282</v>
      </c>
      <c r="B12" s="1668" t="str">
        <f ca="1">IF(OFFSET(UNJC0030_LABEL_IF_LIST_SHIRYO_MEI,1+ROUNDDOWN((ROW()-ROW(UNJC0030_LABEL_COPY_START))/ROWS(UNJC0030_LABEL_IF_LABEL_COPY_MOTO),0),0)="","",
OFFSET(UNJC0030_LABEL_IF_LIST_SHIRYO_MEI,1+ROUNDDOWN((ROW()-ROW(UNJC0030_LABEL_COPY_START))/ROWS(UNJC0030_LABEL_IF_LABEL_COPY_MOTO),0),0))</f>
        <v/>
      </c>
      <c r="C12" s="1668"/>
      <c r="D12" s="1668"/>
      <c r="E12" s="1668"/>
      <c r="F12" s="1668"/>
      <c r="G12" s="1668"/>
      <c r="H12" s="1668"/>
      <c r="I12" s="1668"/>
      <c r="J12" s="1668"/>
      <c r="K12" s="1668"/>
      <c r="L12" s="1668"/>
      <c r="M12" s="1668"/>
      <c r="N12" s="1668"/>
      <c r="O12" s="1668"/>
    </row>
    <row r="13" spans="1:15" s="278" customFormat="1" ht="11.25" customHeight="1">
      <c r="A13" s="768" t="s">
        <v>1616</v>
      </c>
      <c r="B13" s="1666" t="str">
        <f ca="1">IF(OFFSET(UNJC0030_LABEL_IF_LIST_EIGYO_TANTO_MEI,1+ROUNDDOWN((ROW()-ROW(UNJC0030_LABEL_COPY_START))/ROWS(UNJC0030_LABEL_IF_LABEL_COPY_MOTO),0),0)="","",
OFFSET(UNJC0030_LABEL_IF_LIST_EIGYO_TANTO_MEI,1+ROUNDDOWN((ROW()-ROW(UNJC0030_LABEL_COPY_START))/ROWS(UNJC0030_LABEL_IF_LABEL_COPY_MOTO),0),0))</f>
        <v/>
      </c>
      <c r="C13" s="1666"/>
      <c r="D13" s="1666"/>
      <c r="E13" s="1666"/>
      <c r="F13" s="1666"/>
      <c r="G13" s="1666"/>
      <c r="H13" s="1666"/>
      <c r="I13" s="1666"/>
      <c r="J13" s="1666"/>
      <c r="K13" s="1666"/>
      <c r="L13" s="1666"/>
      <c r="M13" s="1666"/>
      <c r="N13" s="1666"/>
      <c r="O13" s="1666"/>
    </row>
  </sheetData>
  <mergeCells count="14">
    <mergeCell ref="B13:O13"/>
    <mergeCell ref="B10:O10"/>
    <mergeCell ref="B11:O11"/>
    <mergeCell ref="B12:O12"/>
    <mergeCell ref="B1:O1"/>
    <mergeCell ref="B2:O2"/>
    <mergeCell ref="B3:O3"/>
    <mergeCell ref="B9:O9"/>
    <mergeCell ref="B4:O4"/>
    <mergeCell ref="B5:O5"/>
    <mergeCell ref="B6:O6"/>
    <mergeCell ref="B7:O7"/>
    <mergeCell ref="B8:G8"/>
    <mergeCell ref="M8:O8"/>
  </mergeCells>
  <phoneticPr fontId="2"/>
  <pageMargins left="3.937007874015748E-2" right="0" top="3.937007874015748E-2" bottom="0" header="0" footer="0"/>
  <pageSetup paperSize="9" orientation="portrait" horizontalDpi="1200" verticalDpi="1200" r:id="rId1"/>
  <rowBreaks count="8" manualBreakCount="8">
    <brk id="13" max="16383" man="1"/>
    <brk id="26" max="18" man="1"/>
    <brk id="39" max="18" man="1"/>
    <brk id="52" max="18" man="1"/>
    <brk id="65" max="18" man="1"/>
    <brk id="78" max="18" man="1"/>
    <brk id="91" max="18" man="1"/>
    <brk id="104" max="18"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L23"/>
  <sheetViews>
    <sheetView zoomScale="85" zoomScaleNormal="85" workbookViewId="0">
      <selection activeCell="AB35" sqref="AB35"/>
    </sheetView>
  </sheetViews>
  <sheetFormatPr defaultRowHeight="13.5"/>
  <cols>
    <col min="1" max="1" width="9" style="278" customWidth="1"/>
    <col min="2" max="15" width="2.25" style="278" customWidth="1"/>
    <col min="16" max="16" width="6" style="278" customWidth="1"/>
    <col min="17" max="17" width="6.375" style="278" customWidth="1"/>
    <col min="18" max="21" width="9" style="278"/>
    <col min="22" max="24" width="6.25" style="278" customWidth="1"/>
    <col min="25" max="26" width="9" style="278"/>
    <col min="27" max="27" width="16.125" style="278" bestFit="1" customWidth="1"/>
    <col min="28" max="32" width="9" style="278"/>
    <col min="33" max="34" width="9.5" style="278" bestFit="1" customWidth="1"/>
    <col min="35" max="16384" width="9" style="278"/>
  </cols>
  <sheetData>
    <row r="1" spans="1:15">
      <c r="A1" s="279" t="s">
        <v>1551</v>
      </c>
      <c r="C1" s="550" t="s">
        <v>1621</v>
      </c>
      <c r="D1" s="273" t="s">
        <v>1622</v>
      </c>
    </row>
    <row r="2" spans="1:15" ht="11.25" customHeight="1">
      <c r="A2" s="768" t="s">
        <v>1560</v>
      </c>
      <c r="B2" s="1669">
        <f ca="1">OFFSET(UNJC0030_LABEL_IF_LIST_NYURYOKU_DATETIME,1+ROUNDDOWN((ROW()-ROW(UNJC0030_LABEL_COPY_START))/ROWS(UNJC0030_LABEL_IF_LABEL_COPY_MOTO),0),0)</f>
        <v>0</v>
      </c>
      <c r="C2" s="1669"/>
      <c r="D2" s="1669"/>
      <c r="E2" s="1669"/>
      <c r="F2" s="1669"/>
      <c r="G2" s="1669"/>
      <c r="H2" s="1669"/>
      <c r="I2" s="1669"/>
      <c r="J2" s="1669"/>
      <c r="K2" s="1669"/>
      <c r="L2" s="1669"/>
      <c r="M2" s="1669"/>
      <c r="N2" s="1669"/>
      <c r="O2" s="1669"/>
    </row>
    <row r="3" spans="1:15" ht="11.25" customHeight="1">
      <c r="A3" s="768" t="s">
        <v>1612</v>
      </c>
      <c r="B3" s="1670" t="str">
        <f ca="1">OFFSET(UNJC0030_LABEL_IF_LIST_JURI_NO,1+ROUNDDOWN((ROW()-ROW(UNJC0030_LABEL_COPY_START))/ROWS(UNJC0030_LABEL_IF_LABEL_COPY_MOTO),0),0)&amp;"-"&amp;
TEXT(OFFSET(UNJC0030_LABEL_IF_LIST_EDA_NO,1+ROUNDDOWN((ROW()-ROW(UNJC0030_LABEL_COPY_START))/ROWS(UNJC0030_LABEL_IF_LABEL_COPY_MOTO),0),0),"00")</f>
        <v>-00</v>
      </c>
      <c r="C3" s="1670"/>
      <c r="D3" s="1670"/>
      <c r="E3" s="1670"/>
      <c r="F3" s="1670"/>
      <c r="G3" s="1670"/>
      <c r="H3" s="1670"/>
      <c r="I3" s="1670"/>
      <c r="J3" s="1670"/>
      <c r="K3" s="1670"/>
      <c r="L3" s="1670"/>
      <c r="M3" s="1670"/>
      <c r="N3" s="1670"/>
      <c r="O3" s="1670"/>
    </row>
    <row r="4" spans="1:15" ht="11.25" customHeight="1">
      <c r="A4" s="768" t="s">
        <v>1281</v>
      </c>
      <c r="B4" s="1666" t="str">
        <f ca="1">IF(OFFSET(UNJC0030_LABEL_IF_LIST_SHIRYO_SHURUI_MEI,1+ROUNDDOWN((ROW()-ROW(UNJC0030_LABEL_COPY_START))/ROWS(UNJC0030_LABEL_IF_LABEL_COPY_MOTO),0),0)="","",
OFFSET(UNJC0030_LABEL_IF_LIST_SHIRYO_SHURUI_MEI,1+ROUNDDOWN((ROW()-ROW(UNJC0030_LABEL_COPY_START))/ROWS(UNJC0030_LABEL_IF_LABEL_COPY_MOTO),0),0))</f>
        <v/>
      </c>
      <c r="C4" s="1666"/>
      <c r="D4" s="1666"/>
      <c r="E4" s="1666"/>
      <c r="F4" s="1666"/>
      <c r="G4" s="1666"/>
      <c r="H4" s="1666"/>
      <c r="I4" s="1666"/>
      <c r="J4" s="1666"/>
      <c r="K4" s="1666"/>
      <c r="L4" s="1666"/>
      <c r="M4" s="1666"/>
      <c r="N4" s="1666"/>
      <c r="O4" s="1666"/>
    </row>
    <row r="5" spans="1:15" ht="11.25" customHeight="1">
      <c r="A5" s="768" t="s">
        <v>1200</v>
      </c>
      <c r="B5" s="1671" t="str">
        <f ca="1">IF(OFFSET(UNJC0030_LABEL_IF_LIST_ATENA,1+ROUNDDOWN((ROW()-ROW(UNJC0030_LABEL_COPY_START))/ROWS(UNJC0030_LABEL_IF_LABEL_COPY_MOTO),0),0)="","",
OFFSET(UNJC0030_LABEL_IF_LIST_ATENA,1+ROUNDDOWN((ROW()-ROW(UNJC0030_LABEL_COPY_START))/ROWS(UNJC0030_LABEL_IF_LABEL_COPY_MOTO),0),0))</f>
        <v/>
      </c>
      <c r="C5" s="1671"/>
      <c r="D5" s="1671"/>
      <c r="E5" s="1671"/>
      <c r="F5" s="1671"/>
      <c r="G5" s="1671"/>
      <c r="H5" s="1671"/>
      <c r="I5" s="1671"/>
      <c r="J5" s="1671"/>
      <c r="K5" s="1671"/>
      <c r="L5" s="1671"/>
      <c r="M5" s="1671"/>
      <c r="N5" s="1671"/>
      <c r="O5" s="1671"/>
    </row>
    <row r="6" spans="1:15" ht="11.25" customHeight="1">
      <c r="A6" s="768" t="s">
        <v>1613</v>
      </c>
      <c r="B6" s="1671" t="str">
        <f ca="1">IF(OFFSET(UNJC0030_LABEL_IF_LIST_SEIKYU_MEI,1+ROUNDDOWN((ROW()-ROW(UNJC0030_LABEL_COPY_START))/ROWS(UNJC0030_LABEL_IF_LABEL_COPY_MOTO),0),0)="","",
OFFSET(UNJC0030_LABEL_IF_LIST_SEIKYU_MEI,1+ROUNDDOWN((ROW()-ROW(UNJC0030_LABEL_COPY_START))/ROWS(UNJC0030_LABEL_IF_LABEL_COPY_MOTO),0),0))</f>
        <v/>
      </c>
      <c r="C6" s="1671"/>
      <c r="D6" s="1671"/>
      <c r="E6" s="1671"/>
      <c r="F6" s="1671"/>
      <c r="G6" s="1671"/>
      <c r="H6" s="1671"/>
      <c r="I6" s="1671"/>
      <c r="J6" s="1671"/>
      <c r="K6" s="1671"/>
      <c r="L6" s="1671"/>
      <c r="M6" s="1671"/>
      <c r="N6" s="1671"/>
      <c r="O6" s="1671"/>
    </row>
    <row r="7" spans="1:15" ht="11.25" customHeight="1">
      <c r="A7" s="768" t="s">
        <v>3602</v>
      </c>
      <c r="B7" s="1666" t="str">
        <f ca="1">IF(OFFSET(UNJC0030_LABEL_IF_LIST_SEIKYU_BUSHO,1+ROUNDDOWN((ROW()-ROW(UNJC0030_LABEL_COPY_START))/ROWS(UNJC0030_LABEL_IF_LABEL_COPY_MOTO),0),0)="","",
OFFSET(UNJC0030_LABEL_IF_LIST_SEIKYU_BUSHO,1+ROUNDDOWN((ROW()-ROW(UNJC0030_LABEL_COPY_START))/ROWS(UNJC0030_LABEL_IF_LABEL_COPY_MOTO),0),0))</f>
        <v/>
      </c>
      <c r="C7" s="1666"/>
      <c r="D7" s="1666"/>
      <c r="E7" s="1666"/>
      <c r="F7" s="1666"/>
      <c r="G7" s="1666"/>
      <c r="H7" s="1666"/>
      <c r="I7" s="1666"/>
      <c r="J7" s="1666"/>
      <c r="K7" s="1666"/>
      <c r="L7" s="1666"/>
      <c r="M7" s="1666"/>
      <c r="N7" s="1666"/>
      <c r="O7" s="1666"/>
    </row>
    <row r="8" spans="1:15" ht="11.25" customHeight="1">
      <c r="A8" s="768" t="s">
        <v>3603</v>
      </c>
      <c r="B8" s="1666" t="str">
        <f ca="1">IF(OFFSET(UNJC0030_LABEL_IF_LIST_SEIKYU_TANTO,1+ROUNDDOWN((ROW()-ROW(UNJC0030_LABEL_COPY_START))/ROWS(UNJC0030_LABEL_IF_LABEL_COPY_MOTO),0),0)="","",
OFFSET(UNJC0030_LABEL_IF_LIST_SEIKYU_TANTO,1+ROUNDDOWN((ROW()-ROW(UNJC0030_LABEL_COPY_START))/ROWS(UNJC0030_LABEL_IF_LABEL_COPY_MOTO),0),0))</f>
        <v/>
      </c>
      <c r="C8" s="1666"/>
      <c r="D8" s="1666"/>
      <c r="E8" s="1666"/>
      <c r="F8" s="1666"/>
      <c r="G8" s="1666"/>
      <c r="H8" s="1666"/>
      <c r="I8" s="1666"/>
      <c r="J8" s="1666"/>
      <c r="K8" s="1666"/>
      <c r="L8" s="1666"/>
      <c r="M8" s="1666"/>
      <c r="N8" s="1666"/>
      <c r="O8" s="1666"/>
    </row>
    <row r="9" spans="1:15" ht="11.25" customHeight="1">
      <c r="A9" s="768" t="s">
        <v>1614</v>
      </c>
      <c r="B9" s="1672" t="str">
        <f ca="1">IF(OFFSET(UNJC0030_LABEL_IF_LIST_KANSEI_DATE,1+ROUNDDOWN((ROW()-ROW(UNJC0030_LABEL_COPY_START))/ROWS(UNJC0030_LABEL_IF_LABEL_COPY_MOTO),0),0)="","",
OFFSET(UNJC0030_LABEL_IF_LIST_KANSEI_DATE,1+ROUNDDOWN((ROW()-ROW(UNJC0030_LABEL_COPY_START))/ROWS(UNJC0030_LABEL_IF_LABEL_COPY_MOTO),0),0))</f>
        <v/>
      </c>
      <c r="C9" s="1672"/>
      <c r="D9" s="1672"/>
      <c r="E9" s="1672"/>
      <c r="F9" s="1672"/>
      <c r="G9" s="1672"/>
      <c r="H9" s="892"/>
      <c r="I9" s="893"/>
      <c r="J9" s="893"/>
      <c r="K9" s="893"/>
      <c r="L9" s="893"/>
      <c r="M9" s="1673" t="str">
        <f ca="1">IF(OFFSET(UNJC0030_LABEL_IF_LIST_TANTO_KANRYO_DATE,1+ROUNDDOWN((ROW()-ROW(UNJC0030_LABEL_COPY_START))/ROWS(UNJC0030_LABEL_IF_LABEL_COPY_MOTO),0),0)="","",
OFFSET(UNJC0030_LABEL_IF_LIST_TANTO_KANRYO_DATE,1+ROUNDDOWN((ROW()-ROW(UNJC0030_LABEL_COPY_START))/ROWS(UNJC0030_LABEL_IF_LABEL_COPY_MOTO),0),0))</f>
        <v/>
      </c>
      <c r="N9" s="1673"/>
      <c r="O9" s="1673"/>
    </row>
    <row r="10" spans="1:15" ht="11.25" customHeight="1">
      <c r="A10" s="768" t="s">
        <v>1223</v>
      </c>
      <c r="B10" s="1666" t="str">
        <f ca="1">IF(OFFSET(UNJC0030_LABEL_IF_LIST_HENKYAKU,1+ROUNDDOWN((ROW()-ROW(UNJC0030_LABEL_COPY_START))/ROWS(UNJC0030_LABEL_IF_LABEL_COPY_MOTO),0),0)="","",
OFFSET(UNJC0030_LABEL_IF_LIST_HENKYAKU,1+ROUNDDOWN((ROW()-ROW(UNJC0030_LABEL_COPY_START))/ROWS(UNJC0030_LABEL_IF_LABEL_COPY_MOTO),0),0))</f>
        <v/>
      </c>
      <c r="C10" s="1666"/>
      <c r="D10" s="1666"/>
      <c r="E10" s="1666"/>
      <c r="F10" s="1666"/>
      <c r="G10" s="1666"/>
      <c r="H10" s="1666"/>
      <c r="I10" s="1666"/>
      <c r="J10" s="1666"/>
      <c r="K10" s="1666"/>
      <c r="L10" s="1666"/>
      <c r="M10" s="1666"/>
      <c r="N10" s="1666"/>
      <c r="O10" s="1666"/>
    </row>
    <row r="11" spans="1:15" ht="24.75" customHeight="1">
      <c r="A11" s="768" t="s">
        <v>1615</v>
      </c>
      <c r="B11" s="1667" t="str">
        <f ca="1">OFFSET(UNJC0030_LABEL_IF_LIST_JURI_NO,1+ROUNDDOWN((ROW()-ROW(UNJC0030_LABEL_COPY_START))/ROWS(UNJC0030_LABEL_IF_LABEL_COPY_MOTO),0),0)&amp;"-"&amp;
TEXT(OFFSET(UNJC0030_LABEL_IF_LIST_EDA_NO,1+ROUNDDOWN((ROW()-ROW(UNJC0030_LABEL_COPY_START))/ROWS(UNJC0030_LABEL_IF_LABEL_COPY_MOTO),0),0),"00")</f>
        <v>-00</v>
      </c>
      <c r="C11" s="1667"/>
      <c r="D11" s="1667"/>
      <c r="E11" s="1667"/>
      <c r="F11" s="1667"/>
      <c r="G11" s="1667"/>
      <c r="H11" s="1667"/>
      <c r="I11" s="1667"/>
      <c r="J11" s="1667"/>
      <c r="K11" s="1667"/>
      <c r="L11" s="1667"/>
      <c r="M11" s="1667"/>
      <c r="N11" s="1667"/>
      <c r="O11" s="1667"/>
    </row>
    <row r="12" spans="1:15" ht="11.25" customHeight="1">
      <c r="A12" s="768" t="s">
        <v>1201</v>
      </c>
      <c r="B12" s="1666" t="str">
        <f ca="1">IF(OFFSET(UNJC0030_LABEL_IF_LIST_HOHO,1+ROUNDDOWN((ROW()-ROW(UNJC0030_LABEL_COPY_START))/ROWS(UNJC0030_LABEL_IF_LABEL_COPY_MOTO),0),0)="","",
OFFSET(UNJC0030_LABEL_IF_LIST_HOHO,1+ROUNDDOWN((ROW()-ROW(UNJC0030_LABEL_COPY_START))/ROWS(UNJC0030_LABEL_IF_LABEL_COPY_MOTO),0),0))</f>
        <v/>
      </c>
      <c r="C12" s="1666"/>
      <c r="D12" s="1666"/>
      <c r="E12" s="1666"/>
      <c r="F12" s="1666"/>
      <c r="G12" s="1666"/>
      <c r="H12" s="1666"/>
      <c r="I12" s="1666"/>
      <c r="J12" s="1666"/>
      <c r="K12" s="1666"/>
      <c r="L12" s="1666"/>
      <c r="M12" s="1666"/>
      <c r="N12" s="1666"/>
      <c r="O12" s="1666"/>
    </row>
    <row r="13" spans="1:15" ht="11.25" customHeight="1">
      <c r="A13" s="768" t="s">
        <v>1282</v>
      </c>
      <c r="B13" s="1668" t="str">
        <f ca="1">IF(OFFSET(UNJC0030_LABEL_IF_LIST_SHIRYO_MEI,1+ROUNDDOWN((ROW()-ROW(UNJC0030_LABEL_COPY_START))/ROWS(UNJC0030_LABEL_IF_LABEL_COPY_MOTO),0),0)="","",
OFFSET(UNJC0030_LABEL_IF_LIST_SHIRYO_MEI,1+ROUNDDOWN((ROW()-ROW(UNJC0030_LABEL_COPY_START))/ROWS(UNJC0030_LABEL_IF_LABEL_COPY_MOTO),0),0))</f>
        <v/>
      </c>
      <c r="C13" s="1668"/>
      <c r="D13" s="1668"/>
      <c r="E13" s="1668"/>
      <c r="F13" s="1668"/>
      <c r="G13" s="1668"/>
      <c r="H13" s="1668"/>
      <c r="I13" s="1668"/>
      <c r="J13" s="1668"/>
      <c r="K13" s="1668"/>
      <c r="L13" s="1668"/>
      <c r="M13" s="1668"/>
      <c r="N13" s="1668"/>
      <c r="O13" s="1668"/>
    </row>
    <row r="14" spans="1:15" ht="11.25" customHeight="1">
      <c r="A14" s="768" t="s">
        <v>1616</v>
      </c>
      <c r="B14" s="1666" t="str">
        <f ca="1">IF(OFFSET(UNJC0030_LABEL_IF_LIST_EIGYO_TANTO_MEI,1+ROUNDDOWN((ROW()-ROW(UNJC0030_LABEL_COPY_START))/ROWS(UNJC0030_LABEL_IF_LABEL_COPY_MOTO),0),0)="","",
OFFSET(UNJC0030_LABEL_IF_LIST_EIGYO_TANTO_MEI,1+ROUNDDOWN((ROW()-ROW(UNJC0030_LABEL_COPY_START))/ROWS(UNJC0030_LABEL_IF_LABEL_COPY_MOTO),0),0))</f>
        <v/>
      </c>
      <c r="C14" s="1666"/>
      <c r="D14" s="1666"/>
      <c r="E14" s="1666"/>
      <c r="F14" s="1666"/>
      <c r="G14" s="1666"/>
      <c r="H14" s="1666"/>
      <c r="I14" s="1666"/>
      <c r="J14" s="1666"/>
      <c r="K14" s="1666"/>
      <c r="L14" s="1666"/>
      <c r="M14" s="1666"/>
      <c r="N14" s="1666"/>
      <c r="O14" s="1666"/>
    </row>
    <row r="18" spans="17:38">
      <c r="Q18" s="279" t="s">
        <v>1617</v>
      </c>
      <c r="V18" s="279" t="s">
        <v>1553</v>
      </c>
      <c r="W18" s="279"/>
      <c r="X18" s="279"/>
    </row>
    <row r="19" spans="17:38">
      <c r="R19" s="278" t="s">
        <v>1618</v>
      </c>
      <c r="S19" s="278" t="s">
        <v>1619</v>
      </c>
      <c r="T19" s="273">
        <v>1</v>
      </c>
      <c r="Y19" s="106" t="s">
        <v>266</v>
      </c>
      <c r="Z19" s="106" t="s">
        <v>1195</v>
      </c>
      <c r="AA19" s="106" t="s">
        <v>1560</v>
      </c>
      <c r="AB19" s="106" t="s">
        <v>1566</v>
      </c>
      <c r="AC19" s="106" t="s">
        <v>1200</v>
      </c>
      <c r="AD19" s="106" t="s">
        <v>272</v>
      </c>
      <c r="AE19" s="106" t="s">
        <v>3604</v>
      </c>
      <c r="AF19" s="106" t="s">
        <v>3605</v>
      </c>
      <c r="AG19" s="106" t="s">
        <v>1620</v>
      </c>
      <c r="AH19" s="106" t="s">
        <v>1205</v>
      </c>
      <c r="AI19" s="106" t="s">
        <v>1223</v>
      </c>
      <c r="AJ19" s="106" t="s">
        <v>1201</v>
      </c>
      <c r="AK19" s="106" t="s">
        <v>1282</v>
      </c>
      <c r="AL19" s="106" t="s">
        <v>268</v>
      </c>
    </row>
    <row r="20" spans="17:38">
      <c r="W20" s="278" t="s">
        <v>1579</v>
      </c>
      <c r="X20" s="278" t="s">
        <v>1623</v>
      </c>
      <c r="Y20" s="273"/>
      <c r="Z20" s="970"/>
      <c r="AA20" s="551"/>
      <c r="AB20" s="970"/>
      <c r="AC20" s="970"/>
      <c r="AD20" s="970"/>
      <c r="AE20" s="970"/>
      <c r="AF20" s="970"/>
      <c r="AG20" s="339"/>
      <c r="AH20" s="339"/>
      <c r="AI20" s="970"/>
      <c r="AJ20" s="970"/>
      <c r="AK20" s="970"/>
      <c r="AL20" s="970"/>
    </row>
    <row r="21" spans="17:38">
      <c r="R21" s="278" t="s">
        <v>650</v>
      </c>
      <c r="S21" s="280" t="s">
        <v>2756</v>
      </c>
      <c r="T21" s="273" t="str">
        <f>"UNJC0030_LABEL_IF!"&amp;ROW(UNJC0030_LABEL_IF_LABEL_COPY_MOTO)&amp;":"&amp;ROW(UNJC0030_LABEL_IF_LABEL_COPY_MOTO)+ROWS(UNJC0030_LABEL_IF_LABEL_COPY_MOTO)-1</f>
        <v>UNJC0030_LABEL_IF!2:14</v>
      </c>
      <c r="AA21" s="551"/>
    </row>
    <row r="22" spans="17:38" ht="16.5">
      <c r="R22" s="231" t="s">
        <v>2757</v>
      </c>
      <c r="S22" s="231" t="s">
        <v>2759</v>
      </c>
      <c r="T22" s="232" t="str">
        <f>"UNJC0030_LABEL!"&amp;ADDRESS(ROW(UNJC0030_LABEL_COPY_START),COLUMN(UNJC0030_LABEL_COPY_START))&amp;":"&amp;
ADDRESS((ROWS(UNJC0030_LABEL_IF_LABEL_COPY_MOTO)*UNJC0030_LABEL_IF_DATA_COUNT),COLUMN(UNJC0030_LABEL_COPY_START)+COLUMNS(UNJC0030_LABEL_IF_LABEL_COPY_MOTO)-1)</f>
        <v>UNJC0030_LABEL!$A$1:$O$13</v>
      </c>
    </row>
    <row r="23" spans="17:38" ht="16.5">
      <c r="R23" s="278" t="s">
        <v>2773</v>
      </c>
      <c r="S23" s="231" t="s">
        <v>2774</v>
      </c>
      <c r="T23" s="273" t="s">
        <v>2775</v>
      </c>
    </row>
  </sheetData>
  <mergeCells count="14">
    <mergeCell ref="B14:O14"/>
    <mergeCell ref="B11:O11"/>
    <mergeCell ref="B12:O12"/>
    <mergeCell ref="B13:O13"/>
    <mergeCell ref="B2:O2"/>
    <mergeCell ref="B3:O3"/>
    <mergeCell ref="B4:O4"/>
    <mergeCell ref="B10:O10"/>
    <mergeCell ref="B5:O5"/>
    <mergeCell ref="B6:O6"/>
    <mergeCell ref="B7:O7"/>
    <mergeCell ref="B8:O8"/>
    <mergeCell ref="B9:G9"/>
    <mergeCell ref="M9:O9"/>
  </mergeCells>
  <phoneticPr fontId="2"/>
  <pageMargins left="0.7" right="0.7" top="0.75" bottom="0.75" header="0.3" footer="0.3"/>
  <pageSetup paperSize="9"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tabColor rgb="FFFFC000"/>
  </sheetPr>
  <dimension ref="A1:U26"/>
  <sheetViews>
    <sheetView showGridLines="0" showRowColHeaders="0" zoomScaleNormal="100" workbookViewId="0">
      <pane ySplit="7" topLeftCell="A8" activePane="bottomLeft" state="frozen"/>
      <selection activeCell="C12" sqref="C12"/>
      <selection pane="bottomLeft" sqref="A1:F1 L7"/>
    </sheetView>
  </sheetViews>
  <sheetFormatPr defaultRowHeight="16.5"/>
  <cols>
    <col min="1" max="1" width="1.625" style="231" hidden="1" customWidth="1"/>
    <col min="2" max="2" width="16.375" style="231" hidden="1" customWidth="1"/>
    <col min="3" max="3" width="19.25" style="231" hidden="1" customWidth="1"/>
    <col min="4" max="4" width="15.75" style="231" hidden="1" customWidth="1"/>
    <col min="5" max="5" width="3" style="231" hidden="1" customWidth="1"/>
    <col min="6" max="6" width="2.75" style="231" hidden="1" customWidth="1"/>
    <col min="7" max="7" width="5.75" style="207" customWidth="1"/>
    <col min="8" max="9" width="12.375" style="207" customWidth="1"/>
    <col min="10" max="10" width="20.25" style="207" customWidth="1"/>
    <col min="11" max="11" width="20.625" style="207" customWidth="1"/>
    <col min="12" max="12" width="20.625" style="207" hidden="1" customWidth="1"/>
    <col min="13" max="13" width="20.625" style="207" customWidth="1"/>
    <col min="14" max="14" width="4" style="207" customWidth="1"/>
    <col min="15" max="16384" width="9" style="207"/>
  </cols>
  <sheetData>
    <row r="1" spans="1:21" ht="19.5">
      <c r="G1" s="73" t="s">
        <v>1624</v>
      </c>
      <c r="H1" s="73"/>
      <c r="I1" s="73"/>
      <c r="J1" s="73"/>
      <c r="K1" s="73"/>
      <c r="L1" s="73"/>
      <c r="M1" s="73"/>
      <c r="N1" s="73"/>
      <c r="O1" s="73"/>
      <c r="P1" s="73"/>
      <c r="Q1" s="73"/>
      <c r="R1" s="73"/>
      <c r="S1" s="73"/>
      <c r="T1" s="73"/>
      <c r="U1" s="73"/>
    </row>
    <row r="2" spans="1:21">
      <c r="A2" s="296" t="s">
        <v>834</v>
      </c>
      <c r="B2" s="278"/>
      <c r="C2" s="21"/>
      <c r="D2" s="278"/>
    </row>
    <row r="3" spans="1:21">
      <c r="A3" s="278"/>
      <c r="B3" s="231" t="s">
        <v>835</v>
      </c>
      <c r="C3" s="21" t="s">
        <v>1625</v>
      </c>
      <c r="D3" s="232">
        <v>2</v>
      </c>
      <c r="I3" s="208" t="s">
        <v>1626</v>
      </c>
      <c r="J3" s="12"/>
    </row>
    <row r="4" spans="1:21">
      <c r="A4" s="278"/>
      <c r="B4" s="278"/>
      <c r="C4" s="21"/>
      <c r="D4" s="278"/>
      <c r="I4" s="208" t="s">
        <v>1627</v>
      </c>
      <c r="J4" s="12"/>
      <c r="K4" s="12"/>
      <c r="L4" s="12"/>
    </row>
    <row r="5" spans="1:21">
      <c r="A5" s="296" t="s">
        <v>837</v>
      </c>
      <c r="B5" s="278"/>
      <c r="C5" s="21"/>
      <c r="D5" s="278"/>
      <c r="I5" s="208" t="s">
        <v>1628</v>
      </c>
      <c r="J5" s="12"/>
      <c r="K5" s="12"/>
      <c r="L5" s="12"/>
    </row>
    <row r="6" spans="1:21">
      <c r="A6" s="552"/>
      <c r="B6" s="231" t="s">
        <v>259</v>
      </c>
      <c r="C6" s="21" t="s">
        <v>1629</v>
      </c>
      <c r="D6" s="232">
        <v>0</v>
      </c>
      <c r="G6" s="207" t="str">
        <f>IF(UNJC0040_PAGE_NO=0,"","("&amp;UNJC0040_PAGE_NO&amp;"/"&amp;UNJC0040_ALL_PAGE_SU&amp;")")</f>
        <v>(1/1)</v>
      </c>
      <c r="H6" s="113"/>
      <c r="I6" s="208" t="s">
        <v>1630</v>
      </c>
      <c r="J6" s="12"/>
      <c r="K6" s="12"/>
      <c r="L6" s="12"/>
    </row>
    <row r="7" spans="1:21">
      <c r="B7" s="231" t="s">
        <v>190</v>
      </c>
      <c r="C7" s="21" t="s">
        <v>1631</v>
      </c>
      <c r="D7" s="189">
        <v>1</v>
      </c>
      <c r="H7" s="553" t="s">
        <v>1632</v>
      </c>
      <c r="I7" s="553" t="s">
        <v>1633</v>
      </c>
      <c r="J7" s="553" t="s">
        <v>1634</v>
      </c>
      <c r="K7" s="553" t="s">
        <v>1635</v>
      </c>
      <c r="L7" s="207" t="s">
        <v>28</v>
      </c>
    </row>
    <row r="8" spans="1:21">
      <c r="A8" s="278"/>
      <c r="B8" s="231" t="s">
        <v>191</v>
      </c>
      <c r="C8" s="21" t="s">
        <v>1636</v>
      </c>
      <c r="D8" s="81">
        <f>IF(OR(UNJC0040_KENSAKU_KENSU=0,UNJC0040_CTRL_HYOJI_GYO_SU=0),1,ROUNDUP(UNJC0040_KENSAKU_KENSU/UNJC0040_CTRL_HYOJI_GYO_SU,0))</f>
        <v>1</v>
      </c>
      <c r="H8" s="77"/>
      <c r="I8" s="77"/>
      <c r="J8" s="327"/>
      <c r="K8" s="77"/>
      <c r="L8" s="77"/>
      <c r="M8" s="77"/>
    </row>
    <row r="9" spans="1:21">
      <c r="A9" s="278"/>
      <c r="B9" s="231" t="s">
        <v>126</v>
      </c>
      <c r="C9" s="21" t="s">
        <v>1637</v>
      </c>
      <c r="D9" s="232"/>
      <c r="H9" s="77"/>
      <c r="I9" s="77"/>
      <c r="J9" s="327"/>
      <c r="K9" s="77"/>
      <c r="L9" s="77"/>
      <c r="M9" s="77"/>
    </row>
    <row r="10" spans="1:21">
      <c r="A10" s="278"/>
      <c r="B10" s="278"/>
      <c r="C10" s="21"/>
      <c r="D10" s="278"/>
      <c r="H10" s="77"/>
      <c r="I10" s="77"/>
      <c r="J10" s="83"/>
      <c r="K10" s="77"/>
      <c r="L10" s="77"/>
      <c r="M10" s="77"/>
    </row>
    <row r="11" spans="1:21">
      <c r="A11" s="278"/>
      <c r="B11" s="231" t="s">
        <v>201</v>
      </c>
      <c r="C11" s="21" t="s">
        <v>1638</v>
      </c>
      <c r="D11" s="232" t="str">
        <f>ADDRESS(ROW(UNJC0040_AFTER_STS)+1, COLUMN(UNJC0040_AFTER_STS))</f>
        <v>$H$8</v>
      </c>
      <c r="H11" s="77"/>
      <c r="I11" s="77"/>
      <c r="J11" s="83"/>
      <c r="K11" s="83"/>
      <c r="L11" s="83"/>
      <c r="M11" s="83"/>
    </row>
    <row r="12" spans="1:21">
      <c r="A12" s="278"/>
      <c r="B12" s="231" t="s">
        <v>203</v>
      </c>
      <c r="C12" s="21" t="s">
        <v>1639</v>
      </c>
      <c r="D12" s="232" t="str">
        <f ca="1">IF(UNJC0040_HYOJI_KENSU=0,"",UNJC0040_LIST_START&amp;":"&amp;
ADDRESS(ROW(INDIRECT(UNJC0040_LIST_START))+UNJC0040_HYOJI_KENSU-1,COLUMN(INDIRECT(UNJC0040_LIST_START))+COLUMNS(UNJC0040_IF_LIST_COPY_MOTO)-1))</f>
        <v/>
      </c>
      <c r="H12" s="77"/>
      <c r="I12" s="77"/>
      <c r="J12" s="83"/>
      <c r="K12" s="83"/>
      <c r="L12" s="83"/>
      <c r="M12" s="83"/>
    </row>
    <row r="13" spans="1:21">
      <c r="A13" s="278"/>
      <c r="B13" s="231" t="s">
        <v>204</v>
      </c>
      <c r="C13" s="21" t="s">
        <v>1640</v>
      </c>
      <c r="D13" s="81" t="str">
        <f ca="1">ADDRESS(ROW(INDIRECT(UNJC0040_LIST_START)),COLUMN(INDIRECT(UNJC0040_LIST_START)))&amp;":"&amp;
ADDRESS(ROW(INDIRECT(UNJC0040_LIST_START))+UNJC0040_CTRL_HYOJI_GYO_SU-1,COLUMN(INDIRECT(UNJC0040_LIST_START))+COLUMNS(UNJC0040_IF_LIST_COPY_MOTO)-1)</f>
        <v>$H$8:$K$9</v>
      </c>
      <c r="H13" s="77"/>
      <c r="I13" s="77"/>
      <c r="J13" s="83"/>
      <c r="K13" s="83"/>
      <c r="L13" s="83"/>
      <c r="M13" s="83"/>
    </row>
    <row r="14" spans="1:21">
      <c r="A14" s="278"/>
      <c r="B14" s="278"/>
      <c r="C14" s="21"/>
      <c r="D14" s="82"/>
      <c r="H14" s="77"/>
      <c r="I14" s="77"/>
      <c r="J14" s="83"/>
      <c r="K14" s="83"/>
      <c r="L14" s="83"/>
      <c r="M14" s="83"/>
    </row>
    <row r="15" spans="1:21">
      <c r="A15" s="278"/>
      <c r="B15" s="231" t="s">
        <v>846</v>
      </c>
      <c r="C15" s="231" t="s">
        <v>1641</v>
      </c>
      <c r="D15" s="81">
        <f>IF(UNJC0040_HYOJI_KENSU=0,2,1)</f>
        <v>2</v>
      </c>
      <c r="H15" s="77"/>
      <c r="I15" s="77"/>
      <c r="J15" s="83"/>
      <c r="K15" s="83"/>
      <c r="L15" s="83"/>
      <c r="M15" s="83"/>
    </row>
    <row r="16" spans="1:21">
      <c r="A16" s="278"/>
      <c r="B16" s="278"/>
      <c r="C16" s="21"/>
      <c r="D16" s="278"/>
    </row>
    <row r="17" spans="1:4">
      <c r="A17" s="296" t="s">
        <v>848</v>
      </c>
      <c r="B17" s="278"/>
      <c r="C17" s="21"/>
      <c r="D17" s="231" t="s">
        <v>849</v>
      </c>
    </row>
    <row r="18" spans="1:4">
      <c r="A18" s="278"/>
      <c r="B18" s="231" t="s">
        <v>850</v>
      </c>
      <c r="C18" s="21" t="s">
        <v>1642</v>
      </c>
      <c r="D18" s="232">
        <v>2</v>
      </c>
    </row>
    <row r="19" spans="1:4">
      <c r="A19" s="278"/>
      <c r="B19" s="231" t="s">
        <v>852</v>
      </c>
      <c r="C19" s="21" t="s">
        <v>1643</v>
      </c>
      <c r="D19" s="232">
        <v>2</v>
      </c>
    </row>
    <row r="20" spans="1:4">
      <c r="A20" s="278"/>
      <c r="B20" s="278"/>
      <c r="C20" s="21"/>
      <c r="D20" s="328"/>
    </row>
    <row r="21" spans="1:4">
      <c r="A21" s="278"/>
      <c r="B21" s="231" t="s">
        <v>234</v>
      </c>
      <c r="C21" s="21" t="s">
        <v>1644</v>
      </c>
      <c r="D21" s="232">
        <v>2</v>
      </c>
    </row>
    <row r="22" spans="1:4">
      <c r="A22" s="278"/>
      <c r="B22" s="231" t="s">
        <v>233</v>
      </c>
      <c r="C22" s="21" t="s">
        <v>1645</v>
      </c>
      <c r="D22" s="232">
        <v>0</v>
      </c>
    </row>
    <row r="24" spans="1:4">
      <c r="A24" s="296" t="s">
        <v>809</v>
      </c>
      <c r="B24" s="278"/>
      <c r="C24" s="278"/>
      <c r="D24" s="278"/>
    </row>
    <row r="25" spans="1:4">
      <c r="A25" s="278"/>
      <c r="B25" s="187" t="s">
        <v>276</v>
      </c>
      <c r="C25" s="252" t="s">
        <v>3792</v>
      </c>
      <c r="D25" s="81"/>
    </row>
    <row r="26" spans="1:4">
      <c r="B26" s="187" t="s">
        <v>277</v>
      </c>
      <c r="C26" s="252" t="s">
        <v>1646</v>
      </c>
      <c r="D26" s="81" t="str">
        <f>ADDRESS(ROW($A$1),COLUMN($A$1))&amp;":"&amp;ADDRESS(1,COLUMN(UNJC0040_VIEW_CURRENT_PAGE)-1)&amp;"," &amp;ADDRESS(ROW(UNJC0040_SEARCH_JURI_NO),COLUMN(UNJC0040_SEARCH_JURI_NO))&amp;":"&amp;ADDRESS(ROW(UNJC0040_SEARCH_JURI_NO),COLUMN(UNJC0040_SEARCH_JURI_NO))</f>
        <v>$A$1:$F$1,$L$7:$L$7</v>
      </c>
    </row>
  </sheetData>
  <sheetProtection sheet="1" objects="1" scenarios="1" selectLockedCells="1"/>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Q8"/>
  <sheetViews>
    <sheetView zoomScale="85" zoomScaleNormal="85" workbookViewId="0">
      <selection activeCell="H17" sqref="A17:H17"/>
    </sheetView>
  </sheetViews>
  <sheetFormatPr defaultRowHeight="13.5"/>
  <cols>
    <col min="1" max="1" width="1.375" style="278" customWidth="1"/>
    <col min="2" max="2" width="22.375" style="278" customWidth="1"/>
    <col min="3" max="3" width="20.375" style="278" customWidth="1"/>
    <col min="4" max="16384" width="9" style="278"/>
  </cols>
  <sheetData>
    <row r="2" spans="1:17">
      <c r="A2" s="279" t="s">
        <v>864</v>
      </c>
    </row>
    <row r="3" spans="1:17" ht="16.5">
      <c r="D3" s="553" t="s">
        <v>1632</v>
      </c>
      <c r="E3" s="553" t="s">
        <v>1633</v>
      </c>
      <c r="F3" s="553" t="s">
        <v>1634</v>
      </c>
      <c r="G3" s="553" t="s">
        <v>1635</v>
      </c>
      <c r="H3" s="554"/>
      <c r="I3" s="554"/>
      <c r="J3" s="554"/>
      <c r="K3" s="554"/>
      <c r="L3" s="554"/>
      <c r="M3" s="554"/>
      <c r="N3" s="554"/>
      <c r="O3" s="554"/>
      <c r="P3" s="554"/>
      <c r="Q3" s="554"/>
    </row>
    <row r="4" spans="1:17" ht="16.5">
      <c r="B4" s="280" t="s">
        <v>870</v>
      </c>
      <c r="C4" s="280" t="s">
        <v>1647</v>
      </c>
      <c r="D4" s="555"/>
      <c r="E4" s="325"/>
      <c r="F4" s="556"/>
      <c r="G4" s="325"/>
      <c r="H4" s="231"/>
      <c r="I4" s="231"/>
      <c r="J4" s="231"/>
      <c r="K4" s="231"/>
      <c r="L4" s="231"/>
      <c r="M4" s="231"/>
      <c r="N4" s="231"/>
      <c r="O4" s="231"/>
      <c r="P4" s="231"/>
      <c r="Q4" s="557"/>
    </row>
    <row r="5" spans="1:17" ht="16.5">
      <c r="B5" s="280" t="s">
        <v>199</v>
      </c>
      <c r="C5" s="280" t="s">
        <v>1648</v>
      </c>
      <c r="D5" s="558"/>
      <c r="E5" s="963"/>
      <c r="F5" s="559"/>
      <c r="G5" s="753"/>
      <c r="H5" s="560"/>
      <c r="I5" s="561"/>
      <c r="J5" s="562"/>
      <c r="K5" s="562"/>
      <c r="L5" s="563"/>
      <c r="M5" s="561"/>
      <c r="N5" s="561"/>
      <c r="O5" s="561"/>
      <c r="P5" s="561"/>
      <c r="Q5" s="564"/>
    </row>
    <row r="7" spans="1:17" ht="16.5">
      <c r="A7" s="279" t="s">
        <v>1649</v>
      </c>
      <c r="B7" s="231"/>
      <c r="C7" s="231"/>
      <c r="D7" s="231"/>
      <c r="E7" s="231"/>
      <c r="F7" s="231"/>
      <c r="G7" s="231"/>
      <c r="H7" s="231"/>
      <c r="I7" s="231"/>
      <c r="J7" s="231"/>
      <c r="K7" s="231"/>
      <c r="L7" s="231"/>
      <c r="M7" s="231"/>
      <c r="N7" s="231"/>
    </row>
    <row r="8" spans="1:17">
      <c r="B8" s="278" t="s">
        <v>1650</v>
      </c>
      <c r="C8" s="280" t="s">
        <v>1651</v>
      </c>
      <c r="D8" s="273" t="s">
        <v>1652</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12"/>
  <sheetViews>
    <sheetView zoomScale="85" zoomScaleNormal="85" workbookViewId="0"/>
  </sheetViews>
  <sheetFormatPr defaultRowHeight="13.5"/>
  <cols>
    <col min="1" max="1" width="1.375" style="278" customWidth="1"/>
    <col min="2" max="2" width="35.25" style="278" customWidth="1"/>
    <col min="3" max="3" width="23.5" style="278" customWidth="1"/>
    <col min="4" max="4" width="1.5" style="278" customWidth="1"/>
    <col min="5" max="5" width="1.25" style="278" customWidth="1"/>
    <col min="6" max="6" width="53.375" style="278" customWidth="1"/>
    <col min="7" max="16384" width="9" style="278"/>
  </cols>
  <sheetData>
    <row r="1" spans="1:7">
      <c r="B1" s="290" t="s">
        <v>1653</v>
      </c>
      <c r="C1" s="290" t="str">
        <f>UNJC0040_IF_JURI_NO</f>
        <v>ASDF</v>
      </c>
    </row>
    <row r="3" spans="1:7" ht="87" customHeight="1">
      <c r="A3" s="454"/>
      <c r="B3" s="565" t="s">
        <v>1654</v>
      </c>
      <c r="C3" s="432" t="s">
        <v>1655</v>
      </c>
      <c r="D3" s="1676" t="str">
        <f>E6&amp;E8&amp;E9&amp;E10</f>
        <v>SELECT *
  FROM V_BUN_STS_R_B
 WHERE 1=1
AND V_BUN_STS_R_B.JURI_NO = 'ASDF'
 ORDER BY V_BUN_STS_R_B.UPDATE_DATE DESC
  OFFSET 0*2 ROWS
 FETCH NEXT 2 ROWS ONLY</v>
      </c>
      <c r="E3" s="1676"/>
      <c r="F3" s="1676"/>
    </row>
    <row r="4" spans="1:7" ht="87" customHeight="1">
      <c r="A4" s="454"/>
      <c r="B4" s="565" t="s">
        <v>1656</v>
      </c>
      <c r="C4" s="432" t="s">
        <v>1657</v>
      </c>
      <c r="D4" s="1676" t="str">
        <f>E7&amp;E8</f>
        <v xml:space="preserve">SELECT COUNT(*) AS CNT
  FROM V_BUN_STS_R_B
 WHERE 1=1
AND V_BUN_STS_R_B.JURI_NO = 'ASDF'
</v>
      </c>
      <c r="E4" s="1676"/>
      <c r="F4" s="1676"/>
    </row>
    <row r="5" spans="1:7" ht="87" customHeight="1">
      <c r="A5" s="454"/>
      <c r="B5" s="565" t="s">
        <v>1658</v>
      </c>
      <c r="C5" s="432" t="s">
        <v>1659</v>
      </c>
      <c r="D5" s="1676" t="str">
        <f>IF($C$1=0,"",
"SELECT *
  FROM V_BUN_STS_R_H
 WHERE 1=1   AND V_BUN_STS_R_H.JURI_NO = " &amp;"'" &amp;$C$1 &amp;"'"
)</f>
        <v>SELECT *
  FROM V_BUN_STS_R_H
 WHERE 1=1   AND V_BUN_STS_R_H.JURI_NO = 'ASDF'</v>
      </c>
      <c r="E5" s="1676"/>
      <c r="F5" s="1676"/>
    </row>
    <row r="6" spans="1:7" ht="87" customHeight="1">
      <c r="A6" s="454"/>
      <c r="B6" s="565" t="s">
        <v>1660</v>
      </c>
      <c r="C6" s="432"/>
      <c r="D6" s="454"/>
      <c r="E6" s="1674" t="s">
        <v>1661</v>
      </c>
      <c r="F6" s="1674"/>
    </row>
    <row r="7" spans="1:7" ht="87" customHeight="1">
      <c r="A7" s="454"/>
      <c r="B7" s="566" t="s">
        <v>1662</v>
      </c>
      <c r="C7" s="432"/>
      <c r="D7" s="454"/>
      <c r="E7" s="1675" t="s">
        <v>1663</v>
      </c>
      <c r="F7" s="1675"/>
    </row>
    <row r="8" spans="1:7" ht="81.75" customHeight="1">
      <c r="A8" s="454"/>
      <c r="B8" s="567" t="s">
        <v>1664</v>
      </c>
      <c r="C8" s="432"/>
      <c r="D8" s="568"/>
      <c r="E8" s="1679" t="str">
        <f>IF($C$1=0,"",
"AND V_BUN_STS_R_B.JURI_NO = "&amp;"'"&amp;$C$1&amp;"'
")</f>
        <v xml:space="preserve">AND V_BUN_STS_R_B.JURI_NO = 'ASDF'
</v>
      </c>
      <c r="F8" s="1679"/>
    </row>
    <row r="9" spans="1:7" ht="18.75">
      <c r="A9" s="454"/>
      <c r="B9" s="569" t="s">
        <v>985</v>
      </c>
      <c r="C9" s="570" t="s">
        <v>1665</v>
      </c>
      <c r="D9" s="454"/>
      <c r="E9" s="1674" t="s">
        <v>1666</v>
      </c>
      <c r="F9" s="1674"/>
    </row>
    <row r="10" spans="1:7" ht="18.75">
      <c r="A10" s="454"/>
      <c r="B10" s="569" t="s">
        <v>987</v>
      </c>
      <c r="C10" s="570"/>
      <c r="D10" s="454"/>
      <c r="E10" s="1675" t="str">
        <f xml:space="preserve"> "
  OFFSET "&amp;(UNJC0040_PAGE_NO-1)&amp;"*"&amp;UNJC0040_CTRL_HYOJI_GYO_SU&amp;" ROWS
 FETCH NEXT "&amp;UNJC0040_CTRL_HYOJI_GYO_SU&amp;" ROWS ONLY"</f>
        <v xml:space="preserve">
  OFFSET 0*2 ROWS
 FETCH NEXT 2 ROWS ONLY</v>
      </c>
      <c r="F10" s="1675"/>
    </row>
    <row r="11" spans="1:7" ht="78" customHeight="1">
      <c r="A11" s="454"/>
      <c r="B11" s="571" t="s">
        <v>988</v>
      </c>
      <c r="C11" s="570" t="s">
        <v>1667</v>
      </c>
      <c r="D11" s="1676" t="s">
        <v>1668</v>
      </c>
      <c r="E11" s="1676"/>
      <c r="F11" s="1676"/>
      <c r="G11" s="278" t="s">
        <v>2192</v>
      </c>
    </row>
    <row r="12" spans="1:7" ht="78" customHeight="1">
      <c r="A12" s="454"/>
      <c r="B12" s="572" t="s">
        <v>990</v>
      </c>
      <c r="C12" s="432" t="s">
        <v>1669</v>
      </c>
      <c r="D12" s="1677" t="s">
        <v>1670</v>
      </c>
      <c r="E12" s="1678"/>
      <c r="F12" s="1678"/>
    </row>
  </sheetData>
  <mergeCells count="10">
    <mergeCell ref="E9:F9"/>
    <mergeCell ref="E10:F10"/>
    <mergeCell ref="D11:F11"/>
    <mergeCell ref="D12:F12"/>
    <mergeCell ref="D3:F3"/>
    <mergeCell ref="D4:F4"/>
    <mergeCell ref="D5:F5"/>
    <mergeCell ref="E6:F6"/>
    <mergeCell ref="E7:F7"/>
    <mergeCell ref="E8:F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A1:AE28"/>
  <sheetViews>
    <sheetView showGridLines="0" showRowColHeaders="0" topLeftCell="F1" zoomScaleNormal="100" workbookViewId="0">
      <selection activeCell="H3" sqref="H3:K3"/>
    </sheetView>
  </sheetViews>
  <sheetFormatPr defaultRowHeight="16.5"/>
  <cols>
    <col min="1" max="1" width="2.125" style="231" hidden="1" customWidth="1"/>
    <col min="2" max="2" width="21.375" style="231" hidden="1" customWidth="1"/>
    <col min="3" max="4" width="16.875" style="231" hidden="1" customWidth="1"/>
    <col min="5" max="5" width="9" style="231" hidden="1" customWidth="1"/>
    <col min="6" max="6" width="3.25" style="207" customWidth="1"/>
    <col min="7" max="7" width="11.625" style="207" customWidth="1"/>
    <col min="8" max="26" width="3.25" style="207" customWidth="1"/>
    <col min="27" max="50" width="3.375" style="207" customWidth="1"/>
    <col min="51" max="16384" width="9" style="207"/>
  </cols>
  <sheetData>
    <row r="1" spans="1:31" s="73" customFormat="1" ht="19.5">
      <c r="A1" s="469"/>
      <c r="B1" s="469"/>
      <c r="C1" s="469"/>
      <c r="D1" s="469"/>
      <c r="E1" s="469"/>
      <c r="F1" s="73" t="s">
        <v>1838</v>
      </c>
    </row>
    <row r="2" spans="1:31">
      <c r="A2" s="296" t="s">
        <v>746</v>
      </c>
      <c r="C2" s="21"/>
      <c r="D2" s="297" t="s">
        <v>1839</v>
      </c>
      <c r="H2" s="215"/>
      <c r="I2" s="215"/>
      <c r="J2" s="215"/>
      <c r="K2" s="215"/>
      <c r="L2" s="215"/>
      <c r="M2" s="215"/>
      <c r="N2" s="215"/>
      <c r="O2" s="215"/>
      <c r="P2" s="215"/>
      <c r="Q2" s="215"/>
      <c r="R2" s="215"/>
      <c r="S2" s="215"/>
      <c r="T2" s="215"/>
      <c r="U2" s="215"/>
      <c r="V2" s="215"/>
      <c r="W2" s="215"/>
      <c r="X2" s="215"/>
      <c r="Y2" s="215"/>
      <c r="Z2" s="215"/>
      <c r="AA2" s="215"/>
      <c r="AB2" s="215"/>
      <c r="AC2" s="215"/>
      <c r="AD2" s="215"/>
      <c r="AE2" s="215"/>
    </row>
    <row r="3" spans="1:31">
      <c r="B3" s="299" t="s">
        <v>748</v>
      </c>
      <c r="C3" s="300" t="s">
        <v>1840</v>
      </c>
      <c r="D3" s="301" t="b">
        <v>1</v>
      </c>
      <c r="G3" s="208" t="s">
        <v>750</v>
      </c>
      <c r="H3" s="1701"/>
      <c r="I3" s="1702"/>
      <c r="J3" s="1702"/>
      <c r="K3" s="1703"/>
    </row>
    <row r="4" spans="1:31">
      <c r="B4" s="299" t="s">
        <v>751</v>
      </c>
      <c r="C4" s="300" t="s">
        <v>1841</v>
      </c>
      <c r="D4" s="301" t="b">
        <v>1</v>
      </c>
      <c r="G4" s="208" t="s">
        <v>1842</v>
      </c>
      <c r="H4" s="302"/>
      <c r="I4" s="1251" t="s">
        <v>2772</v>
      </c>
      <c r="J4" s="1251"/>
      <c r="K4" s="1251"/>
      <c r="L4" s="303"/>
      <c r="M4" s="1251" t="s">
        <v>754</v>
      </c>
      <c r="N4" s="1251"/>
      <c r="O4" s="1251"/>
      <c r="P4" s="303"/>
      <c r="Q4" s="1251" t="s">
        <v>2203</v>
      </c>
      <c r="R4" s="1251"/>
      <c r="S4" s="1251"/>
      <c r="T4" s="303"/>
      <c r="U4" s="1251" t="s">
        <v>2771</v>
      </c>
      <c r="V4" s="1251"/>
      <c r="W4" s="1251"/>
      <c r="X4" s="303"/>
      <c r="Y4" s="1251" t="s">
        <v>756</v>
      </c>
      <c r="Z4" s="1251"/>
      <c r="AA4" s="1251"/>
      <c r="AB4" s="303"/>
      <c r="AC4" s="1251" t="s">
        <v>1844</v>
      </c>
      <c r="AD4" s="1251"/>
      <c r="AE4" s="1252"/>
    </row>
    <row r="5" spans="1:31">
      <c r="B5" s="299" t="s">
        <v>758</v>
      </c>
      <c r="C5" s="300" t="s">
        <v>1846</v>
      </c>
      <c r="D5" s="301" t="b">
        <v>1</v>
      </c>
      <c r="H5" s="304"/>
      <c r="I5" s="1253" t="s">
        <v>760</v>
      </c>
      <c r="J5" s="1253"/>
      <c r="K5" s="1253"/>
      <c r="L5" s="305"/>
      <c r="M5" s="1253" t="s">
        <v>761</v>
      </c>
      <c r="N5" s="1253"/>
      <c r="O5" s="1253"/>
      <c r="P5" s="305"/>
      <c r="Q5" s="1253" t="s">
        <v>762</v>
      </c>
      <c r="R5" s="1253"/>
      <c r="S5" s="1253"/>
      <c r="T5" s="305"/>
      <c r="U5" s="1253" t="s">
        <v>763</v>
      </c>
      <c r="V5" s="1253"/>
      <c r="W5" s="1253"/>
      <c r="X5" s="305"/>
      <c r="Y5" s="1253" t="s">
        <v>764</v>
      </c>
      <c r="Z5" s="1253"/>
      <c r="AA5" s="1253"/>
      <c r="AB5" s="306"/>
      <c r="AC5" s="1253" t="s">
        <v>765</v>
      </c>
      <c r="AD5" s="1253"/>
      <c r="AE5" s="1254"/>
    </row>
    <row r="6" spans="1:31">
      <c r="B6" s="299" t="s">
        <v>766</v>
      </c>
      <c r="C6" s="300" t="s">
        <v>1845</v>
      </c>
      <c r="D6" s="301" t="b">
        <v>1</v>
      </c>
    </row>
    <row r="7" spans="1:31">
      <c r="B7" s="299" t="s">
        <v>768</v>
      </c>
      <c r="C7" s="300" t="s">
        <v>1847</v>
      </c>
      <c r="D7" s="301" t="b">
        <v>1</v>
      </c>
      <c r="G7" s="208" t="s">
        <v>82</v>
      </c>
      <c r="H7" s="1698"/>
      <c r="I7" s="1699"/>
      <c r="J7" s="1699"/>
      <c r="K7" s="1700"/>
      <c r="R7" s="208" t="s">
        <v>4429</v>
      </c>
      <c r="S7" s="1261">
        <f ca="1">TODAY()</f>
        <v>43005</v>
      </c>
      <c r="T7" s="1262"/>
      <c r="U7" s="1262"/>
      <c r="V7" s="1263"/>
      <c r="W7" s="590" t="s">
        <v>1848</v>
      </c>
      <c r="X7" s="1261">
        <f ca="1">TODAY()</f>
        <v>43005</v>
      </c>
      <c r="Y7" s="1262"/>
      <c r="Z7" s="1262"/>
      <c r="AA7" s="1263"/>
    </row>
    <row r="8" spans="1:31">
      <c r="B8" s="299" t="s">
        <v>770</v>
      </c>
      <c r="C8" s="300" t="s">
        <v>1849</v>
      </c>
      <c r="D8" s="301" t="b">
        <v>1</v>
      </c>
      <c r="G8" s="208" t="s">
        <v>85</v>
      </c>
      <c r="H8" s="1689"/>
      <c r="I8" s="1690"/>
      <c r="J8" s="1690"/>
      <c r="K8" s="1691"/>
      <c r="R8" s="208" t="s">
        <v>4430</v>
      </c>
      <c r="S8" s="1261"/>
      <c r="T8" s="1262"/>
      <c r="U8" s="1262"/>
      <c r="V8" s="1263"/>
      <c r="W8" s="590" t="s">
        <v>1850</v>
      </c>
      <c r="X8" s="1261"/>
      <c r="Y8" s="1262"/>
      <c r="Z8" s="1262"/>
      <c r="AA8" s="1263"/>
    </row>
    <row r="9" spans="1:31">
      <c r="B9" s="299" t="s">
        <v>772</v>
      </c>
      <c r="C9" s="300" t="s">
        <v>1851</v>
      </c>
      <c r="D9" s="301" t="b">
        <v>1</v>
      </c>
      <c r="G9" s="208" t="s">
        <v>1852</v>
      </c>
      <c r="H9" s="1689"/>
      <c r="I9" s="1690"/>
      <c r="J9" s="1690"/>
      <c r="K9" s="1691"/>
      <c r="R9" s="208" t="s">
        <v>4432</v>
      </c>
      <c r="S9" s="1261"/>
      <c r="T9" s="1262"/>
      <c r="U9" s="1262"/>
      <c r="V9" s="1263"/>
      <c r="W9" s="590" t="s">
        <v>1850</v>
      </c>
      <c r="X9" s="1261"/>
      <c r="Y9" s="1262"/>
      <c r="Z9" s="1262"/>
      <c r="AA9" s="1263"/>
    </row>
    <row r="10" spans="1:31">
      <c r="B10" s="299" t="s">
        <v>776</v>
      </c>
      <c r="C10" s="300" t="s">
        <v>1853</v>
      </c>
      <c r="D10" s="301" t="b">
        <v>1</v>
      </c>
      <c r="G10" s="7" t="s">
        <v>83</v>
      </c>
      <c r="H10" s="1692"/>
      <c r="I10" s="1693"/>
      <c r="J10" s="1693"/>
      <c r="K10" s="1694"/>
      <c r="R10" s="208" t="s">
        <v>4433</v>
      </c>
      <c r="S10" s="1261"/>
      <c r="T10" s="1262"/>
      <c r="U10" s="1262"/>
      <c r="V10" s="1263"/>
      <c r="W10" s="590" t="s">
        <v>1848</v>
      </c>
      <c r="X10" s="1261"/>
      <c r="Y10" s="1262"/>
      <c r="Z10" s="1262"/>
      <c r="AA10" s="1263"/>
    </row>
    <row r="11" spans="1:31">
      <c r="B11" s="299" t="s">
        <v>778</v>
      </c>
      <c r="C11" s="300" t="s">
        <v>1854</v>
      </c>
      <c r="D11" s="301" t="b">
        <v>1</v>
      </c>
      <c r="G11" s="7" t="s">
        <v>1006</v>
      </c>
      <c r="H11" s="1338"/>
      <c r="I11" s="1339"/>
      <c r="J11" s="1339"/>
      <c r="K11" s="1340"/>
      <c r="R11" s="208" t="s">
        <v>4434</v>
      </c>
      <c r="S11" s="1261"/>
      <c r="T11" s="1262"/>
      <c r="U11" s="1262"/>
      <c r="V11" s="1263"/>
      <c r="W11" s="590" t="s">
        <v>1848</v>
      </c>
      <c r="X11" s="1261"/>
      <c r="Y11" s="1262"/>
      <c r="Z11" s="1262"/>
      <c r="AA11" s="1263"/>
    </row>
    <row r="12" spans="1:31">
      <c r="B12" s="299" t="s">
        <v>781</v>
      </c>
      <c r="C12" s="300" t="s">
        <v>1855</v>
      </c>
      <c r="D12" s="301" t="b">
        <v>1</v>
      </c>
    </row>
    <row r="13" spans="1:31">
      <c r="A13" s="278"/>
      <c r="B13" s="299" t="s">
        <v>783</v>
      </c>
      <c r="C13" s="300" t="s">
        <v>1856</v>
      </c>
      <c r="D13" s="301" t="b">
        <v>0</v>
      </c>
      <c r="G13" s="208" t="s">
        <v>787</v>
      </c>
      <c r="H13" s="1686"/>
      <c r="I13" s="1687"/>
      <c r="J13" s="1687"/>
      <c r="K13" s="1688"/>
      <c r="L13" s="1695"/>
      <c r="M13" s="1696"/>
      <c r="N13" s="1696"/>
      <c r="O13" s="1696"/>
      <c r="P13" s="1696"/>
      <c r="Q13" s="1696"/>
      <c r="R13" s="1696"/>
      <c r="S13" s="1696"/>
      <c r="T13" s="1696"/>
      <c r="U13" s="1696"/>
      <c r="V13" s="1696"/>
      <c r="W13" s="1696"/>
      <c r="X13" s="1696"/>
      <c r="Y13" s="1696"/>
      <c r="Z13" s="1696"/>
      <c r="AA13" s="1697"/>
    </row>
    <row r="14" spans="1:31">
      <c r="B14" s="299" t="s">
        <v>785</v>
      </c>
      <c r="C14" s="300" t="s">
        <v>1857</v>
      </c>
      <c r="D14" s="301" t="b">
        <v>0</v>
      </c>
      <c r="G14" s="208" t="s">
        <v>68</v>
      </c>
      <c r="H14" s="1686"/>
      <c r="I14" s="1687"/>
      <c r="J14" s="1687"/>
      <c r="K14" s="1688"/>
      <c r="L14" s="1394" t="str">
        <f>IF(OR(UNJC0060_H_SEIKYUSAKI_CD="",UNJC0060_H_SEIKYUSAKI_MEI=""),"",UNJC0060_H_SEIKYUSAKI_MEI)</f>
        <v/>
      </c>
      <c r="M14" s="1395"/>
      <c r="N14" s="1395"/>
      <c r="O14" s="1395"/>
      <c r="P14" s="1395"/>
      <c r="Q14" s="1395"/>
      <c r="R14" s="1395"/>
      <c r="S14" s="1395"/>
      <c r="T14" s="1395"/>
      <c r="U14" s="1395"/>
      <c r="V14" s="1395"/>
      <c r="W14" s="1395"/>
      <c r="X14" s="1395"/>
      <c r="Y14" s="1395"/>
      <c r="Z14" s="1395"/>
      <c r="AA14" s="1396"/>
    </row>
    <row r="15" spans="1:31">
      <c r="B15" s="85" t="s">
        <v>788</v>
      </c>
      <c r="C15" s="85" t="s">
        <v>1858</v>
      </c>
      <c r="D15" s="301">
        <v>1</v>
      </c>
    </row>
    <row r="16" spans="1:31">
      <c r="B16" s="82"/>
      <c r="C16" s="85"/>
      <c r="D16" s="82"/>
      <c r="G16" s="208" t="s">
        <v>792</v>
      </c>
      <c r="H16" s="1680"/>
      <c r="I16" s="1681"/>
      <c r="J16" s="1681"/>
      <c r="K16" s="1681"/>
      <c r="L16" s="1681"/>
      <c r="M16" s="1681"/>
      <c r="N16" s="1681"/>
      <c r="O16" s="1682"/>
      <c r="S16" s="208" t="s">
        <v>793</v>
      </c>
      <c r="T16" s="1683"/>
      <c r="U16" s="1684"/>
      <c r="V16" s="1684"/>
      <c r="W16" s="1684"/>
      <c r="X16" s="1684"/>
      <c r="Y16" s="1684"/>
      <c r="Z16" s="1684"/>
      <c r="AA16" s="1685"/>
    </row>
    <row r="17" spans="1:29">
      <c r="A17" s="282"/>
      <c r="B17" s="82"/>
      <c r="C17" s="82"/>
      <c r="D17" s="82"/>
    </row>
    <row r="18" spans="1:29">
      <c r="A18" s="82"/>
      <c r="B18" s="308" t="s">
        <v>4</v>
      </c>
      <c r="C18" s="309" t="s">
        <v>1859</v>
      </c>
      <c r="D18" s="310"/>
      <c r="G18" s="208" t="s">
        <v>1860</v>
      </c>
      <c r="H18" s="1344"/>
      <c r="I18" s="1345"/>
      <c r="J18" s="1345"/>
      <c r="K18" s="1346"/>
      <c r="L18" s="77" t="str">
        <f>IF(UNJC0060_H_FREEWD_KBN=1,"AND",IF(UNJC0060_H_FREEWD_KBN=2,"OR","NAND"))</f>
        <v>AND</v>
      </c>
      <c r="M18" s="1344"/>
      <c r="N18" s="1345"/>
      <c r="O18" s="1345"/>
      <c r="P18" s="1346"/>
      <c r="Q18" s="77" t="str">
        <f>IF(UNJC0060_H_FREEWD_KBN=1,"AND",IF(UNJC0060_H_FREEWD_KBN=2,"OR","NAND"))</f>
        <v>AND</v>
      </c>
      <c r="R18" s="1344"/>
      <c r="S18" s="1345"/>
      <c r="T18" s="1345"/>
      <c r="U18" s="1346"/>
      <c r="V18" s="215"/>
      <c r="W18" s="215"/>
      <c r="X18" s="215"/>
      <c r="Y18" s="215"/>
      <c r="Z18" s="215"/>
      <c r="AA18" s="215"/>
      <c r="AB18" s="215"/>
      <c r="AC18" s="215"/>
    </row>
    <row r="19" spans="1:29">
      <c r="A19" s="82"/>
      <c r="B19" s="311" t="s">
        <v>98</v>
      </c>
      <c r="C19" s="312" t="s">
        <v>1861</v>
      </c>
      <c r="D19" s="313"/>
      <c r="E19" s="591"/>
      <c r="V19" s="215"/>
      <c r="W19" s="215"/>
      <c r="X19" s="215"/>
      <c r="Y19" s="215"/>
      <c r="Z19" s="215"/>
      <c r="AA19" s="215"/>
      <c r="AB19" s="215"/>
      <c r="AC19" s="215"/>
    </row>
    <row r="20" spans="1:29">
      <c r="A20" s="82"/>
      <c r="B20" s="315" t="s">
        <v>97</v>
      </c>
      <c r="C20" s="312" t="s">
        <v>1862</v>
      </c>
      <c r="D20" s="313"/>
      <c r="V20" s="298"/>
      <c r="W20" s="298"/>
      <c r="X20" s="298"/>
      <c r="Y20" s="298"/>
      <c r="Z20" s="298"/>
      <c r="AA20" s="298"/>
      <c r="AB20" s="298"/>
      <c r="AC20" s="298"/>
    </row>
    <row r="21" spans="1:29">
      <c r="A21" s="82"/>
      <c r="B21" s="315" t="s">
        <v>1863</v>
      </c>
      <c r="C21" s="312" t="s">
        <v>1864</v>
      </c>
      <c r="D21" s="313"/>
    </row>
    <row r="22" spans="1:29">
      <c r="A22" s="282"/>
      <c r="B22" s="231" t="s">
        <v>801</v>
      </c>
      <c r="C22" s="309" t="s">
        <v>1865</v>
      </c>
      <c r="D22" s="313" t="str">
        <f ca="1">IF(UNJC0060_H_BUNSEKIKUBUN="","",VLOOKUP(UNJC0060_H_BUNSEKIKUBUN,OFFSET(UNJC0060_IF_LIST_BUNSEKI_KBN_TENKAIICHI,,,IF(UNJC0060_IF_LIST_BUNSEKI_KBN_HOHO_KENSU=0,1,UNJC0060_IF_LIST_BUNSEKI_KBN_HOHO_KENSU),2),2,0))</f>
        <v/>
      </c>
    </row>
    <row r="23" spans="1:29">
      <c r="A23" s="282"/>
      <c r="B23" s="320" t="s">
        <v>803</v>
      </c>
      <c r="C23" s="592" t="s">
        <v>1866</v>
      </c>
      <c r="D23" s="593"/>
    </row>
    <row r="24" spans="1:29">
      <c r="A24" s="278"/>
      <c r="B24" s="594" t="s">
        <v>805</v>
      </c>
      <c r="C24" s="595" t="s">
        <v>1867</v>
      </c>
      <c r="D24" s="596"/>
    </row>
    <row r="25" spans="1:29">
      <c r="A25" s="278"/>
      <c r="B25" s="316"/>
      <c r="C25" s="309"/>
      <c r="D25" s="317" t="s">
        <v>807</v>
      </c>
    </row>
    <row r="26" spans="1:29">
      <c r="A26" s="296" t="s">
        <v>809</v>
      </c>
      <c r="C26" s="21"/>
      <c r="D26" s="278"/>
    </row>
    <row r="27" spans="1:29">
      <c r="B27" s="187" t="s">
        <v>276</v>
      </c>
      <c r="C27" s="252" t="s">
        <v>3793</v>
      </c>
      <c r="D27" s="318"/>
    </row>
    <row r="28" spans="1:29">
      <c r="B28" s="187" t="s">
        <v>277</v>
      </c>
      <c r="C28" s="252" t="s">
        <v>1868</v>
      </c>
      <c r="D28" s="318" t="str">
        <f>ADDRESS(ROW(A1),COLUMN(A1))&amp;":"&amp;ADDRESS(ROW(UNJC0060_H_FORM_UPPER_LEFT),COLUMN(UNJC0060_H_FORM_UPPER_LEFT)-1)</f>
        <v>$A$1:$E$1</v>
      </c>
    </row>
  </sheetData>
  <sheetProtection sheet="1" objects="1" scenarios="1" selectLockedCells="1"/>
  <mergeCells count="37">
    <mergeCell ref="H3:K3"/>
    <mergeCell ref="I4:K4"/>
    <mergeCell ref="M4:O4"/>
    <mergeCell ref="Q4:S4"/>
    <mergeCell ref="U4:W4"/>
    <mergeCell ref="AC4:AE4"/>
    <mergeCell ref="I5:K5"/>
    <mergeCell ref="M5:O5"/>
    <mergeCell ref="Q5:S5"/>
    <mergeCell ref="U5:W5"/>
    <mergeCell ref="Y5:AA5"/>
    <mergeCell ref="AC5:AE5"/>
    <mergeCell ref="Y4:AA4"/>
    <mergeCell ref="H7:K7"/>
    <mergeCell ref="S7:V7"/>
    <mergeCell ref="X7:AA7"/>
    <mergeCell ref="H8:K8"/>
    <mergeCell ref="S8:V8"/>
    <mergeCell ref="X8:AA8"/>
    <mergeCell ref="H14:K14"/>
    <mergeCell ref="L14:AA14"/>
    <mergeCell ref="H9:K9"/>
    <mergeCell ref="S9:V9"/>
    <mergeCell ref="X9:AA9"/>
    <mergeCell ref="H10:K10"/>
    <mergeCell ref="S10:V10"/>
    <mergeCell ref="X10:AA10"/>
    <mergeCell ref="H11:K11"/>
    <mergeCell ref="S11:V11"/>
    <mergeCell ref="X11:AA11"/>
    <mergeCell ref="H13:K13"/>
    <mergeCell ref="L13:AA13"/>
    <mergeCell ref="H16:O16"/>
    <mergeCell ref="T16:AA16"/>
    <mergeCell ref="H18:K18"/>
    <mergeCell ref="M18:P18"/>
    <mergeCell ref="R18:U18"/>
  </mergeCells>
  <phoneticPr fontId="2"/>
  <dataValidations count="6">
    <dataValidation type="textLength" operator="lessThanOrEqual" allowBlank="1" showInputMessage="1" showErrorMessage="1" sqref="T16:AA16 H16:O16">
      <formula1>20</formula1>
    </dataValidation>
    <dataValidation type="textLength" operator="lessThanOrEqual" allowBlank="1" showInputMessage="1" showErrorMessage="1" sqref="L13:AA13">
      <formula1>50</formula1>
    </dataValidation>
    <dataValidation type="custom" allowBlank="1" showInputMessage="1" showErrorMessage="1" sqref="H10:K10">
      <formula1>AND(LEN(UNJC0060_H_MITSUMORI_NO)=LENB(UNJC0060_H_MITSUMORI_NO),LEN(UNJC0060_H_MITSUMORI_NO)=10)</formula1>
    </dataValidation>
    <dataValidation type="custom" allowBlank="1" showInputMessage="1" showErrorMessage="1" sqref="H7:K7">
      <formula1>AND(LEN(UNJC0060_H_JURI_NO)=LENB(UNJC0060_H_JURI_NO),LEN(UNJC0060_H_JURI_NO)=10)</formula1>
    </dataValidation>
    <dataValidation type="list" allowBlank="1" showInputMessage="1" showErrorMessage="1" sqref="H11:K11">
      <formula1>UNJC0060_IF_LIST_BUNSEKI_KBN_HOHO</formula1>
    </dataValidation>
    <dataValidation type="date" allowBlank="1" showInputMessage="1" showErrorMessage="1" sqref="S7:V7 S8:V8 S9:V9 S10:V10 S11:V11 X11:AA11 X10:AA10 X9:AA9 X8:AA8 X7:AA7">
      <formula1>36526</formula1>
      <formula2>73415</formula2>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72225" r:id="rId4" name="Check Box 1">
              <controlPr defaultSize="0" autoFill="0" autoLine="0" autoPict="0">
                <anchor moveWithCells="1">
                  <from>
                    <xdr:col>7</xdr:col>
                    <xdr:colOff>57150</xdr:colOff>
                    <xdr:row>3</xdr:row>
                    <xdr:rowOff>9525</xdr:rowOff>
                  </from>
                  <to>
                    <xdr:col>9</xdr:col>
                    <xdr:colOff>200025</xdr:colOff>
                    <xdr:row>3</xdr:row>
                    <xdr:rowOff>180975</xdr:rowOff>
                  </to>
                </anchor>
              </controlPr>
            </control>
          </mc:Choice>
        </mc:AlternateContent>
        <mc:AlternateContent xmlns:mc="http://schemas.openxmlformats.org/markup-compatibility/2006">
          <mc:Choice Requires="x14">
            <control shapeId="1972226" r:id="rId5" name="Check Box 2">
              <controlPr defaultSize="0" autoFill="0" autoLine="0" autoPict="0">
                <anchor moveWithCells="1">
                  <from>
                    <xdr:col>11</xdr:col>
                    <xdr:colOff>57150</xdr:colOff>
                    <xdr:row>3</xdr:row>
                    <xdr:rowOff>9525</xdr:rowOff>
                  </from>
                  <to>
                    <xdr:col>14</xdr:col>
                    <xdr:colOff>85725</xdr:colOff>
                    <xdr:row>3</xdr:row>
                    <xdr:rowOff>180975</xdr:rowOff>
                  </to>
                </anchor>
              </controlPr>
            </control>
          </mc:Choice>
        </mc:AlternateContent>
        <mc:AlternateContent xmlns:mc="http://schemas.openxmlformats.org/markup-compatibility/2006">
          <mc:Choice Requires="x14">
            <control shapeId="1972227" r:id="rId6" name="Check Box 3">
              <controlPr defaultSize="0" autoFill="0" autoLine="0" autoPict="0">
                <anchor moveWithCells="1">
                  <from>
                    <xdr:col>19</xdr:col>
                    <xdr:colOff>57150</xdr:colOff>
                    <xdr:row>3</xdr:row>
                    <xdr:rowOff>19050</xdr:rowOff>
                  </from>
                  <to>
                    <xdr:col>23</xdr:col>
                    <xdr:colOff>0</xdr:colOff>
                    <xdr:row>3</xdr:row>
                    <xdr:rowOff>161925</xdr:rowOff>
                  </to>
                </anchor>
              </controlPr>
            </control>
          </mc:Choice>
        </mc:AlternateContent>
        <mc:AlternateContent xmlns:mc="http://schemas.openxmlformats.org/markup-compatibility/2006">
          <mc:Choice Requires="x14">
            <control shapeId="1972228" r:id="rId7" name="Check Box 4">
              <controlPr defaultSize="0" autoFill="0" autoLine="0" autoPict="0">
                <anchor moveWithCells="1">
                  <from>
                    <xdr:col>15</xdr:col>
                    <xdr:colOff>47625</xdr:colOff>
                    <xdr:row>3</xdr:row>
                    <xdr:rowOff>19050</xdr:rowOff>
                  </from>
                  <to>
                    <xdr:col>18</xdr:col>
                    <xdr:colOff>161925</xdr:colOff>
                    <xdr:row>3</xdr:row>
                    <xdr:rowOff>161925</xdr:rowOff>
                  </to>
                </anchor>
              </controlPr>
            </control>
          </mc:Choice>
        </mc:AlternateContent>
        <mc:AlternateContent xmlns:mc="http://schemas.openxmlformats.org/markup-compatibility/2006">
          <mc:Choice Requires="x14">
            <control shapeId="1972229" r:id="rId8" name="Check Box 5">
              <controlPr defaultSize="0" autoFill="0" autoLine="0" autoPict="0">
                <anchor moveWithCells="1">
                  <from>
                    <xdr:col>23</xdr:col>
                    <xdr:colOff>76200</xdr:colOff>
                    <xdr:row>3</xdr:row>
                    <xdr:rowOff>19050</xdr:rowOff>
                  </from>
                  <to>
                    <xdr:col>25</xdr:col>
                    <xdr:colOff>180975</xdr:colOff>
                    <xdr:row>3</xdr:row>
                    <xdr:rowOff>161925</xdr:rowOff>
                  </to>
                </anchor>
              </controlPr>
            </control>
          </mc:Choice>
        </mc:AlternateContent>
        <mc:AlternateContent xmlns:mc="http://schemas.openxmlformats.org/markup-compatibility/2006">
          <mc:Choice Requires="x14">
            <control shapeId="1972230" r:id="rId9" name="Check Box 6">
              <controlPr defaultSize="0" autoFill="0" autoLine="0" autoPict="0">
                <anchor moveWithCells="1">
                  <from>
                    <xdr:col>27</xdr:col>
                    <xdr:colOff>95250</xdr:colOff>
                    <xdr:row>2</xdr:row>
                    <xdr:rowOff>209550</xdr:rowOff>
                  </from>
                  <to>
                    <xdr:col>30</xdr:col>
                    <xdr:colOff>152400</xdr:colOff>
                    <xdr:row>3</xdr:row>
                    <xdr:rowOff>180975</xdr:rowOff>
                  </to>
                </anchor>
              </controlPr>
            </control>
          </mc:Choice>
        </mc:AlternateContent>
        <mc:AlternateContent xmlns:mc="http://schemas.openxmlformats.org/markup-compatibility/2006">
          <mc:Choice Requires="x14">
            <control shapeId="1972231" r:id="rId10" name="Check Box 7">
              <controlPr defaultSize="0" autoFill="0" autoLine="0" autoPict="0">
                <anchor moveWithCells="1">
                  <from>
                    <xdr:col>7</xdr:col>
                    <xdr:colOff>57150</xdr:colOff>
                    <xdr:row>4</xdr:row>
                    <xdr:rowOff>19050</xdr:rowOff>
                  </from>
                  <to>
                    <xdr:col>10</xdr:col>
                    <xdr:colOff>171450</xdr:colOff>
                    <xdr:row>4</xdr:row>
                    <xdr:rowOff>161925</xdr:rowOff>
                  </to>
                </anchor>
              </controlPr>
            </control>
          </mc:Choice>
        </mc:AlternateContent>
        <mc:AlternateContent xmlns:mc="http://schemas.openxmlformats.org/markup-compatibility/2006">
          <mc:Choice Requires="x14">
            <control shapeId="1972232" r:id="rId11" name="Check Box 8">
              <controlPr defaultSize="0" autoFill="0" autoLine="0" autoPict="0">
                <anchor moveWithCells="1">
                  <from>
                    <xdr:col>11</xdr:col>
                    <xdr:colOff>57150</xdr:colOff>
                    <xdr:row>4</xdr:row>
                    <xdr:rowOff>9525</xdr:rowOff>
                  </from>
                  <to>
                    <xdr:col>14</xdr:col>
                    <xdr:colOff>38100</xdr:colOff>
                    <xdr:row>4</xdr:row>
                    <xdr:rowOff>171450</xdr:rowOff>
                  </to>
                </anchor>
              </controlPr>
            </control>
          </mc:Choice>
        </mc:AlternateContent>
        <mc:AlternateContent xmlns:mc="http://schemas.openxmlformats.org/markup-compatibility/2006">
          <mc:Choice Requires="x14">
            <control shapeId="1972233" r:id="rId12" name="Check Box 9">
              <controlPr defaultSize="0" autoFill="0" autoLine="0" autoPict="0">
                <anchor moveWithCells="1">
                  <from>
                    <xdr:col>19</xdr:col>
                    <xdr:colOff>57150</xdr:colOff>
                    <xdr:row>4</xdr:row>
                    <xdr:rowOff>19050</xdr:rowOff>
                  </from>
                  <to>
                    <xdr:col>22</xdr:col>
                    <xdr:colOff>228600</xdr:colOff>
                    <xdr:row>4</xdr:row>
                    <xdr:rowOff>161925</xdr:rowOff>
                  </to>
                </anchor>
              </controlPr>
            </control>
          </mc:Choice>
        </mc:AlternateContent>
        <mc:AlternateContent xmlns:mc="http://schemas.openxmlformats.org/markup-compatibility/2006">
          <mc:Choice Requires="x14">
            <control shapeId="1972234" r:id="rId13" name="Check Box 10">
              <controlPr defaultSize="0" autoFill="0" autoLine="0" autoPict="0">
                <anchor moveWithCells="1">
                  <from>
                    <xdr:col>23</xdr:col>
                    <xdr:colOff>76200</xdr:colOff>
                    <xdr:row>4</xdr:row>
                    <xdr:rowOff>19050</xdr:rowOff>
                  </from>
                  <to>
                    <xdr:col>26</xdr:col>
                    <xdr:colOff>38100</xdr:colOff>
                    <xdr:row>4</xdr:row>
                    <xdr:rowOff>161925</xdr:rowOff>
                  </to>
                </anchor>
              </controlPr>
            </control>
          </mc:Choice>
        </mc:AlternateContent>
        <mc:AlternateContent xmlns:mc="http://schemas.openxmlformats.org/markup-compatibility/2006">
          <mc:Choice Requires="x14">
            <control shapeId="1972235" r:id="rId14" name="Check Box 11">
              <controlPr defaultSize="0" autoFill="0" autoLine="0" autoPict="0">
                <anchor moveWithCells="1">
                  <from>
                    <xdr:col>27</xdr:col>
                    <xdr:colOff>85725</xdr:colOff>
                    <xdr:row>4</xdr:row>
                    <xdr:rowOff>9525</xdr:rowOff>
                  </from>
                  <to>
                    <xdr:col>30</xdr:col>
                    <xdr:colOff>9525</xdr:colOff>
                    <xdr:row>4</xdr:row>
                    <xdr:rowOff>171450</xdr:rowOff>
                  </to>
                </anchor>
              </controlPr>
            </control>
          </mc:Choice>
        </mc:AlternateContent>
        <mc:AlternateContent xmlns:mc="http://schemas.openxmlformats.org/markup-compatibility/2006">
          <mc:Choice Requires="x14">
            <control shapeId="1972236" r:id="rId15" name="Check Box 12">
              <controlPr defaultSize="0" autoFill="0" autoLine="0" autoPict="0">
                <anchor moveWithCells="1">
                  <from>
                    <xdr:col>15</xdr:col>
                    <xdr:colOff>47625</xdr:colOff>
                    <xdr:row>4</xdr:row>
                    <xdr:rowOff>9525</xdr:rowOff>
                  </from>
                  <to>
                    <xdr:col>19</xdr:col>
                    <xdr:colOff>9525</xdr:colOff>
                    <xdr:row>4</xdr:row>
                    <xdr:rowOff>171450</xdr:rowOff>
                  </to>
                </anchor>
              </controlPr>
            </control>
          </mc:Choice>
        </mc:AlternateContent>
        <mc:AlternateContent xmlns:mc="http://schemas.openxmlformats.org/markup-compatibility/2006">
          <mc:Choice Requires="x14">
            <control shapeId="1972237" r:id="rId16" name="Option Button 13">
              <controlPr defaultSize="0" autoFill="0" autoLine="0" autoPict="0">
                <anchor moveWithCells="1">
                  <from>
                    <xdr:col>21</xdr:col>
                    <xdr:colOff>85725</xdr:colOff>
                    <xdr:row>16</xdr:row>
                    <xdr:rowOff>190500</xdr:rowOff>
                  </from>
                  <to>
                    <xdr:col>23</xdr:col>
                    <xdr:colOff>104775</xdr:colOff>
                    <xdr:row>18</xdr:row>
                    <xdr:rowOff>38100</xdr:rowOff>
                  </to>
                </anchor>
              </controlPr>
            </control>
          </mc:Choice>
        </mc:AlternateContent>
        <mc:AlternateContent xmlns:mc="http://schemas.openxmlformats.org/markup-compatibility/2006">
          <mc:Choice Requires="x14">
            <control shapeId="1972238" r:id="rId17" name="Option Button 14">
              <controlPr defaultSize="0" autoFill="0" autoLine="0" autoPict="0">
                <anchor moveWithCells="1">
                  <from>
                    <xdr:col>23</xdr:col>
                    <xdr:colOff>85725</xdr:colOff>
                    <xdr:row>17</xdr:row>
                    <xdr:rowOff>0</xdr:rowOff>
                  </from>
                  <to>
                    <xdr:col>25</xdr:col>
                    <xdr:colOff>19050</xdr:colOff>
                    <xdr:row>18</xdr:row>
                    <xdr:rowOff>38100</xdr:rowOff>
                  </to>
                </anchor>
              </controlPr>
            </control>
          </mc:Choice>
        </mc:AlternateContent>
        <mc:AlternateContent xmlns:mc="http://schemas.openxmlformats.org/markup-compatibility/2006">
          <mc:Choice Requires="x14">
            <control shapeId="1972239" r:id="rId18" name="Option Button 15">
              <controlPr defaultSize="0" autoFill="0" autoLine="0" autoPict="0">
                <anchor moveWithCells="1">
                  <from>
                    <xdr:col>24</xdr:col>
                    <xdr:colOff>238125</xdr:colOff>
                    <xdr:row>16</xdr:row>
                    <xdr:rowOff>200025</xdr:rowOff>
                  </from>
                  <to>
                    <xdr:col>27</xdr:col>
                    <xdr:colOff>104775</xdr:colOff>
                    <xdr:row>18</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1:AK55"/>
  <sheetViews>
    <sheetView showGridLines="0" showRowColHeaders="0" topLeftCell="G21" zoomScaleNormal="100" workbookViewId="0">
      <selection sqref="A1:F1 I22 J22 AC1:AK1"/>
    </sheetView>
  </sheetViews>
  <sheetFormatPr defaultRowHeight="16.5"/>
  <cols>
    <col min="1" max="1" width="2.75" style="231" hidden="1" customWidth="1"/>
    <col min="2" max="2" width="21" style="231" hidden="1" customWidth="1"/>
    <col min="3" max="3" width="18.75" style="231" hidden="1" customWidth="1"/>
    <col min="4" max="4" width="18.625" style="231" hidden="1" customWidth="1"/>
    <col min="5" max="6" width="9" style="231" hidden="1" customWidth="1"/>
    <col min="7" max="7" width="3.375" style="207" customWidth="1"/>
    <col min="8" max="8" width="4.75" style="207" bestFit="1" customWidth="1"/>
    <col min="9" max="10" width="4.75" style="325" hidden="1" customWidth="1"/>
    <col min="11" max="11" width="9.625" style="207" bestFit="1" customWidth="1"/>
    <col min="12" max="12" width="10.5" style="207" customWidth="1"/>
    <col min="13" max="13" width="11.5" style="207" customWidth="1"/>
    <col min="14" max="14" width="15.875" style="207" customWidth="1"/>
    <col min="15" max="16" width="9.625" style="207" bestFit="1" customWidth="1"/>
    <col min="17" max="17" width="33.5" style="207" customWidth="1"/>
    <col min="18" max="18" width="12.25" style="207" bestFit="1" customWidth="1"/>
    <col min="19" max="23" width="11.75" style="207" customWidth="1"/>
    <col min="24" max="24" width="11.625" style="207" customWidth="1"/>
    <col min="25" max="25" width="20.25" style="207" customWidth="1"/>
    <col min="26" max="26" width="10.125" style="207" customWidth="1"/>
    <col min="27" max="27" width="20.25" style="207" customWidth="1"/>
    <col min="28" max="28" width="12.625" style="207" bestFit="1" customWidth="1"/>
    <col min="29" max="29" width="12.625" style="207" hidden="1" customWidth="1"/>
    <col min="30" max="30" width="11" style="207" hidden="1" customWidth="1"/>
    <col min="31" max="31" width="14.5" style="207" hidden="1" customWidth="1"/>
    <col min="32" max="32" width="12" style="207" hidden="1" customWidth="1"/>
    <col min="33" max="33" width="11.625" style="207" hidden="1" customWidth="1"/>
    <col min="34" max="34" width="12.875" style="207" hidden="1" customWidth="1"/>
    <col min="35" max="35" width="17.625" style="207" hidden="1" customWidth="1"/>
    <col min="36" max="37" width="9" style="207" hidden="1" customWidth="1"/>
    <col min="38" max="16384" width="9" style="207"/>
  </cols>
  <sheetData>
    <row r="1" ht="6" hidden="1" customHeight="1"/>
    <row r="2" ht="6" hidden="1" customHeight="1"/>
    <row r="3" ht="6" hidden="1" customHeight="1"/>
    <row r="4" ht="6" hidden="1" customHeight="1"/>
    <row r="5" ht="6" hidden="1" customHeight="1"/>
    <row r="6" ht="6" hidden="1" customHeight="1"/>
    <row r="7" ht="6" hidden="1" customHeight="1"/>
    <row r="8" ht="6" hidden="1" customHeight="1"/>
    <row r="9" ht="6" hidden="1" customHeight="1"/>
    <row r="10" ht="6" hidden="1" customHeight="1"/>
    <row r="11" ht="6" hidden="1" customHeight="1"/>
    <row r="12" ht="6" hidden="1" customHeight="1"/>
    <row r="13" ht="6" hidden="1" customHeight="1"/>
    <row r="14" ht="6" hidden="1" customHeight="1"/>
    <row r="15" ht="6" hidden="1" customHeight="1"/>
    <row r="16" ht="6" hidden="1" customHeight="1"/>
    <row r="17" spans="1:35" ht="6" hidden="1" customHeight="1"/>
    <row r="18" spans="1:35" ht="6" hidden="1" customHeight="1"/>
    <row r="19" spans="1:35" ht="6" hidden="1" customHeight="1"/>
    <row r="20" spans="1:35" ht="6" hidden="1" customHeight="1"/>
    <row r="21" spans="1:35">
      <c r="G21" s="207" t="str">
        <f>"("&amp;UNJC0060_B_PAGE_NO&amp;"/"&amp;UNJC0060_B_ALL_PAGE_SU&amp;")"</f>
        <v>(1/1)</v>
      </c>
      <c r="H21" s="113"/>
    </row>
    <row r="22" spans="1:35" s="5" customFormat="1">
      <c r="A22" s="597"/>
      <c r="B22" s="597"/>
      <c r="C22" s="597"/>
      <c r="D22" s="597"/>
      <c r="E22" s="597"/>
      <c r="F22" s="597"/>
      <c r="G22" s="4"/>
      <c r="H22" s="587" t="s">
        <v>0</v>
      </c>
      <c r="I22" s="598" t="s">
        <v>1869</v>
      </c>
      <c r="J22" s="598"/>
      <c r="K22" s="587" t="s">
        <v>27</v>
      </c>
      <c r="L22" s="599" t="s">
        <v>820</v>
      </c>
      <c r="M22" s="599" t="s">
        <v>28</v>
      </c>
      <c r="N22" s="587" t="s">
        <v>794</v>
      </c>
      <c r="O22" s="600" t="s">
        <v>86</v>
      </c>
      <c r="P22" s="587" t="s">
        <v>1870</v>
      </c>
      <c r="Q22" s="587" t="s">
        <v>5</v>
      </c>
      <c r="R22" s="587" t="s">
        <v>823</v>
      </c>
      <c r="S22" s="587" t="s">
        <v>824</v>
      </c>
      <c r="T22" s="587" t="s">
        <v>825</v>
      </c>
      <c r="U22" s="587" t="s">
        <v>826</v>
      </c>
      <c r="V22" s="587" t="s">
        <v>827</v>
      </c>
      <c r="W22" s="599" t="s">
        <v>29</v>
      </c>
      <c r="X22" s="599" t="s">
        <v>828</v>
      </c>
      <c r="Y22" s="587" t="s">
        <v>829</v>
      </c>
      <c r="Z22" s="599" t="s">
        <v>3</v>
      </c>
      <c r="AA22" s="587" t="s">
        <v>4</v>
      </c>
      <c r="AB22" s="587" t="s">
        <v>2</v>
      </c>
      <c r="AC22" s="10" t="s">
        <v>867</v>
      </c>
      <c r="AD22" s="10" t="s">
        <v>3093</v>
      </c>
      <c r="AE22" s="10" t="s">
        <v>1014</v>
      </c>
      <c r="AF22" s="10" t="s">
        <v>3092</v>
      </c>
      <c r="AG22" s="10" t="s">
        <v>97</v>
      </c>
      <c r="AH22" s="10" t="s">
        <v>98</v>
      </c>
      <c r="AI22" s="10" t="s">
        <v>163</v>
      </c>
    </row>
    <row r="23" spans="1:35">
      <c r="H23" s="555"/>
      <c r="I23" s="555"/>
      <c r="J23" s="555"/>
      <c r="K23" s="588"/>
      <c r="L23" s="589"/>
      <c r="M23" s="83"/>
      <c r="N23" s="588"/>
      <c r="O23" s="314"/>
      <c r="P23" s="77"/>
      <c r="Q23" s="77"/>
      <c r="R23" s="83"/>
      <c r="S23" s="83"/>
      <c r="T23" s="83"/>
      <c r="U23" s="83"/>
      <c r="V23" s="83"/>
      <c r="W23" s="83"/>
      <c r="X23" s="83"/>
      <c r="Y23" s="83"/>
      <c r="Z23" s="83"/>
      <c r="AA23" s="83"/>
      <c r="AB23" s="77"/>
      <c r="AC23" s="77"/>
    </row>
    <row r="24" spans="1:35">
      <c r="A24" s="296" t="s">
        <v>834</v>
      </c>
      <c r="C24" s="21"/>
      <c r="H24" s="555"/>
      <c r="I24" s="555"/>
      <c r="J24" s="555"/>
      <c r="K24" s="77"/>
      <c r="L24" s="314"/>
      <c r="M24" s="327"/>
      <c r="N24" s="314"/>
      <c r="O24" s="314"/>
      <c r="P24" s="77"/>
      <c r="Q24" s="77"/>
      <c r="R24" s="83"/>
      <c r="S24" s="83"/>
      <c r="T24" s="83"/>
      <c r="U24" s="83"/>
      <c r="V24" s="83"/>
      <c r="W24" s="83"/>
      <c r="X24" s="327"/>
      <c r="Y24" s="327"/>
      <c r="Z24" s="327"/>
      <c r="AA24" s="327"/>
      <c r="AB24" s="77"/>
      <c r="AC24" s="77"/>
    </row>
    <row r="25" spans="1:35">
      <c r="B25" s="231" t="s">
        <v>835</v>
      </c>
      <c r="C25" s="21" t="s">
        <v>1872</v>
      </c>
      <c r="D25" s="232">
        <v>50</v>
      </c>
      <c r="H25" s="555"/>
      <c r="I25" s="555"/>
      <c r="J25" s="555"/>
      <c r="K25" s="77"/>
      <c r="L25" s="314"/>
      <c r="M25" s="327"/>
      <c r="N25" s="314"/>
      <c r="O25" s="314"/>
      <c r="P25" s="77"/>
      <c r="Q25" s="77"/>
      <c r="R25" s="83"/>
      <c r="S25" s="83"/>
      <c r="T25" s="83"/>
      <c r="U25" s="83"/>
      <c r="V25" s="83"/>
      <c r="W25" s="83"/>
      <c r="X25" s="327"/>
      <c r="Y25" s="327"/>
      <c r="Z25" s="327"/>
      <c r="AA25" s="327"/>
      <c r="AB25" s="77"/>
      <c r="AC25" s="77"/>
    </row>
    <row r="26" spans="1:35">
      <c r="C26" s="21"/>
      <c r="H26" s="555"/>
      <c r="I26" s="555"/>
      <c r="J26" s="555"/>
      <c r="K26" s="77"/>
      <c r="L26" s="314"/>
      <c r="M26" s="83"/>
      <c r="N26" s="314"/>
      <c r="O26" s="314"/>
      <c r="P26" s="77"/>
      <c r="Q26" s="77"/>
      <c r="R26" s="83"/>
      <c r="S26" s="83"/>
      <c r="T26" s="83"/>
      <c r="U26" s="83"/>
      <c r="V26" s="83"/>
      <c r="W26" s="83"/>
      <c r="X26" s="83"/>
      <c r="Y26" s="83"/>
      <c r="Z26" s="83"/>
      <c r="AA26" s="83"/>
      <c r="AB26" s="77"/>
      <c r="AC26" s="77"/>
    </row>
    <row r="27" spans="1:35">
      <c r="A27" s="296" t="s">
        <v>837</v>
      </c>
      <c r="C27" s="21"/>
      <c r="H27" s="555"/>
      <c r="I27" s="555"/>
      <c r="J27" s="555"/>
      <c r="K27" s="77"/>
      <c r="L27" s="327"/>
      <c r="M27" s="83"/>
      <c r="N27" s="327"/>
      <c r="O27" s="327"/>
      <c r="P27" s="77"/>
      <c r="Q27" s="77"/>
      <c r="R27" s="83"/>
      <c r="S27" s="83"/>
      <c r="T27" s="83"/>
      <c r="U27" s="83"/>
      <c r="V27" s="83"/>
      <c r="W27" s="83"/>
      <c r="X27" s="83"/>
      <c r="Y27" s="83"/>
      <c r="Z27" s="83"/>
      <c r="AA27" s="83"/>
      <c r="AB27" s="83"/>
      <c r="AC27" s="83"/>
    </row>
    <row r="28" spans="1:35">
      <c r="B28" s="231" t="s">
        <v>259</v>
      </c>
      <c r="C28" s="21" t="s">
        <v>1873</v>
      </c>
      <c r="D28" s="232"/>
      <c r="H28" s="555"/>
      <c r="I28" s="555"/>
      <c r="J28" s="555"/>
      <c r="K28" s="77"/>
      <c r="L28" s="327"/>
      <c r="M28" s="83"/>
      <c r="N28" s="327"/>
      <c r="O28" s="327"/>
      <c r="P28" s="77"/>
      <c r="Q28" s="77"/>
      <c r="R28" s="83"/>
      <c r="S28" s="83"/>
      <c r="T28" s="83"/>
      <c r="U28" s="83"/>
      <c r="V28" s="83"/>
      <c r="W28" s="83"/>
      <c r="X28" s="83"/>
      <c r="Y28" s="83"/>
      <c r="Z28" s="83"/>
      <c r="AA28" s="83"/>
      <c r="AB28" s="83"/>
      <c r="AC28" s="83"/>
    </row>
    <row r="29" spans="1:35">
      <c r="B29" s="231" t="s">
        <v>190</v>
      </c>
      <c r="C29" s="21" t="s">
        <v>1874</v>
      </c>
      <c r="D29" s="189">
        <v>1</v>
      </c>
      <c r="H29" s="555"/>
      <c r="I29" s="555"/>
      <c r="J29" s="555"/>
      <c r="K29" s="77"/>
      <c r="L29" s="327"/>
      <c r="M29" s="83"/>
      <c r="N29" s="327"/>
      <c r="O29" s="327"/>
      <c r="P29" s="77"/>
      <c r="Q29" s="77"/>
      <c r="R29" s="83"/>
      <c r="S29" s="83"/>
      <c r="T29" s="83"/>
      <c r="U29" s="83"/>
      <c r="V29" s="83"/>
      <c r="W29" s="83"/>
      <c r="X29" s="83"/>
      <c r="Y29" s="83"/>
      <c r="Z29" s="83"/>
      <c r="AA29" s="83"/>
      <c r="AB29" s="83"/>
      <c r="AC29" s="83"/>
    </row>
    <row r="30" spans="1:35">
      <c r="B30" s="231" t="s">
        <v>191</v>
      </c>
      <c r="C30" s="21" t="s">
        <v>1875</v>
      </c>
      <c r="D30" s="81">
        <f>IF(OR(UNJC0060_B_KENSAKU_KENSU=0,UNJC0060_B_CTRL_HYOJI_GYO_SU=0),1,ROUNDUP(UNJC0060_B_KENSAKU_KENSU/UNJC0060_B_CTRL_HYOJI_GYO_SU,0))</f>
        <v>1</v>
      </c>
      <c r="H30" s="555"/>
      <c r="I30" s="555"/>
      <c r="J30" s="555"/>
      <c r="K30" s="77"/>
      <c r="L30" s="327"/>
      <c r="M30" s="83"/>
      <c r="N30" s="327"/>
      <c r="O30" s="327"/>
      <c r="P30" s="77"/>
      <c r="Q30" s="77"/>
      <c r="R30" s="83"/>
      <c r="S30" s="83"/>
      <c r="T30" s="83"/>
      <c r="U30" s="83"/>
      <c r="V30" s="83"/>
      <c r="W30" s="83"/>
      <c r="X30" s="83"/>
      <c r="Y30" s="83"/>
      <c r="Z30" s="83"/>
      <c r="AA30" s="83"/>
      <c r="AB30" s="83"/>
      <c r="AC30" s="83"/>
    </row>
    <row r="31" spans="1:35">
      <c r="B31" s="231" t="s">
        <v>126</v>
      </c>
      <c r="C31" s="21" t="s">
        <v>1876</v>
      </c>
      <c r="D31" s="232"/>
      <c r="H31" s="555"/>
      <c r="I31" s="555"/>
      <c r="J31" s="555"/>
      <c r="K31" s="77"/>
      <c r="L31" s="327"/>
      <c r="M31" s="83"/>
      <c r="N31" s="327"/>
      <c r="O31" s="327"/>
      <c r="P31" s="77"/>
      <c r="Q31" s="77"/>
      <c r="R31" s="83"/>
      <c r="S31" s="83"/>
      <c r="T31" s="83"/>
      <c r="U31" s="83"/>
      <c r="V31" s="83"/>
      <c r="W31" s="83"/>
      <c r="X31" s="83"/>
      <c r="Y31" s="83"/>
      <c r="Z31" s="83"/>
      <c r="AA31" s="83"/>
      <c r="AB31" s="83"/>
      <c r="AC31" s="83"/>
    </row>
    <row r="32" spans="1:35">
      <c r="C32" s="21"/>
      <c r="H32" s="325"/>
    </row>
    <row r="33" spans="1:8">
      <c r="B33" s="231" t="s">
        <v>1877</v>
      </c>
      <c r="C33" s="21" t="s">
        <v>1878</v>
      </c>
      <c r="D33" s="232" t="str">
        <f>ADDRESS(ROW(UNJC0060_B_SENTAKU)+1, COLUMN(UNJC0060_B_SENTAKU)+1)</f>
        <v>$I$23</v>
      </c>
      <c r="H33" s="325"/>
    </row>
    <row r="34" spans="1:8">
      <c r="B34" s="231" t="s">
        <v>1001</v>
      </c>
      <c r="C34" s="21" t="s">
        <v>1879</v>
      </c>
      <c r="D34" s="81" t="str">
        <f>IF(UNJC0060_B_HYOJI_KENSU=0,"",ADDRESS(ROW(UNJC0060_B_SENTAKU)+1,COLUMN(UNJC0060_B_SENTAKU))&amp;":"&amp;ADDRESS(ROW(UNJC0060_B_SENTAKU)+1+UNJC0060_B_HYOJI_KENSU-1,COLUMN(UNJC0060_B_SENTAKU)))</f>
        <v/>
      </c>
      <c r="H34" s="325"/>
    </row>
    <row r="35" spans="1:8">
      <c r="B35" s="231" t="s">
        <v>203</v>
      </c>
      <c r="C35" s="21" t="s">
        <v>1880</v>
      </c>
      <c r="D35" s="232" t="str">
        <f ca="1">IF(UNJC0060_B_HYOJI_KENSU=0,"",UNJC0060_B_LIST_START&amp;":"&amp;
ADDRESS(ROW(INDIRECT(UNJC0060_B_LIST_START))+UNJC0060_B_HYOJI_KENSU-1,COLUMN(INDIRECT(UNJC0060_B_LIST_START))+COLUMNS(UNJC0060_IF_B_LIST_COPY_MOTO)-1))</f>
        <v/>
      </c>
      <c r="H35" s="325"/>
    </row>
    <row r="36" spans="1:8">
      <c r="B36" s="231" t="s">
        <v>204</v>
      </c>
      <c r="C36" s="21" t="s">
        <v>1881</v>
      </c>
      <c r="D36" s="81" t="str">
        <f ca="1">ADDRESS(ROW(UNJC0060_B_SENTAKU)+1, COLUMN(UNJC0060_B_SENTAKU))&amp;":"&amp;
ADDRESS(ROW(INDIRECT(UNJC0060_B_LIST_START))+UNJC0060_B_CTRL_HYOJI_GYO_SU-1,COLUMN(INDIRECT(UNJC0060_B_LIST_START))+COLUMNS(UNJC0060_IF_B_LIST_COPY_MOTO)-1)</f>
        <v>$H$23:$AI$72</v>
      </c>
      <c r="H36" s="325"/>
    </row>
    <row r="37" spans="1:8">
      <c r="C37" s="21"/>
      <c r="D37" s="231" t="s">
        <v>845</v>
      </c>
    </row>
    <row r="38" spans="1:8">
      <c r="B38" s="231" t="s">
        <v>846</v>
      </c>
      <c r="C38" s="231" t="s">
        <v>1882</v>
      </c>
      <c r="D38" s="81">
        <f>IF(UNJC0060_B_HYOJI_KENSU=0,2,1)</f>
        <v>2</v>
      </c>
    </row>
    <row r="39" spans="1:8">
      <c r="C39" s="21"/>
    </row>
    <row r="40" spans="1:8">
      <c r="A40" s="296" t="s">
        <v>848</v>
      </c>
      <c r="C40" s="21"/>
      <c r="D40" s="231" t="s">
        <v>849</v>
      </c>
    </row>
    <row r="41" spans="1:8">
      <c r="B41" s="231" t="s">
        <v>850</v>
      </c>
      <c r="C41" s="21" t="s">
        <v>1883</v>
      </c>
      <c r="D41" s="232">
        <f>IF(UNJC0060_B_ALL_PAGE_SU&gt;UNJC0060_B_PAGE_NO,1,2)</f>
        <v>2</v>
      </c>
    </row>
    <row r="42" spans="1:8">
      <c r="B42" s="231" t="s">
        <v>852</v>
      </c>
      <c r="C42" s="21" t="s">
        <v>1884</v>
      </c>
      <c r="D42" s="232">
        <f>IF(UNJC0060_B_PAGE_NO&gt;1,1,2)</f>
        <v>2</v>
      </c>
    </row>
    <row r="43" spans="1:8">
      <c r="C43" s="21"/>
      <c r="D43" s="328"/>
    </row>
    <row r="44" spans="1:8">
      <c r="B44" s="231" t="s">
        <v>234</v>
      </c>
      <c r="C44" s="21" t="s">
        <v>1885</v>
      </c>
      <c r="D44" s="232">
        <f>UNJC0060_B_PAGE_NO+1</f>
        <v>2</v>
      </c>
    </row>
    <row r="45" spans="1:8">
      <c r="B45" s="231" t="s">
        <v>233</v>
      </c>
      <c r="C45" s="21" t="s">
        <v>1886</v>
      </c>
      <c r="D45" s="232">
        <f>UNJC0060_B_PAGE_NO-1</f>
        <v>0</v>
      </c>
    </row>
    <row r="47" spans="1:8">
      <c r="A47" s="296" t="s">
        <v>856</v>
      </c>
      <c r="C47" s="21"/>
    </row>
    <row r="48" spans="1:8">
      <c r="B48" s="231" t="s">
        <v>343</v>
      </c>
      <c r="C48" s="21" t="s">
        <v>1887</v>
      </c>
      <c r="D48" s="232">
        <v>22</v>
      </c>
    </row>
    <row r="49" spans="1:5">
      <c r="B49" s="320" t="s">
        <v>858</v>
      </c>
      <c r="C49" s="321" t="s">
        <v>1888</v>
      </c>
      <c r="D49" s="601" t="e">
        <f ca="1">IF(UNJC0060_B_SELECT_GYO_NO=0,0,INDIRECT(ADDRESS(UNJC0060_B_SELECT_GYO_NO,COLUMN(UNJC0060_B_JURI_NO))))</f>
        <v>#NAME?</v>
      </c>
    </row>
    <row r="50" spans="1:5">
      <c r="C50" s="21"/>
    </row>
    <row r="51" spans="1:5">
      <c r="A51" s="296" t="s">
        <v>809</v>
      </c>
    </row>
    <row r="52" spans="1:5">
      <c r="B52" s="187" t="s">
        <v>276</v>
      </c>
      <c r="C52" s="252" t="s">
        <v>1889</v>
      </c>
      <c r="D52" s="81" t="str">
        <f>ROW($A$1)&amp;":"&amp;(ROW(UNJC0060_B_VIEW_CURRENT_PAGE)-1)</f>
        <v>1:20</v>
      </c>
    </row>
    <row r="53" spans="1:5">
      <c r="B53" s="187" t="s">
        <v>277</v>
      </c>
      <c r="C53" s="252" t="s">
        <v>1890</v>
      </c>
      <c r="D53" s="81" t="str">
        <f>ADDRESS(ROW($A$1),COLUMN($A$1))&amp;":"&amp;ADDRESS(ROW($A$1),COLUMN(UNJC0060_B_VIEW_CURRENT_PAGE)-1)&amp;"," &amp; ADDRESS(ROW(UNJC0060_B_FLG),COLUMN(UNJC0060_B_FLG)) &amp;":" &amp;
   ADDRESS(ROW(UNJC0060_B_FLG),COLUMN(UNJC0060_B_FLG))&amp;"," &amp; ADDRESS(ROW(UNJC0060_B_ROW),COLUMN(UNJC0060_B_ROW)) &amp;":" &amp;
   ADDRESS(ROW(UNJC0060_B_ROW),COLUMN(UNJC0060_B_ROW)) &amp;"," &amp; ADDRESS(ROW($AC$1),COLUMN($AC$1))&amp;":"&amp;ADDRESS(ROW($AK$1),COLUMN($AK$1))</f>
        <v>$A$1:$F$1,$I$22:$I$22,$J$22:$J$22,$AC$1:$AK$1</v>
      </c>
      <c r="E53" s="602"/>
    </row>
    <row r="54" spans="1:5">
      <c r="B54" s="187"/>
      <c r="C54" s="187"/>
      <c r="D54" s="187"/>
    </row>
    <row r="55" spans="1:5">
      <c r="B55" s="187" t="s">
        <v>282</v>
      </c>
      <c r="C55" s="252" t="s">
        <v>1891</v>
      </c>
      <c r="D55" s="81" t="str">
        <f ca="1">ADDRESS(ROW(INDIRECT(UNJC0060_B_LIST_START)),COLUMN(UNJC0060_B_EIGYO_TANTOSHA_MEI))</f>
        <v>$O$23</v>
      </c>
    </row>
  </sheetData>
  <sheetProtection sheet="1" objects="1" scenarios="1" selectLockedCells="1"/>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2:CU26"/>
  <sheetViews>
    <sheetView topLeftCell="AC1" zoomScale="85" zoomScaleNormal="85" workbookViewId="0">
      <selection activeCell="BH13" sqref="BH13"/>
    </sheetView>
  </sheetViews>
  <sheetFormatPr defaultRowHeight="13.5"/>
  <cols>
    <col min="1" max="2" width="9" style="278"/>
    <col min="3" max="3" width="12.5" style="278" customWidth="1"/>
    <col min="4" max="5" width="9" style="278"/>
    <col min="6" max="6" width="4.375" style="278" customWidth="1"/>
    <col min="7" max="14" width="9" style="278"/>
    <col min="15" max="15" width="9.375" style="278" customWidth="1"/>
    <col min="16" max="39" width="9" style="278"/>
    <col min="40" max="59" width="1" style="278" customWidth="1"/>
    <col min="60" max="16384" width="9" style="278"/>
  </cols>
  <sheetData>
    <row r="2" spans="1:99">
      <c r="A2" s="279" t="s">
        <v>864</v>
      </c>
    </row>
    <row r="3" spans="1:99">
      <c r="AJ3" s="279" t="s">
        <v>865</v>
      </c>
      <c r="BJ3" s="279" t="s">
        <v>328</v>
      </c>
    </row>
    <row r="4" spans="1:99" ht="16.5">
      <c r="D4" s="587" t="s">
        <v>0</v>
      </c>
      <c r="E4" s="598" t="s">
        <v>1892</v>
      </c>
      <c r="F4" s="598"/>
      <c r="G4" s="587" t="s">
        <v>1893</v>
      </c>
      <c r="H4" s="599" t="s">
        <v>820</v>
      </c>
      <c r="I4" s="599" t="s">
        <v>28</v>
      </c>
      <c r="J4" s="603" t="s">
        <v>794</v>
      </c>
      <c r="K4" s="600" t="s">
        <v>86</v>
      </c>
      <c r="L4" s="587" t="s">
        <v>1894</v>
      </c>
      <c r="M4" s="587" t="s">
        <v>5</v>
      </c>
      <c r="N4" s="587" t="s">
        <v>823</v>
      </c>
      <c r="O4" s="587" t="s">
        <v>824</v>
      </c>
      <c r="P4" s="587" t="s">
        <v>825</v>
      </c>
      <c r="Q4" s="587" t="s">
        <v>826</v>
      </c>
      <c r="R4" s="587" t="s">
        <v>827</v>
      </c>
      <c r="S4" s="599" t="s">
        <v>29</v>
      </c>
      <c r="T4" s="599" t="s">
        <v>828</v>
      </c>
      <c r="U4" s="587" t="s">
        <v>829</v>
      </c>
      <c r="V4" s="599" t="s">
        <v>3</v>
      </c>
      <c r="W4" s="587" t="s">
        <v>4</v>
      </c>
      <c r="X4" s="587" t="s">
        <v>2</v>
      </c>
      <c r="Y4" s="10" t="s">
        <v>867</v>
      </c>
      <c r="Z4" s="10" t="s">
        <v>3093</v>
      </c>
      <c r="AA4" s="10" t="s">
        <v>1014</v>
      </c>
      <c r="AB4" s="10" t="s">
        <v>3092</v>
      </c>
      <c r="AC4" s="10" t="s">
        <v>97</v>
      </c>
      <c r="AD4" s="10" t="s">
        <v>98</v>
      </c>
      <c r="AE4" s="10" t="s">
        <v>163</v>
      </c>
      <c r="AG4" s="554"/>
      <c r="AH4" s="554"/>
      <c r="AK4" s="278" t="s">
        <v>868</v>
      </c>
      <c r="AN4" s="278" t="s">
        <v>869</v>
      </c>
      <c r="BK4" s="278" t="s">
        <v>111</v>
      </c>
      <c r="BR4" s="278" t="s">
        <v>1909</v>
      </c>
      <c r="BV4" s="278" t="s">
        <v>1910</v>
      </c>
    </row>
    <row r="5" spans="1:99" ht="16.5">
      <c r="B5" s="280" t="s">
        <v>870</v>
      </c>
      <c r="C5" s="280" t="s">
        <v>1895</v>
      </c>
      <c r="D5" s="917"/>
      <c r="E5" s="917"/>
      <c r="F5" s="917"/>
      <c r="G5" s="918"/>
      <c r="H5" s="917"/>
      <c r="I5" s="917"/>
      <c r="J5" s="828"/>
      <c r="K5" s="918"/>
      <c r="L5" s="918"/>
      <c r="M5" s="918"/>
      <c r="N5" s="918"/>
      <c r="O5" s="918"/>
      <c r="P5" s="918"/>
      <c r="Q5" s="918"/>
      <c r="R5" s="918"/>
      <c r="S5" s="918"/>
      <c r="T5" s="918"/>
      <c r="U5" s="827"/>
      <c r="V5" s="828"/>
      <c r="W5" s="828"/>
      <c r="X5" s="828"/>
      <c r="Y5" s="828"/>
      <c r="Z5" s="828"/>
      <c r="AA5" s="828"/>
      <c r="AB5" s="828"/>
      <c r="AC5" s="828"/>
      <c r="AD5" s="828"/>
      <c r="AE5" s="828"/>
      <c r="AG5" s="564"/>
      <c r="AH5" s="564"/>
      <c r="AL5" s="280" t="s">
        <v>1896</v>
      </c>
      <c r="AN5" s="333" t="s">
        <v>1897</v>
      </c>
      <c r="BK5" s="278" t="s">
        <v>1194</v>
      </c>
      <c r="BL5" s="278" t="s">
        <v>1912</v>
      </c>
      <c r="BM5" s="273"/>
      <c r="BO5" s="278" t="s">
        <v>521</v>
      </c>
      <c r="BP5" s="280" t="s">
        <v>1913</v>
      </c>
      <c r="BQ5" s="273">
        <f>1+ROW()-ROW(UNJC0060_IF_SAVE_START)</f>
        <v>-3</v>
      </c>
      <c r="BR5" s="273">
        <f>UNJC0060_IF_SAVE_W_USER_ID</f>
        <v>0</v>
      </c>
      <c r="BS5" s="273">
        <f>UNJC0060_IF_SAVE_W_SERIAL</f>
        <v>0</v>
      </c>
      <c r="BT5" s="273">
        <f ca="1">OFFSET(UNJC0060_B_ROW,1+$BQ5-1,0)</f>
        <v>0</v>
      </c>
      <c r="BU5" s="273">
        <f>UNJC0060_IF_SAVE_W_MODE</f>
        <v>0</v>
      </c>
      <c r="BV5" s="273">
        <f ca="1">OFFSET(UNJC0060_B_FLG,1+$BQ5-1,0)</f>
        <v>0</v>
      </c>
      <c r="BW5" s="273">
        <f ca="1">OFFSET(UNJC0060_B_STS,1+$BQ5-1,0)</f>
        <v>0</v>
      </c>
      <c r="BX5" s="273">
        <f ca="1">OFFSET(UNJC0060_B_BUNSEKI_KBN,1+$BQ5-1,0)</f>
        <v>0</v>
      </c>
      <c r="BY5" s="273">
        <f ca="1">OFFSET(UNJC0060_B_JURI_NO,1+$BQ5-1,0)</f>
        <v>0</v>
      </c>
      <c r="BZ5" s="615" t="str">
        <f ca="1">IF(OFFSET(UNJC0060_B_HOKOKUSHO_KEISHIKI,1+$BQ5-1,0)="","",OFFSET(UNJC0060_B_HOKOKUSHO_KEISHIKI,1+$BQ5-1,0))</f>
        <v/>
      </c>
      <c r="CA5" s="273" t="str">
        <f ca="1">IF(OFFSET(UNJC0060_B_EIGYO_TANTOSHA_MEI,1+$BQ5-1,0)="","",OFFSET(UNJC0060_B_EIGYO_TANTOSHA_MEI,1+$BQ5-1,0))</f>
        <v/>
      </c>
      <c r="CB5" s="273" t="str">
        <f ca="1">IF(OFFSET(UNJC0060_B_NYURYOKU_TANTOSHA_MEI,1+$BQ5-1,0)="","",OFFSET(UNJC0060_B_NYURYOKU_TANTOSHA_MEI,1+$BQ5-1,0))</f>
        <v/>
      </c>
      <c r="CC5" s="273" t="str">
        <f ca="1">IF(OFFSET(UNJC0060_B_KENMEI,1+$BQ5-1,0)="","",OFFSET(UNJC0060_B_KENMEI,1+$BQ5-1,0))</f>
        <v/>
      </c>
      <c r="CD5" s="273" t="str">
        <f ca="1">IF(OFFSET(UNJC0060_B_IRAI_DATE,1+$BQ5-1,0)="","",OFFSET(UNJC0060_B_IRAI_DATE,1+$BQ5-1,0))</f>
        <v/>
      </c>
      <c r="CE5" s="273" t="str">
        <f ca="1">IF(OFFSET(UNJC0060_B_CHUKAN_1,1+$BQ5-1,0)="","",OFFSET(UNJC0060_B_CHUKAN_1,1+$BQ5-1,0))</f>
        <v/>
      </c>
      <c r="CF5" s="273" t="str">
        <f ca="1">IF(OFFSET(UNJC0060_B_CHUKAN_2,1+$BQ5-1,0)="","",OFFSET(UNJC0060_B_CHUKAN_2,1+$BQ5-1,0))</f>
        <v/>
      </c>
      <c r="CG5" s="273" t="str">
        <f ca="1">IF(OFFSET(UNJC0060_B_CHUKAN_3,1+$BQ5-1,0)="","",OFFSET(UNJC0060_B_CHUKAN_3,1+$BQ5-1,0))</f>
        <v/>
      </c>
      <c r="CH5" s="273" t="str">
        <f ca="1">IF(OFFSET(UNJC0060_B_KANSEI_DATE,1+$BQ5-1,0)="","",OFFSET(UNJC0060_B_KANSEI_DATE,1+$BQ5-1,0))</f>
        <v/>
      </c>
      <c r="CI5" s="273" t="str">
        <f ca="1">IF(OFFSET(UNJC0060_B_NOHIN_DATE,1+$BQ5-1,0)="","",OFFSET(UNJC0060_B_NOHIN_DATE,1+$BQ5-1,0))</f>
        <v/>
      </c>
      <c r="CJ5" s="273">
        <f ca="1">OFFSET(UNJC0060_B_ATENA_CD,1+$BQ5-1,0)</f>
        <v>0</v>
      </c>
      <c r="CK5" s="273">
        <f ca="1">OFFSET(UNJC0060_B_ATENA,1+$BQ5-1,0)</f>
        <v>0</v>
      </c>
      <c r="CL5" s="273">
        <f ca="1">OFFSET(UNJC0060_B_SEIKYUSAKI_CD,1+$BQ5-1,0)</f>
        <v>0</v>
      </c>
      <c r="CM5" s="273" t="str">
        <f ca="1">IF(OFFSET(UNJC0060_B_SEIKYUSAKI_MEI,1+$BQ5-1,0)="","",OFFSET(UNJC0060_B_SEIKYUSAKI_MEI,1+$BQ5-1,0))</f>
        <v/>
      </c>
      <c r="CN5" s="273">
        <f ca="1">OFFSET(UNJC0060_B_MITSUMORI_NO,1+$BQ5-1,0)</f>
        <v>0</v>
      </c>
      <c r="CO5" s="273">
        <f ca="1">OFFSET(UNJC0060_B_NYURYOKU_DATE,1+$BQ5-1,0)</f>
        <v>0</v>
      </c>
      <c r="CP5" s="273">
        <f ca="1">OFFSET(UNJC0060_B_STS_CD,1+$BQ5-1,0)</f>
        <v>0</v>
      </c>
      <c r="CQ5" s="273">
        <f ca="1">OFFSET(UNJC0060_B_JUCHU_CD,1+$BQ5-1,0)</f>
        <v>0</v>
      </c>
      <c r="CR5" s="273">
        <f ca="1">OFFSET(UNJC0060_B_KEISHIKI_CD,1+$BQ5-1,0)</f>
        <v>0</v>
      </c>
      <c r="CS5" s="273">
        <f ca="1">OFFSET(UNJC0060_B_EIGYO_TANTO_CD,1+$BQ5-1,0)</f>
        <v>0</v>
      </c>
      <c r="CT5" s="273">
        <f ca="1">OFFSET(UNJC0060_B_NYURYOKUSHA_CD,1+$BQ5-1,0)</f>
        <v>0</v>
      </c>
      <c r="CU5" s="273" t="str">
        <f ca="1">IF(OFFSET(UNJC0060_B_FREEWD,1+$BQ5-1,0)="","",OFFSET(UNJC0060_B_FREEWD,1+$BQ5-1,0))</f>
        <v/>
      </c>
    </row>
    <row r="6" spans="1:99" ht="16.5">
      <c r="B6" s="280" t="s">
        <v>199</v>
      </c>
      <c r="C6" s="280" t="s">
        <v>1898</v>
      </c>
      <c r="D6" s="604"/>
      <c r="E6" s="605"/>
      <c r="F6" s="605"/>
      <c r="G6" s="753"/>
      <c r="H6" s="754"/>
      <c r="I6" s="754"/>
      <c r="J6" s="753"/>
      <c r="K6" s="753"/>
      <c r="L6" s="753"/>
      <c r="M6" s="335"/>
      <c r="N6" s="62"/>
      <c r="O6" s="62"/>
      <c r="P6" s="62"/>
      <c r="Q6" s="62"/>
      <c r="R6" s="62"/>
      <c r="S6" s="62"/>
      <c r="T6" s="753"/>
      <c r="U6" s="335"/>
      <c r="V6" s="753"/>
      <c r="W6" s="335"/>
      <c r="X6" s="753"/>
      <c r="Y6" s="828"/>
      <c r="Z6" s="828"/>
      <c r="AA6" s="828"/>
      <c r="AB6" s="828"/>
      <c r="AC6" s="828"/>
      <c r="AD6" s="828"/>
      <c r="AE6" s="828"/>
      <c r="AG6" s="606"/>
      <c r="AH6" s="606"/>
      <c r="AK6" s="299" t="s">
        <v>748</v>
      </c>
      <c r="AL6" s="607" t="b">
        <v>1</v>
      </c>
      <c r="AN6" s="1711"/>
      <c r="AO6" s="1712"/>
      <c r="AP6" s="1712"/>
      <c r="AQ6" s="1713"/>
      <c r="AR6" s="207"/>
      <c r="AS6" s="207"/>
      <c r="AT6" s="207"/>
      <c r="AU6" s="207"/>
      <c r="AV6" s="207"/>
      <c r="AW6" s="207"/>
      <c r="AX6" s="208" t="s">
        <v>4429</v>
      </c>
      <c r="AY6" s="1261">
        <f ca="1">TODAY()</f>
        <v>43005</v>
      </c>
      <c r="AZ6" s="1262"/>
      <c r="BA6" s="1262"/>
      <c r="BB6" s="1263"/>
      <c r="BC6" s="590" t="s">
        <v>1899</v>
      </c>
      <c r="BD6" s="1261">
        <f ca="1">TODAY()</f>
        <v>43005</v>
      </c>
      <c r="BE6" s="1262"/>
      <c r="BF6" s="1262"/>
      <c r="BG6" s="1263"/>
      <c r="BK6" s="278" t="s">
        <v>110</v>
      </c>
      <c r="BL6" s="278" t="s">
        <v>1916</v>
      </c>
      <c r="BM6" s="615"/>
      <c r="CB6" s="21"/>
      <c r="CD6" s="300"/>
    </row>
    <row r="7" spans="1:99" ht="16.5">
      <c r="B7" s="280" t="s">
        <v>1900</v>
      </c>
      <c r="C7" s="280" t="s">
        <v>1901</v>
      </c>
      <c r="D7" s="523"/>
      <c r="E7" s="608"/>
      <c r="F7" s="609"/>
      <c r="G7" s="610"/>
      <c r="H7" s="610"/>
      <c r="I7" s="610"/>
      <c r="J7" s="610"/>
      <c r="K7" s="610"/>
      <c r="L7" s="610"/>
      <c r="M7" s="610"/>
      <c r="N7" s="610"/>
      <c r="O7" s="610"/>
      <c r="P7" s="610"/>
      <c r="Q7" s="610"/>
      <c r="R7" s="610"/>
      <c r="S7" s="610"/>
      <c r="T7" s="610"/>
      <c r="U7" s="610"/>
      <c r="V7" s="610"/>
      <c r="W7" s="610"/>
      <c r="X7" s="611"/>
      <c r="Y7" s="826"/>
      <c r="Z7" s="826"/>
      <c r="AA7" s="826"/>
      <c r="AB7" s="826"/>
      <c r="AC7" s="826"/>
      <c r="AD7" s="826"/>
      <c r="AE7" s="826"/>
      <c r="AK7" s="299" t="s">
        <v>751</v>
      </c>
      <c r="AL7" s="612" t="b">
        <v>1</v>
      </c>
      <c r="AN7" s="1708"/>
      <c r="AO7" s="1709"/>
      <c r="AP7" s="1709"/>
      <c r="AQ7" s="1710"/>
      <c r="AR7" s="207"/>
      <c r="AS7" s="207"/>
      <c r="AT7" s="207"/>
      <c r="AU7" s="207"/>
      <c r="AV7" s="207"/>
      <c r="AW7" s="207"/>
      <c r="AX7" s="208" t="s">
        <v>4430</v>
      </c>
      <c r="AY7" s="1261"/>
      <c r="AZ7" s="1262"/>
      <c r="BA7" s="1262"/>
      <c r="BB7" s="1263"/>
      <c r="BC7" s="590" t="s">
        <v>26</v>
      </c>
      <c r="BD7" s="1261"/>
      <c r="BE7" s="1262"/>
      <c r="BF7" s="1262"/>
      <c r="BG7" s="1263"/>
      <c r="BK7" s="278" t="s">
        <v>1917</v>
      </c>
      <c r="BL7" s="278" t="s">
        <v>1918</v>
      </c>
      <c r="BM7" s="617" t="s">
        <v>4379</v>
      </c>
      <c r="CB7" s="300"/>
      <c r="CD7" s="300"/>
    </row>
    <row r="8" spans="1:99" ht="17.25" thickBot="1">
      <c r="AK8" s="299" t="s">
        <v>766</v>
      </c>
      <c r="AL8" s="612" t="b">
        <v>1</v>
      </c>
      <c r="AN8" s="1708"/>
      <c r="AO8" s="1709"/>
      <c r="AP8" s="1709"/>
      <c r="AQ8" s="1710"/>
      <c r="AR8" s="207"/>
      <c r="AS8" s="207"/>
      <c r="AT8" s="207"/>
      <c r="AU8" s="207"/>
      <c r="AV8" s="207"/>
      <c r="AW8" s="207"/>
      <c r="AX8" s="208" t="s">
        <v>4432</v>
      </c>
      <c r="AY8" s="1261"/>
      <c r="AZ8" s="1262"/>
      <c r="BA8" s="1262"/>
      <c r="BB8" s="1263"/>
      <c r="BC8" s="590" t="s">
        <v>26</v>
      </c>
      <c r="BD8" s="1261"/>
      <c r="BE8" s="1262"/>
      <c r="BF8" s="1262"/>
      <c r="BG8" s="1263"/>
      <c r="BK8" s="278" t="s">
        <v>1324</v>
      </c>
      <c r="BL8" s="278" t="s">
        <v>1919</v>
      </c>
      <c r="BM8" s="273">
        <v>0</v>
      </c>
      <c r="BQ8" s="618" t="s">
        <v>1105</v>
      </c>
      <c r="BR8" s="618" t="s">
        <v>1920</v>
      </c>
      <c r="BS8" s="618" t="s">
        <v>1921</v>
      </c>
      <c r="BT8" s="618" t="s">
        <v>1922</v>
      </c>
      <c r="BU8" s="618" t="s">
        <v>1923</v>
      </c>
      <c r="BV8" s="618" t="s">
        <v>1924</v>
      </c>
      <c r="BW8" s="618" t="s">
        <v>1925</v>
      </c>
      <c r="BX8" s="618" t="s">
        <v>820</v>
      </c>
      <c r="BY8" s="618" t="s">
        <v>28</v>
      </c>
      <c r="BZ8" s="618" t="s">
        <v>794</v>
      </c>
      <c r="CA8" s="618" t="s">
        <v>86</v>
      </c>
      <c r="CB8" s="618" t="s">
        <v>1926</v>
      </c>
      <c r="CC8" s="618" t="s">
        <v>5</v>
      </c>
      <c r="CD8" s="619" t="s">
        <v>823</v>
      </c>
      <c r="CE8" s="618" t="s">
        <v>824</v>
      </c>
      <c r="CF8" s="618" t="s">
        <v>825</v>
      </c>
      <c r="CG8" s="618" t="s">
        <v>826</v>
      </c>
      <c r="CH8" s="618" t="s">
        <v>827</v>
      </c>
      <c r="CI8" s="618" t="s">
        <v>29</v>
      </c>
      <c r="CJ8" s="618" t="s">
        <v>828</v>
      </c>
      <c r="CK8" s="618" t="s">
        <v>829</v>
      </c>
      <c r="CL8" s="618" t="s">
        <v>3</v>
      </c>
      <c r="CM8" s="618" t="s">
        <v>4</v>
      </c>
      <c r="CN8" s="618" t="s">
        <v>2</v>
      </c>
      <c r="CO8" s="618" t="s">
        <v>867</v>
      </c>
      <c r="CP8" s="618" t="s">
        <v>831</v>
      </c>
      <c r="CQ8" s="618" t="s">
        <v>1871</v>
      </c>
      <c r="CR8" s="618" t="s">
        <v>832</v>
      </c>
      <c r="CS8" s="618" t="s">
        <v>97</v>
      </c>
      <c r="CT8" s="618" t="s">
        <v>98</v>
      </c>
      <c r="CU8" s="618" t="s">
        <v>163</v>
      </c>
    </row>
    <row r="9" spans="1:99" ht="17.25" thickTop="1">
      <c r="A9" s="279" t="s">
        <v>880</v>
      </c>
      <c r="AK9" s="299" t="s">
        <v>758</v>
      </c>
      <c r="AL9" s="612" t="b">
        <v>1</v>
      </c>
      <c r="AN9" s="1711"/>
      <c r="AO9" s="1712"/>
      <c r="AP9" s="1712"/>
      <c r="AQ9" s="1713"/>
      <c r="AR9" s="207"/>
      <c r="AS9" s="207"/>
      <c r="AT9" s="207"/>
      <c r="AU9" s="207"/>
      <c r="AV9" s="207"/>
      <c r="AW9" s="207"/>
      <c r="AX9" s="208" t="s">
        <v>4433</v>
      </c>
      <c r="AY9" s="1261"/>
      <c r="AZ9" s="1262"/>
      <c r="BA9" s="1262"/>
      <c r="BB9" s="1263"/>
      <c r="BC9" s="590" t="s">
        <v>26</v>
      </c>
      <c r="BD9" s="1261"/>
      <c r="BE9" s="1262"/>
      <c r="BF9" s="1262"/>
      <c r="BG9" s="1263"/>
      <c r="BQ9" s="620"/>
      <c r="BR9" s="620"/>
      <c r="BS9" s="621"/>
      <c r="BT9" s="621"/>
      <c r="BU9" s="621"/>
      <c r="BV9" s="621"/>
      <c r="BW9" s="621"/>
      <c r="BX9" s="621"/>
      <c r="BY9" s="621"/>
      <c r="BZ9" s="621"/>
      <c r="CA9" s="621"/>
      <c r="CB9" s="621"/>
      <c r="CC9" s="621"/>
      <c r="CD9" s="622"/>
      <c r="CE9" s="621"/>
      <c r="CF9" s="621"/>
      <c r="CG9" s="621"/>
      <c r="CH9" s="621"/>
      <c r="CI9" s="621"/>
      <c r="CJ9" s="621"/>
      <c r="CK9" s="621"/>
      <c r="CL9" s="621"/>
      <c r="CM9" s="621"/>
      <c r="CN9" s="621"/>
      <c r="CO9" s="621"/>
      <c r="CP9" s="621"/>
      <c r="CQ9" s="621"/>
      <c r="CR9" s="621"/>
      <c r="CS9" s="621"/>
      <c r="CT9" s="621"/>
      <c r="CU9" s="621"/>
    </row>
    <row r="10" spans="1:99" ht="16.5">
      <c r="B10" s="280" t="s">
        <v>104</v>
      </c>
      <c r="C10" s="280" t="s">
        <v>1902</v>
      </c>
      <c r="D10" s="273"/>
      <c r="E10" s="280" t="s">
        <v>888</v>
      </c>
      <c r="F10" s="280"/>
      <c r="AK10" s="299" t="s">
        <v>768</v>
      </c>
      <c r="AL10" s="612" t="b">
        <v>1</v>
      </c>
      <c r="AN10" s="1714"/>
      <c r="AO10" s="1715"/>
      <c r="AP10" s="1715"/>
      <c r="AQ10" s="1716"/>
      <c r="AR10" s="207"/>
      <c r="AS10" s="207"/>
      <c r="AT10" s="207"/>
      <c r="AU10" s="207"/>
      <c r="AV10" s="207"/>
      <c r="AW10" s="207"/>
      <c r="AX10" s="208" t="s">
        <v>4411</v>
      </c>
      <c r="AY10" s="1261"/>
      <c r="AZ10" s="1262"/>
      <c r="BA10" s="1262"/>
      <c r="BB10" s="1263"/>
      <c r="BC10" s="590" t="s">
        <v>26</v>
      </c>
      <c r="BD10" s="1261"/>
      <c r="BE10" s="1262"/>
      <c r="BF10" s="1262"/>
      <c r="BG10" s="1263"/>
      <c r="BK10" s="278" t="s">
        <v>526</v>
      </c>
      <c r="BQ10" s="552"/>
      <c r="BR10" s="552"/>
      <c r="BS10" s="552"/>
      <c r="BT10" s="552"/>
      <c r="BU10" s="552"/>
      <c r="BV10" s="552"/>
      <c r="BW10" s="552"/>
      <c r="BX10" s="552"/>
      <c r="BY10" s="552"/>
      <c r="BZ10" s="552"/>
      <c r="CA10" s="552"/>
      <c r="CB10" s="552"/>
      <c r="CC10" s="552"/>
      <c r="CD10" s="552"/>
      <c r="CE10" s="552"/>
      <c r="CF10" s="552"/>
      <c r="CG10" s="552"/>
      <c r="CH10" s="552"/>
      <c r="CI10" s="552"/>
      <c r="CJ10" s="552"/>
      <c r="CK10" s="552"/>
      <c r="CL10" s="552"/>
      <c r="CM10" s="552"/>
      <c r="CN10" s="552"/>
      <c r="CO10" s="552"/>
      <c r="CP10" s="552"/>
      <c r="CQ10" s="552"/>
      <c r="CR10" s="552"/>
      <c r="CS10" s="552"/>
      <c r="CT10" s="552"/>
      <c r="CU10" s="552"/>
    </row>
    <row r="11" spans="1:99" ht="16.5">
      <c r="AK11" s="299" t="s">
        <v>770</v>
      </c>
      <c r="AL11" s="612" t="b">
        <v>1</v>
      </c>
      <c r="AN11" s="207"/>
      <c r="AO11" s="207"/>
      <c r="AP11" s="207"/>
      <c r="AQ11" s="207"/>
      <c r="AR11" s="207"/>
      <c r="AS11" s="207"/>
      <c r="AT11" s="207"/>
      <c r="AU11" s="207"/>
      <c r="AV11" s="207"/>
      <c r="AW11" s="207"/>
      <c r="AX11" s="207"/>
      <c r="AY11" s="207"/>
      <c r="AZ11" s="207"/>
      <c r="BA11" s="207"/>
      <c r="BB11" s="207"/>
      <c r="BC11" s="207"/>
      <c r="BD11" s="207"/>
      <c r="BE11" s="207"/>
      <c r="BF11" s="207"/>
      <c r="BG11" s="207"/>
      <c r="BK11" s="278" t="s">
        <v>527</v>
      </c>
      <c r="BL11" s="280" t="s">
        <v>1927</v>
      </c>
      <c r="BM11" s="273" t="str">
        <f>IF(UNJC0060_B_HYOJI_KENSU=0,"",
"UNJC0060_IF!"&amp;ADDRESS(ROW(UNJC0060_IF_SAVE_COPY_START),COLUMN(UNJC0060_IF_SAVE_COPY_START))&amp;":"&amp;ADDRESS(ROW(UNJC0060_IF_SAVE_COPY_START)+UNJC0060_B_HYOJI_KENSU-1,COLUMN(UNJC0060_IF_SAVE_COPY_START)+COLUMNS(UNJC0060_IF_SAVE_COPY_MOTO)-1))</f>
        <v/>
      </c>
      <c r="CB11" s="300"/>
      <c r="CD11" s="300"/>
    </row>
    <row r="12" spans="1:99" ht="16.5">
      <c r="A12" s="279" t="s">
        <v>120</v>
      </c>
      <c r="C12" s="337"/>
      <c r="AK12" s="299" t="s">
        <v>772</v>
      </c>
      <c r="AL12" s="612" t="b">
        <v>1</v>
      </c>
      <c r="AN12" s="1701"/>
      <c r="AO12" s="1702"/>
      <c r="AP12" s="1702"/>
      <c r="AQ12" s="1703"/>
      <c r="AR12" s="1695"/>
      <c r="AS12" s="1696"/>
      <c r="AT12" s="1696"/>
      <c r="AU12" s="1696"/>
      <c r="AV12" s="1696"/>
      <c r="AW12" s="1696"/>
      <c r="AX12" s="1696"/>
      <c r="AY12" s="1696"/>
      <c r="AZ12" s="1696"/>
      <c r="BA12" s="1696"/>
      <c r="BB12" s="1696"/>
      <c r="BC12" s="1696"/>
      <c r="BD12" s="1696"/>
      <c r="BE12" s="1696"/>
      <c r="BF12" s="1696"/>
      <c r="BG12" s="1697"/>
      <c r="BK12" s="278" t="s">
        <v>1339</v>
      </c>
      <c r="BL12" s="280" t="s">
        <v>1928</v>
      </c>
      <c r="BM12" s="273">
        <f>UNJC0060_B_HYOJI_KENSU</f>
        <v>0</v>
      </c>
      <c r="CB12" s="300"/>
      <c r="CD12" s="300"/>
    </row>
    <row r="13" spans="1:99" ht="16.5">
      <c r="B13" s="278" t="s">
        <v>121</v>
      </c>
      <c r="C13" s="280" t="s">
        <v>1903</v>
      </c>
      <c r="D13" s="37"/>
      <c r="AK13" s="299" t="s">
        <v>776</v>
      </c>
      <c r="AL13" s="612" t="b">
        <v>1</v>
      </c>
      <c r="AN13" s="1701"/>
      <c r="AO13" s="1702"/>
      <c r="AP13" s="1702"/>
      <c r="AQ13" s="1703"/>
      <c r="AR13" s="1394" t="str">
        <f>IF(OR(UNJC0060_H_SEIKYUSAKI_CD="",UNJC0060_H_SEIKYUSAKI_MEI=""),"",UNJC0060_H_SEIKYUSAKI_MEI)</f>
        <v/>
      </c>
      <c r="AS13" s="1395"/>
      <c r="AT13" s="1395"/>
      <c r="AU13" s="1395"/>
      <c r="AV13" s="1395"/>
      <c r="AW13" s="1395"/>
      <c r="AX13" s="1395"/>
      <c r="AY13" s="1395"/>
      <c r="AZ13" s="1395"/>
      <c r="BA13" s="1395"/>
      <c r="BB13" s="1395"/>
      <c r="BC13" s="1395"/>
      <c r="BD13" s="1395"/>
      <c r="BE13" s="1395"/>
      <c r="BF13" s="1395"/>
      <c r="BG13" s="1396"/>
      <c r="CB13" s="300"/>
    </row>
    <row r="14" spans="1:99" ht="16.5">
      <c r="B14" s="278" t="s">
        <v>122</v>
      </c>
      <c r="C14" s="280" t="s">
        <v>1904</v>
      </c>
      <c r="D14" s="37"/>
      <c r="AK14" s="299" t="s">
        <v>778</v>
      </c>
      <c r="AL14" s="612" t="b">
        <v>1</v>
      </c>
      <c r="AN14" s="207"/>
      <c r="AO14" s="207"/>
      <c r="AP14" s="207"/>
      <c r="AQ14" s="207"/>
      <c r="AR14" s="207"/>
      <c r="AS14" s="207"/>
      <c r="AT14" s="207"/>
      <c r="AU14" s="207"/>
      <c r="AV14" s="207"/>
      <c r="AW14" s="207"/>
      <c r="AX14" s="207"/>
      <c r="AY14" s="207"/>
      <c r="AZ14" s="207"/>
      <c r="BA14" s="207"/>
      <c r="BB14" s="207"/>
      <c r="BC14" s="207"/>
      <c r="BD14" s="207"/>
      <c r="BE14" s="207"/>
      <c r="BF14" s="207"/>
      <c r="BG14" s="207"/>
      <c r="BK14" s="278" t="s">
        <v>1929</v>
      </c>
      <c r="BL14" s="280"/>
      <c r="CB14" s="300"/>
    </row>
    <row r="15" spans="1:99" ht="16.5">
      <c r="B15" s="278" t="s">
        <v>123</v>
      </c>
      <c r="C15" s="280" t="s">
        <v>1905</v>
      </c>
      <c r="D15" s="37"/>
      <c r="AK15" s="299" t="s">
        <v>781</v>
      </c>
      <c r="AL15" s="612" t="b">
        <v>1</v>
      </c>
      <c r="AN15" s="1338"/>
      <c r="AO15" s="1704"/>
      <c r="AP15" s="1704"/>
      <c r="AQ15" s="1704"/>
      <c r="AR15" s="1704"/>
      <c r="AS15" s="1704"/>
      <c r="AT15" s="1704"/>
      <c r="AU15" s="1705"/>
      <c r="AV15" s="207"/>
      <c r="AW15" s="207"/>
      <c r="AX15" s="207"/>
      <c r="AY15" s="208" t="s">
        <v>793</v>
      </c>
      <c r="AZ15" s="1390"/>
      <c r="BA15" s="1706"/>
      <c r="BB15" s="1706"/>
      <c r="BC15" s="1706"/>
      <c r="BD15" s="1706"/>
      <c r="BE15" s="1706"/>
      <c r="BF15" s="1706"/>
      <c r="BG15" s="1707"/>
      <c r="BK15" s="278" t="s">
        <v>1339</v>
      </c>
      <c r="BL15" s="280" t="s">
        <v>1930</v>
      </c>
      <c r="BM15" s="273"/>
      <c r="CB15" s="300"/>
    </row>
    <row r="16" spans="1:99" ht="16.5">
      <c r="AK16" s="299" t="s">
        <v>783</v>
      </c>
      <c r="AL16" s="612" t="b">
        <v>0</v>
      </c>
      <c r="AN16" s="207"/>
      <c r="AO16" s="207"/>
      <c r="AP16" s="207"/>
      <c r="AQ16" s="207"/>
      <c r="AR16" s="207"/>
      <c r="AS16" s="207"/>
      <c r="AT16" s="207"/>
      <c r="AU16" s="207"/>
      <c r="AV16" s="207"/>
      <c r="AW16" s="207"/>
      <c r="AX16" s="207"/>
      <c r="AY16" s="207"/>
      <c r="AZ16" s="207"/>
      <c r="BA16" s="207"/>
      <c r="BB16" s="207"/>
      <c r="BC16" s="207"/>
      <c r="BD16" s="207"/>
      <c r="BE16" s="207"/>
      <c r="BF16" s="207"/>
      <c r="BG16" s="207"/>
      <c r="CB16" s="300"/>
    </row>
    <row r="17" spans="1:80" ht="16.5">
      <c r="B17" s="278" t="s">
        <v>124</v>
      </c>
      <c r="C17" s="280" t="s">
        <v>1906</v>
      </c>
      <c r="D17" s="37"/>
      <c r="AK17" s="299" t="s">
        <v>785</v>
      </c>
      <c r="AL17" s="612" t="b">
        <v>0</v>
      </c>
      <c r="AN17" s="1344"/>
      <c r="AO17" s="1345"/>
      <c r="AP17" s="1345"/>
      <c r="AQ17" s="1346"/>
      <c r="AR17" s="77" t="str">
        <f>IF(UNJC0060_H_FREEWD_KBN=1,"AND",IF(UNJC0060_H_FREEWD_KBN=2,"OR","NAND"))</f>
        <v>AND</v>
      </c>
      <c r="AS17" s="1344"/>
      <c r="AT17" s="1345"/>
      <c r="AU17" s="1345"/>
      <c r="AV17" s="1346"/>
      <c r="AW17" s="77" t="str">
        <f>IF(UNJC0060_H_FREEWD_KBN=1,"AND",IF(UNJC0060_H_FREEWD_KBN=2,"OR","NAND"))</f>
        <v>AND</v>
      </c>
      <c r="AX17" s="1344"/>
      <c r="AY17" s="1345"/>
      <c r="AZ17" s="1345"/>
      <c r="BA17" s="1346"/>
      <c r="BB17" s="215"/>
      <c r="BC17" s="215"/>
      <c r="BD17" s="215"/>
      <c r="BE17" s="215"/>
      <c r="BF17" s="215"/>
      <c r="BG17" s="215"/>
      <c r="CB17" s="300"/>
    </row>
    <row r="18" spans="1:80" ht="16.5">
      <c r="C18" s="280"/>
      <c r="D18" s="338"/>
      <c r="AK18" s="85" t="s">
        <v>788</v>
      </c>
      <c r="AL18" s="613">
        <v>1</v>
      </c>
      <c r="BK18" s="278" t="s">
        <v>533</v>
      </c>
      <c r="CB18" s="300"/>
    </row>
    <row r="19" spans="1:80" ht="16.5">
      <c r="A19" s="279" t="s">
        <v>1907</v>
      </c>
      <c r="AK19" s="82"/>
      <c r="AL19" s="614"/>
      <c r="BK19" s="278" t="s">
        <v>340</v>
      </c>
      <c r="BL19" s="280" t="s">
        <v>1931</v>
      </c>
      <c r="BM19" s="273"/>
      <c r="CB19" s="300"/>
    </row>
    <row r="20" spans="1:80" ht="16.5">
      <c r="B20" s="278" t="s">
        <v>1908</v>
      </c>
      <c r="BK20" s="278" t="s">
        <v>528</v>
      </c>
      <c r="BL20" s="280" t="s">
        <v>1932</v>
      </c>
      <c r="BM20" s="273"/>
      <c r="CB20" s="85"/>
    </row>
    <row r="21" spans="1:80">
      <c r="B21" s="255" t="s">
        <v>99</v>
      </c>
      <c r="C21" s="255" t="s">
        <v>820</v>
      </c>
      <c r="BK21" s="278" t="s">
        <v>330</v>
      </c>
      <c r="BL21" s="280" t="s">
        <v>1933</v>
      </c>
      <c r="BM21" s="273">
        <f>IF(UNJC0060_IF_SAVE_RESULT_CD=0,2,1)</f>
        <v>2</v>
      </c>
      <c r="BN21" s="278" t="s">
        <v>335</v>
      </c>
    </row>
    <row r="22" spans="1:80">
      <c r="B22" s="101" t="s">
        <v>1911</v>
      </c>
      <c r="C22" s="341">
        <v>1</v>
      </c>
      <c r="BK22" s="278" t="s">
        <v>333</v>
      </c>
      <c r="BL22" s="280" t="s">
        <v>1934</v>
      </c>
      <c r="BM22" s="273" t="s">
        <v>1935</v>
      </c>
    </row>
    <row r="23" spans="1:80">
      <c r="B23" s="101" t="s">
        <v>1914</v>
      </c>
      <c r="C23" s="341" t="s">
        <v>1915</v>
      </c>
      <c r="D23" s="616"/>
    </row>
    <row r="24" spans="1:80" ht="18" customHeight="1">
      <c r="B24" s="255" t="s">
        <v>906</v>
      </c>
      <c r="C24" s="341" t="s">
        <v>907</v>
      </c>
    </row>
    <row r="25" spans="1:80" ht="20.25" customHeight="1">
      <c r="B25" s="342"/>
      <c r="C25" s="342"/>
    </row>
    <row r="26" spans="1:80" ht="18.75" customHeight="1">
      <c r="B26" s="343"/>
      <c r="C26" s="343"/>
    </row>
  </sheetData>
  <mergeCells count="24">
    <mergeCell ref="AN6:AQ6"/>
    <mergeCell ref="AY6:BB6"/>
    <mergeCell ref="BD6:BG6"/>
    <mergeCell ref="AN7:AQ7"/>
    <mergeCell ref="AY7:BB7"/>
    <mergeCell ref="BD7:BG7"/>
    <mergeCell ref="AN13:AQ13"/>
    <mergeCell ref="AR13:BG13"/>
    <mergeCell ref="AN8:AQ8"/>
    <mergeCell ref="AY8:BB8"/>
    <mergeCell ref="BD8:BG8"/>
    <mergeCell ref="AN9:AQ9"/>
    <mergeCell ref="AY9:BB9"/>
    <mergeCell ref="BD9:BG9"/>
    <mergeCell ref="AN10:AQ10"/>
    <mergeCell ref="AY10:BB10"/>
    <mergeCell ref="BD10:BG10"/>
    <mergeCell ref="AN12:AQ12"/>
    <mergeCell ref="AR12:BG12"/>
    <mergeCell ref="AN15:AU15"/>
    <mergeCell ref="AZ15:BG15"/>
    <mergeCell ref="AN17:AQ17"/>
    <mergeCell ref="AS17:AV17"/>
    <mergeCell ref="AX17:BA17"/>
  </mergeCells>
  <phoneticPr fontId="2"/>
  <dataValidations count="8">
    <dataValidation type="custom" allowBlank="1" showInputMessage="1" showErrorMessage="1" sqref="AN6:AQ6">
      <formula1>AND(LEN(UNJC0060_H_JURI_NO)=LENB(UNJC0060_H_JURI_NO),LEN(UNJC0060_H_JURI_NO)=10)</formula1>
    </dataValidation>
    <dataValidation type="custom" allowBlank="1" showInputMessage="1" showErrorMessage="1" sqref="AN9:AQ9">
      <formula1>AND(LEN(UNJC0060_H_MITSUMORI_NO)=LENB(UNJC0060_H_MITSUMORI_NO),LEN(UNJC0060_H_MITSUMORI_NO)=10)</formula1>
    </dataValidation>
    <dataValidation type="custom" allowBlank="1" showInputMessage="1" showErrorMessage="1" sqref="AR12:BG12">
      <formula1>LEN(AR12)&lt;=50</formula1>
    </dataValidation>
    <dataValidation type="custom" allowBlank="1" showInputMessage="1" showErrorMessage="1" sqref="AZ15:BG15">
      <formula1>LEN(AZ15)&lt;=20</formula1>
    </dataValidation>
    <dataValidation type="custom" allowBlank="1" showInputMessage="1" showErrorMessage="1" sqref="AN12:AQ13">
      <formula1>AND(LEN(AN12)=LENB(AN12),LEN(AN12)&lt;=10)</formula1>
    </dataValidation>
    <dataValidation type="list" allowBlank="1" showInputMessage="1" showErrorMessage="1" sqref="AN10:AQ10">
      <formula1>UNJC0060_IF_LIST_BUNSEKI_KBN_HOHO</formula1>
    </dataValidation>
    <dataValidation type="textLength" operator="lessThanOrEqual" allowBlank="1" showInputMessage="1" showErrorMessage="1" sqref="AN15:AU15">
      <formula1>20</formula1>
    </dataValidation>
    <dataValidation type="date" allowBlank="1" showInputMessage="1" showErrorMessage="1" sqref="AY6:BB6 AY7:BB7 AY8:BB8 AY9:BB9 AY10:BB10 BD6:BG6 BD7:BG7 BD8:BG8 BD9:BG9 BD10:BG10">
      <formula1>36526</formula1>
      <formula2>73415</formula2>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73249" r:id="rId4" name="Check Box 1">
              <controlPr defaultSize="0" autoFill="0" autoLine="0" autoPict="0" macro="[0]!M_UNJC0060_CLICK_CHECKBOX">
                <anchor moveWithCells="1">
                  <from>
                    <xdr:col>3</xdr:col>
                    <xdr:colOff>76200</xdr:colOff>
                    <xdr:row>6</xdr:row>
                    <xdr:rowOff>28575</xdr:rowOff>
                  </from>
                  <to>
                    <xdr:col>3</xdr:col>
                    <xdr:colOff>238125</xdr:colOff>
                    <xdr:row>6</xdr:row>
                    <xdr:rowOff>171450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M88"/>
  <sheetViews>
    <sheetView topLeftCell="A52" zoomScale="115" zoomScaleNormal="115" workbookViewId="0">
      <pane xSplit="2" topLeftCell="C1" activePane="topRight" state="frozen"/>
      <selection activeCell="H14" sqref="H14:K14"/>
      <selection pane="topRight" activeCell="F71" sqref="F71"/>
    </sheetView>
  </sheetViews>
  <sheetFormatPr defaultRowHeight="13.5"/>
  <cols>
    <col min="1" max="1" width="2" style="278" customWidth="1"/>
    <col min="2" max="3" width="23.75" style="278" customWidth="1"/>
    <col min="4" max="5" width="1.125" style="278" customWidth="1"/>
    <col min="6" max="6" width="65.25" style="278" customWidth="1"/>
    <col min="7" max="7" width="48.625" style="278" customWidth="1"/>
    <col min="8" max="8" width="39.625" style="278" customWidth="1"/>
    <col min="9" max="10" width="1.125" style="278" customWidth="1"/>
    <col min="11" max="11" width="41.125" style="278" customWidth="1"/>
    <col min="12" max="12" width="40.75" style="278" customWidth="1"/>
    <col min="13" max="16384" width="9" style="278"/>
  </cols>
  <sheetData>
    <row r="1" spans="1:13">
      <c r="A1" s="344" t="s">
        <v>908</v>
      </c>
      <c r="B1" s="345"/>
      <c r="C1" s="346"/>
      <c r="D1" s="347"/>
      <c r="E1" s="347"/>
      <c r="F1" s="348" t="s">
        <v>1936</v>
      </c>
      <c r="G1" s="345" t="s">
        <v>1937</v>
      </c>
      <c r="H1" s="345"/>
      <c r="I1" s="345"/>
      <c r="J1" s="345"/>
      <c r="K1" s="345"/>
      <c r="L1" s="278" t="s">
        <v>1938</v>
      </c>
      <c r="M1" s="278" t="s">
        <v>912</v>
      </c>
    </row>
    <row r="2" spans="1:13" s="143" customFormat="1" ht="16.5">
      <c r="A2" s="623"/>
      <c r="B2" s="207" t="s">
        <v>1939</v>
      </c>
      <c r="C2" s="83" t="s">
        <v>1940</v>
      </c>
      <c r="D2" s="624"/>
      <c r="E2" s="624"/>
      <c r="F2" s="625" t="b">
        <v>0</v>
      </c>
      <c r="G2" s="626" t="e">
        <f>UNJC0060_H_SHIKENHOKOKUSHO</f>
        <v>#NAME?</v>
      </c>
      <c r="H2" s="623"/>
      <c r="I2" s="623"/>
      <c r="J2" s="623"/>
      <c r="K2" s="623"/>
      <c r="L2" s="627" t="b">
        <v>1</v>
      </c>
      <c r="M2" s="625" t="b">
        <v>0</v>
      </c>
    </row>
    <row r="3" spans="1:13" s="143" customFormat="1" ht="16.5">
      <c r="A3" s="628"/>
      <c r="B3" s="629" t="s">
        <v>1941</v>
      </c>
      <c r="C3" s="630" t="s">
        <v>1942</v>
      </c>
      <c r="D3" s="631"/>
      <c r="E3" s="631"/>
      <c r="F3" s="625" t="b">
        <v>0</v>
      </c>
      <c r="G3" s="632" t="e">
        <f>UNJC0060_H_KEIRYOHOKOKUSHO</f>
        <v>#NAME?</v>
      </c>
      <c r="H3" s="628"/>
      <c r="I3" s="628"/>
      <c r="J3" s="628"/>
      <c r="K3" s="628"/>
      <c r="L3" s="633" t="b">
        <v>1</v>
      </c>
      <c r="M3" s="625" t="b">
        <v>0</v>
      </c>
    </row>
    <row r="4" spans="1:13" ht="16.5">
      <c r="A4" s="349"/>
      <c r="B4" s="299" t="s">
        <v>1943</v>
      </c>
      <c r="C4" s="300" t="s">
        <v>1944</v>
      </c>
      <c r="D4" s="350"/>
      <c r="E4" s="350"/>
      <c r="F4" s="351"/>
      <c r="G4" s="352" t="str">
        <f>IF(UNJC0060_H_HOKOKU_KEISHIKI=0,"",UNJC0060_H_HOKOKU_KEISHIKI_CD)</f>
        <v/>
      </c>
      <c r="H4" s="349"/>
      <c r="I4" s="349"/>
      <c r="J4" s="349"/>
      <c r="K4" s="349"/>
      <c r="L4" s="353">
        <v>1</v>
      </c>
      <c r="M4" s="351"/>
    </row>
    <row r="5" spans="1:13" s="361" customFormat="1" ht="16.5">
      <c r="A5" s="354"/>
      <c r="B5" s="355" t="s">
        <v>748</v>
      </c>
      <c r="C5" s="356" t="s">
        <v>1945</v>
      </c>
      <c r="D5" s="357"/>
      <c r="E5" s="357"/>
      <c r="F5" s="358" t="b">
        <v>0</v>
      </c>
      <c r="G5" s="359" t="b">
        <f>UNJC0060_H_KAKUTEIMI_STS</f>
        <v>1</v>
      </c>
      <c r="H5" s="354"/>
      <c r="I5" s="354"/>
      <c r="J5" s="354"/>
      <c r="K5" s="354"/>
      <c r="L5" s="360" t="b">
        <v>1</v>
      </c>
      <c r="M5" s="358" t="b">
        <v>0</v>
      </c>
    </row>
    <row r="6" spans="1:13" ht="16.5">
      <c r="A6" s="349"/>
      <c r="B6" s="299" t="s">
        <v>751</v>
      </c>
      <c r="C6" s="300" t="s">
        <v>1946</v>
      </c>
      <c r="D6" s="350"/>
      <c r="E6" s="350"/>
      <c r="F6" s="351" t="b">
        <v>0</v>
      </c>
      <c r="G6" s="352" t="b">
        <f>UNJC0060_H_UKETSUKE_STS</f>
        <v>1</v>
      </c>
      <c r="H6" s="349"/>
      <c r="I6" s="349"/>
      <c r="J6" s="349"/>
      <c r="K6" s="349"/>
      <c r="L6" s="353" t="b">
        <v>1</v>
      </c>
      <c r="M6" s="351" t="b">
        <v>0</v>
      </c>
    </row>
    <row r="7" spans="1:13" s="361" customFormat="1" ht="16.5">
      <c r="A7" s="354"/>
      <c r="B7" s="355" t="s">
        <v>766</v>
      </c>
      <c r="C7" s="356" t="s">
        <v>1947</v>
      </c>
      <c r="D7" s="357"/>
      <c r="E7" s="357"/>
      <c r="F7" s="358" t="b">
        <v>0</v>
      </c>
      <c r="G7" s="359" t="b">
        <f>UNJC0060_H_GIJUTSU_STS</f>
        <v>1</v>
      </c>
      <c r="H7" s="354"/>
      <c r="I7" s="354"/>
      <c r="J7" s="354"/>
      <c r="K7" s="354"/>
      <c r="L7" s="360" t="b">
        <v>1</v>
      </c>
      <c r="M7" s="358" t="b">
        <v>0</v>
      </c>
    </row>
    <row r="8" spans="1:13" ht="16.5">
      <c r="A8" s="349"/>
      <c r="B8" s="299" t="s">
        <v>758</v>
      </c>
      <c r="C8" s="300" t="s">
        <v>1948</v>
      </c>
      <c r="D8" s="349"/>
      <c r="E8" s="349"/>
      <c r="F8" s="351" t="b">
        <v>0</v>
      </c>
      <c r="G8" s="352" t="b">
        <f>UNJC0060_H_CHUKAN_STS</f>
        <v>1</v>
      </c>
      <c r="H8" s="349"/>
      <c r="I8" s="349"/>
      <c r="J8" s="349"/>
      <c r="K8" s="349"/>
      <c r="L8" s="353" t="b">
        <v>1</v>
      </c>
      <c r="M8" s="351" t="b">
        <v>0</v>
      </c>
    </row>
    <row r="9" spans="1:13" s="361" customFormat="1" ht="16.5">
      <c r="A9" s="354"/>
      <c r="B9" s="355" t="s">
        <v>768</v>
      </c>
      <c r="C9" s="356" t="s">
        <v>1949</v>
      </c>
      <c r="D9" s="354"/>
      <c r="E9" s="354"/>
      <c r="F9" s="358" t="b">
        <v>0</v>
      </c>
      <c r="G9" s="359" t="b">
        <f>UNJC0060_H_KAKUNIN2_STS</f>
        <v>1</v>
      </c>
      <c r="H9" s="354"/>
      <c r="I9" s="354"/>
      <c r="J9" s="354"/>
      <c r="K9" s="354"/>
      <c r="L9" s="360" t="b">
        <v>1</v>
      </c>
      <c r="M9" s="358" t="b">
        <v>0</v>
      </c>
    </row>
    <row r="10" spans="1:13" ht="16.5">
      <c r="A10" s="349"/>
      <c r="B10" s="299" t="s">
        <v>770</v>
      </c>
      <c r="C10" s="300" t="s">
        <v>1950</v>
      </c>
      <c r="D10" s="362"/>
      <c r="E10" s="362"/>
      <c r="F10" s="351" t="b">
        <v>0</v>
      </c>
      <c r="G10" s="363" t="b">
        <f>UNJC0060_H_SOKUHO_STS</f>
        <v>1</v>
      </c>
      <c r="H10" s="254"/>
      <c r="I10" s="254"/>
      <c r="J10" s="254"/>
      <c r="K10" s="254"/>
      <c r="L10" s="364" t="b">
        <v>1</v>
      </c>
      <c r="M10" s="351" t="b">
        <v>0</v>
      </c>
    </row>
    <row r="11" spans="1:13" s="361" customFormat="1" ht="16.5">
      <c r="A11" s="354"/>
      <c r="B11" s="355" t="s">
        <v>772</v>
      </c>
      <c r="C11" s="356" t="s">
        <v>1951</v>
      </c>
      <c r="D11" s="357"/>
      <c r="E11" s="357"/>
      <c r="F11" s="358" t="b">
        <v>0</v>
      </c>
      <c r="G11" s="365" t="b">
        <f>UNJC0060_H_EIGYO_STS</f>
        <v>1</v>
      </c>
      <c r="H11" s="354"/>
      <c r="I11" s="357"/>
      <c r="L11" s="366" t="b">
        <v>1</v>
      </c>
      <c r="M11" s="358" t="b">
        <v>0</v>
      </c>
    </row>
    <row r="12" spans="1:13" s="282" customFormat="1" ht="16.5">
      <c r="A12" s="349"/>
      <c r="B12" s="308" t="s">
        <v>776</v>
      </c>
      <c r="C12" s="367" t="s">
        <v>1952</v>
      </c>
      <c r="D12" s="350"/>
      <c r="E12" s="350"/>
      <c r="F12" s="351" t="b">
        <v>0</v>
      </c>
      <c r="G12" s="368" t="b">
        <f>UNJC0060_H_NOHIN_STS</f>
        <v>1</v>
      </c>
      <c r="H12" s="349"/>
      <c r="I12" s="349"/>
      <c r="J12" s="349"/>
      <c r="K12" s="349"/>
      <c r="L12" s="369" t="b">
        <v>1</v>
      </c>
      <c r="M12" s="351" t="b">
        <v>0</v>
      </c>
    </row>
    <row r="13" spans="1:13" s="361" customFormat="1" ht="16.5">
      <c r="A13" s="354"/>
      <c r="B13" s="355" t="s">
        <v>778</v>
      </c>
      <c r="C13" s="356" t="s">
        <v>1953</v>
      </c>
      <c r="D13" s="357"/>
      <c r="E13" s="357"/>
      <c r="F13" s="358" t="b">
        <v>0</v>
      </c>
      <c r="G13" s="365" t="b">
        <f>UNJC0060_H_BUNSEKI_HOKAN_STS</f>
        <v>1</v>
      </c>
      <c r="H13" s="354"/>
      <c r="I13" s="354"/>
      <c r="J13" s="354"/>
      <c r="K13" s="354"/>
      <c r="L13" s="366" t="b">
        <v>1</v>
      </c>
      <c r="M13" s="358" t="b">
        <v>0</v>
      </c>
    </row>
    <row r="14" spans="1:13" s="282" customFormat="1" ht="16.5">
      <c r="A14" s="349"/>
      <c r="B14" s="308" t="s">
        <v>781</v>
      </c>
      <c r="C14" s="367" t="s">
        <v>1954</v>
      </c>
      <c r="D14" s="350"/>
      <c r="E14" s="350"/>
      <c r="F14" s="351" t="b">
        <v>0</v>
      </c>
      <c r="G14" s="368" t="b">
        <f>UNJC0060_H_TEISEI_STS</f>
        <v>1</v>
      </c>
      <c r="H14" s="349"/>
      <c r="I14" s="349"/>
      <c r="J14" s="349"/>
      <c r="K14" s="349"/>
      <c r="L14" s="369" t="b">
        <v>1</v>
      </c>
      <c r="M14" s="351" t="b">
        <v>0</v>
      </c>
    </row>
    <row r="15" spans="1:13" s="361" customFormat="1" ht="16.5">
      <c r="A15" s="354"/>
      <c r="B15" s="355" t="s">
        <v>783</v>
      </c>
      <c r="C15" s="356" t="s">
        <v>1955</v>
      </c>
      <c r="D15" s="357"/>
      <c r="E15" s="357"/>
      <c r="F15" s="358" t="b">
        <v>0</v>
      </c>
      <c r="G15" s="365" t="b">
        <f>UNJC0060_H_CHUDAN_STS</f>
        <v>0</v>
      </c>
      <c r="H15" s="354"/>
      <c r="I15" s="354"/>
      <c r="J15" s="354"/>
      <c r="K15" s="354"/>
      <c r="L15" s="366" t="b">
        <v>1</v>
      </c>
      <c r="M15" s="358" t="b">
        <v>0</v>
      </c>
    </row>
    <row r="16" spans="1:13" s="282" customFormat="1" ht="16.5">
      <c r="A16" s="349"/>
      <c r="B16" s="308" t="s">
        <v>785</v>
      </c>
      <c r="C16" s="367" t="s">
        <v>1956</v>
      </c>
      <c r="D16" s="350"/>
      <c r="E16" s="350"/>
      <c r="F16" s="351" t="b">
        <v>0</v>
      </c>
      <c r="G16" s="368" t="b">
        <f>UNJC0060_H_CHUSHI_STS</f>
        <v>0</v>
      </c>
      <c r="H16" s="349"/>
      <c r="I16" s="349"/>
      <c r="J16" s="349"/>
      <c r="K16" s="349"/>
      <c r="L16" s="369" t="b">
        <v>1</v>
      </c>
      <c r="M16" s="351" t="b">
        <v>0</v>
      </c>
    </row>
    <row r="17" spans="1:13" s="361" customFormat="1" ht="16.5">
      <c r="A17" s="354"/>
      <c r="B17" s="370" t="s">
        <v>28</v>
      </c>
      <c r="C17" s="371" t="s">
        <v>1957</v>
      </c>
      <c r="D17" s="357"/>
      <c r="E17" s="357"/>
      <c r="F17" s="372"/>
      <c r="G17" s="373" t="str">
        <f>IF(UNJC0060_H_JURI_NO=0,"",UNJC0060_H_JURI_NO)</f>
        <v/>
      </c>
      <c r="H17" s="354"/>
      <c r="I17" s="354"/>
      <c r="J17" s="354"/>
      <c r="K17" s="374"/>
      <c r="L17" s="375" t="s">
        <v>1958</v>
      </c>
      <c r="M17" s="372" t="s">
        <v>1959</v>
      </c>
    </row>
    <row r="18" spans="1:13" s="282" customFormat="1" ht="16.5">
      <c r="A18" s="349"/>
      <c r="B18" s="376" t="s">
        <v>97</v>
      </c>
      <c r="C18" s="377" t="s">
        <v>1960</v>
      </c>
      <c r="D18" s="350"/>
      <c r="E18" s="350"/>
      <c r="F18" s="378"/>
      <c r="G18" s="379" t="str">
        <f>IF(UNJC0060_H_EIGYO_TANTOSHA_MEI=0,"",UNJC0060_H_EIGYO_TANTO_CD)</f>
        <v/>
      </c>
      <c r="H18" s="634"/>
      <c r="I18" s="349"/>
      <c r="J18" s="349"/>
      <c r="K18" s="380"/>
      <c r="L18" s="381">
        <v>9001</v>
      </c>
      <c r="M18" s="378" t="s">
        <v>1959</v>
      </c>
    </row>
    <row r="19" spans="1:13" s="361" customFormat="1" ht="16.5">
      <c r="A19" s="354"/>
      <c r="B19" s="370" t="s">
        <v>98</v>
      </c>
      <c r="C19" s="382" t="s">
        <v>1961</v>
      </c>
      <c r="D19" s="357"/>
      <c r="E19" s="357"/>
      <c r="F19" s="358"/>
      <c r="G19" s="383" t="str">
        <f>IF(UNJC0060_H_NYURYOKUSHA_MEI=0,"",UNJC0060_H_NYURYOKUSHA_CD)</f>
        <v/>
      </c>
      <c r="H19" s="354"/>
      <c r="I19" s="354"/>
      <c r="J19" s="354"/>
      <c r="K19" s="384"/>
      <c r="L19" s="375">
        <v>3000</v>
      </c>
      <c r="M19" s="358"/>
    </row>
    <row r="20" spans="1:13" s="282" customFormat="1" ht="18" customHeight="1">
      <c r="A20" s="349"/>
      <c r="B20" s="376" t="s">
        <v>2</v>
      </c>
      <c r="C20" s="377" t="s">
        <v>1962</v>
      </c>
      <c r="D20" s="350"/>
      <c r="E20" s="350"/>
      <c r="F20" s="351"/>
      <c r="G20" s="385" t="str">
        <f>IF(UNJC0060_H_MITSUMORI_NO=0,"",UNJC0060_H_MITSUMORI_NO)</f>
        <v/>
      </c>
      <c r="H20" s="349"/>
      <c r="I20" s="349"/>
      <c r="J20" s="349"/>
      <c r="K20" s="386"/>
      <c r="L20" s="387" t="s">
        <v>1963</v>
      </c>
      <c r="M20" s="351"/>
    </row>
    <row r="21" spans="1:13" s="361" customFormat="1" ht="16.5">
      <c r="A21" s="354"/>
      <c r="B21" s="370" t="s">
        <v>820</v>
      </c>
      <c r="C21" s="371" t="s">
        <v>1964</v>
      </c>
      <c r="D21" s="357"/>
      <c r="E21" s="357"/>
      <c r="F21" s="358"/>
      <c r="G21" s="383" t="str">
        <f ca="1">IF(UNJC0060_H_BUNSEKIKUBUN_KBN=0,"",UNJC0060_H_BUNSEKIKUBUN_KBN)</f>
        <v/>
      </c>
      <c r="H21" s="354"/>
      <c r="I21" s="354"/>
      <c r="J21" s="354"/>
      <c r="K21" s="354"/>
      <c r="L21" s="375">
        <v>1</v>
      </c>
      <c r="M21" s="358"/>
    </row>
    <row r="22" spans="1:13" s="398" customFormat="1" ht="16.5">
      <c r="A22" s="395"/>
      <c r="B22" s="635" t="s">
        <v>867</v>
      </c>
      <c r="C22" s="636" t="s">
        <v>1965</v>
      </c>
      <c r="D22" s="396"/>
      <c r="E22" s="396"/>
      <c r="F22" s="637"/>
      <c r="G22" s="638" t="str">
        <f ca="1">IF(UNJC0060_H_NYURYOKU_DATE_START="",
     "",
     TEXT(
         MIN(UNJC0060_H_NYURYOKU_DATE_START,
               UNJC0060_H_NYURYOKU_DATE_END
         ),
         "YYYY/MM/DD"
     )
  )</f>
        <v>2017/09/27</v>
      </c>
      <c r="H22" s="395"/>
      <c r="I22" s="395"/>
      <c r="J22" s="395"/>
      <c r="K22" s="395"/>
      <c r="L22" s="639">
        <v>42006</v>
      </c>
      <c r="M22" s="397"/>
    </row>
    <row r="23" spans="1:13" s="361" customFormat="1" ht="16.5">
      <c r="A23" s="354"/>
      <c r="B23" s="370"/>
      <c r="C23" s="371" t="s">
        <v>1966</v>
      </c>
      <c r="D23" s="357"/>
      <c r="E23" s="357"/>
      <c r="F23" s="640"/>
      <c r="G23" s="641" t="str">
        <f ca="1">IF(UNJC0060_H_NYURYOKU_DATE_START="",
     "",
     TEXT(
         MAX(UNJC0060_H_NYURYOKU_DATE_START,
               UNJC0060_H_NYURYOKU_DATE_END
         ),
         "YYYY/MM/DD"
     )
  )</f>
        <v>2017/09/27</v>
      </c>
      <c r="H23" s="354"/>
      <c r="I23" s="354"/>
      <c r="J23" s="354"/>
      <c r="K23" s="354"/>
      <c r="L23" s="642">
        <v>0</v>
      </c>
      <c r="M23" s="358"/>
    </row>
    <row r="24" spans="1:13" s="282" customFormat="1" ht="16.5">
      <c r="A24" s="349"/>
      <c r="B24" s="376" t="s">
        <v>919</v>
      </c>
      <c r="C24" s="377" t="s">
        <v>1967</v>
      </c>
      <c r="D24" s="350"/>
      <c r="E24" s="350"/>
      <c r="F24" s="643"/>
      <c r="G24" s="644" t="str">
        <f>IF(UNJC0060_H_IRAI_DATE_START="",
     "",
     TEXT(
         MIN(UNJC0060_H_IRAI_DATE_START,
               UNJC0060_H_IRAI_DATE_END
         ),
         "YYYY/MM/DD"
     )
  )</f>
        <v/>
      </c>
      <c r="H24" s="349"/>
      <c r="I24" s="349"/>
      <c r="J24" s="349"/>
      <c r="K24" s="349"/>
      <c r="L24" s="645">
        <v>0</v>
      </c>
      <c r="M24" s="351"/>
    </row>
    <row r="25" spans="1:13" s="361" customFormat="1" ht="16.5">
      <c r="A25" s="354"/>
      <c r="B25" s="370"/>
      <c r="C25" s="371" t="s">
        <v>1968</v>
      </c>
      <c r="D25" s="357"/>
      <c r="E25" s="357"/>
      <c r="F25" s="640"/>
      <c r="G25" s="641" t="str">
        <f>IF(UNJC0060_H_IRAI_DATE_END="",
     "",
     TEXT(
         MAX(UNJC0060_H_IRAI_DATE_START,
               UNJC0060_H_IRAI_DATE_END
         ),
         "YYYY/MM/DD"
     )
  )</f>
        <v/>
      </c>
      <c r="H25" s="354"/>
      <c r="I25" s="354"/>
      <c r="J25" s="354"/>
      <c r="K25" s="354"/>
      <c r="L25" s="642">
        <v>0</v>
      </c>
      <c r="M25" s="358"/>
    </row>
    <row r="26" spans="1:13" s="282" customFormat="1" ht="16.5">
      <c r="A26" s="349"/>
      <c r="B26" s="388" t="s">
        <v>920</v>
      </c>
      <c r="C26" s="309" t="s">
        <v>1969</v>
      </c>
      <c r="D26" s="350"/>
      <c r="E26" s="350"/>
      <c r="F26" s="643" t="s">
        <v>807</v>
      </c>
      <c r="G26" s="644" t="str">
        <f>IF(UNJC0060_H_CHUKAN_DATE_START="",
     "",
     TEXT(
         MIN(UNJC0060_H_CHUKAN_DATE_START,
               UNJC0060_H_CHUKAN_DATE_END
         ),
         "YYYY/MM/DD"
     )
  )</f>
        <v/>
      </c>
      <c r="H26" s="377"/>
      <c r="I26" s="350"/>
      <c r="J26" s="350"/>
      <c r="K26" s="389"/>
      <c r="L26" s="645">
        <v>0</v>
      </c>
      <c r="M26" s="351" t="s">
        <v>807</v>
      </c>
    </row>
    <row r="27" spans="1:13" s="361" customFormat="1" ht="16.5">
      <c r="A27" s="354"/>
      <c r="B27" s="390"/>
      <c r="C27" s="391" t="s">
        <v>1970</v>
      </c>
      <c r="D27" s="357"/>
      <c r="E27" s="357"/>
      <c r="F27" s="646"/>
      <c r="G27" s="641" t="str">
        <f>IF(UNJC0060_H_CHUKAN_DATE_END="",
     "",
     TEXT(
         MAX(UNJC0060_H_CHUKAN_DATE_START,
               UNJC0060_H_CHUKAN_DATE_END
         ),
         "YYYY/MM/DD"
     )
  )</f>
        <v/>
      </c>
      <c r="H27" s="354"/>
      <c r="I27" s="354"/>
      <c r="J27" s="354"/>
      <c r="K27" s="354"/>
      <c r="L27" s="642">
        <v>0</v>
      </c>
      <c r="M27" s="372"/>
    </row>
    <row r="28" spans="1:13" s="282" customFormat="1" ht="16.5">
      <c r="A28" s="349"/>
      <c r="B28" s="388" t="s">
        <v>827</v>
      </c>
      <c r="C28" s="309" t="s">
        <v>1971</v>
      </c>
      <c r="D28" s="350"/>
      <c r="E28" s="350"/>
      <c r="F28" s="647"/>
      <c r="G28" s="644" t="str">
        <f>IF(UNJC0060_H_KANSEI_DATE_START="",
     "",
     TEXT(
         MIN(UNJC0060_H_KANSEI_DATE_START,
               UNJC0060_H_KANSEI_DATE_END
         ),
         "YYYY/MM/DD"
     )
  )</f>
        <v/>
      </c>
      <c r="H28" s="349"/>
      <c r="I28" s="349"/>
      <c r="J28" s="349"/>
      <c r="K28" s="349"/>
      <c r="L28" s="645">
        <v>0</v>
      </c>
      <c r="M28" s="378"/>
    </row>
    <row r="29" spans="1:13" s="361" customFormat="1" ht="16.5">
      <c r="A29" s="354"/>
      <c r="B29" s="392"/>
      <c r="C29" s="371" t="s">
        <v>1972</v>
      </c>
      <c r="D29" s="357"/>
      <c r="E29" s="357"/>
      <c r="F29" s="640"/>
      <c r="G29" s="641" t="str">
        <f>IF(UNJC0060_H_KANSEI_DATE_END="",
     "",
     TEXT(
         MAX(UNJC0060_H_KANSEI_DATE_START,
               UNJC0060_H_KANSEI_DATE_END
         ),
         "YYYY/MM/DD"
     )
  )</f>
        <v/>
      </c>
      <c r="H29" s="354"/>
      <c r="I29" s="354"/>
      <c r="J29" s="354"/>
      <c r="K29" s="354"/>
      <c r="L29" s="642">
        <v>0</v>
      </c>
      <c r="M29" s="358"/>
    </row>
    <row r="30" spans="1:13" s="282" customFormat="1" ht="16.5">
      <c r="A30" s="349"/>
      <c r="B30" s="388" t="s">
        <v>29</v>
      </c>
      <c r="C30" s="309" t="s">
        <v>1973</v>
      </c>
      <c r="D30" s="350"/>
      <c r="E30" s="350"/>
      <c r="F30" s="643"/>
      <c r="G30" s="644" t="str">
        <f>IF(UNJC0060_H_NOHIN_DATE_START="",
     "",
     TEXT(
         MIN(UNJC0060_H_NOHIN_DATE_START,
               UNJC0060_H_NOHIN_DATE_END
         ),
         "YYYY/MM/DD"
     )
  )</f>
        <v/>
      </c>
      <c r="H30" s="349"/>
      <c r="I30" s="349"/>
      <c r="J30" s="349"/>
      <c r="K30" s="349"/>
      <c r="L30" s="648">
        <v>0</v>
      </c>
      <c r="M30" s="351"/>
    </row>
    <row r="31" spans="1:13" s="361" customFormat="1" ht="16.5">
      <c r="A31" s="354"/>
      <c r="B31" s="390"/>
      <c r="C31" s="391" t="s">
        <v>1974</v>
      </c>
      <c r="D31" s="357"/>
      <c r="E31" s="357"/>
      <c r="F31" s="640"/>
      <c r="G31" s="641" t="str">
        <f>IF(UNJC0060_H_NOHIN_DATE_END="",
     "",
     TEXT(
         MAX(UNJC0060_H_NOHIN_DATE_START,
               UNJC0060_H_NOHIN_DATE_END
         ),
         "YYYY/MM/DD"
     )
  )</f>
        <v/>
      </c>
      <c r="H31" s="354"/>
      <c r="I31" s="354"/>
      <c r="J31" s="354"/>
      <c r="K31" s="354"/>
      <c r="L31" s="649">
        <v>0</v>
      </c>
      <c r="M31" s="358"/>
    </row>
    <row r="32" spans="1:13" s="282" customFormat="1" ht="16.5">
      <c r="A32" s="349"/>
      <c r="B32" s="388" t="s">
        <v>828</v>
      </c>
      <c r="C32" s="309" t="s">
        <v>1975</v>
      </c>
      <c r="D32" s="350"/>
      <c r="E32" s="350"/>
      <c r="F32" s="351"/>
      <c r="G32" s="393" t="str">
        <f>IF(UNJC0060_H_ATENA_CD="","",UNJC0060_H_ATENA_CD)</f>
        <v/>
      </c>
      <c r="H32" s="349"/>
      <c r="I32" s="349"/>
      <c r="J32" s="349"/>
      <c r="K32" s="349"/>
      <c r="L32" s="650">
        <v>1000000001</v>
      </c>
      <c r="M32" s="351"/>
    </row>
    <row r="33" spans="1:13" s="361" customFormat="1" ht="16.5">
      <c r="A33" s="354"/>
      <c r="B33" s="390"/>
      <c r="C33" s="391" t="s">
        <v>1976</v>
      </c>
      <c r="D33" s="357"/>
      <c r="E33" s="357"/>
      <c r="F33" s="358"/>
      <c r="G33" s="394" t="str">
        <f>IF(UNJC0060_H_ATENA="","",UNJC0060_H_ATENA)</f>
        <v/>
      </c>
      <c r="H33" s="354"/>
      <c r="I33" s="354"/>
      <c r="J33" s="354"/>
      <c r="K33" s="354"/>
      <c r="L33" s="651" t="s">
        <v>1977</v>
      </c>
      <c r="M33" s="358"/>
    </row>
    <row r="34" spans="1:13" s="282" customFormat="1" ht="16.5">
      <c r="A34" s="349"/>
      <c r="B34" s="388" t="s">
        <v>3</v>
      </c>
      <c r="C34" s="309" t="s">
        <v>1978</v>
      </c>
      <c r="D34" s="350"/>
      <c r="E34" s="350"/>
      <c r="F34" s="351"/>
      <c r="G34" s="393" t="str">
        <f>IF(UNJC0060_H_SEIKYUSAKI_CD="","",UNJC0060_H_SEIKYUSAKI_CD)</f>
        <v/>
      </c>
      <c r="H34" s="349"/>
      <c r="I34" s="349"/>
      <c r="J34" s="349"/>
      <c r="K34" s="349"/>
      <c r="L34" s="650" t="s">
        <v>1979</v>
      </c>
      <c r="M34" s="351"/>
    </row>
    <row r="35" spans="1:13" s="361" customFormat="1" ht="16.5">
      <c r="A35" s="354"/>
      <c r="B35" s="390" t="s">
        <v>62</v>
      </c>
      <c r="C35" s="391" t="s">
        <v>1980</v>
      </c>
      <c r="D35" s="357"/>
      <c r="E35" s="357"/>
      <c r="F35" s="358"/>
      <c r="G35" s="394" t="str">
        <f>IF(UNJC0060_H_SIRYO_SHURUI="","",UNJC0060_H_SIRYO_SHURUI)</f>
        <v/>
      </c>
      <c r="H35" s="354"/>
      <c r="I35" s="354"/>
      <c r="J35" s="354"/>
      <c r="K35" s="354"/>
      <c r="L35" s="651" t="s">
        <v>1981</v>
      </c>
      <c r="M35" s="358"/>
    </row>
    <row r="36" spans="1:13" s="282" customFormat="1" ht="16.5">
      <c r="A36" s="349"/>
      <c r="B36" s="400" t="s">
        <v>63</v>
      </c>
      <c r="C36" s="309" t="s">
        <v>1982</v>
      </c>
      <c r="D36" s="350"/>
      <c r="E36" s="350"/>
      <c r="F36" s="351"/>
      <c r="G36" s="393" t="str">
        <f>IF(UNJC0060_H_SIRYO_MEI="","",UNJC0060_H_SIRYO_MEI)</f>
        <v/>
      </c>
      <c r="H36" s="349"/>
      <c r="I36" s="349"/>
      <c r="J36" s="349"/>
      <c r="K36" s="349"/>
      <c r="L36" s="650"/>
      <c r="M36" s="351"/>
    </row>
    <row r="37" spans="1:13" s="361" customFormat="1" ht="16.5">
      <c r="A37" s="354"/>
      <c r="B37" s="399" t="s">
        <v>1983</v>
      </c>
      <c r="C37" s="391" t="s">
        <v>1984</v>
      </c>
      <c r="D37" s="357"/>
      <c r="E37" s="357"/>
      <c r="F37" s="358"/>
      <c r="G37" s="394" t="str">
        <f>IF(UNJC0060_H_FREEWD_1="","",UNJC0060_H_FREEWD_1)</f>
        <v/>
      </c>
      <c r="H37" s="354"/>
      <c r="I37" s="354"/>
      <c r="J37" s="354"/>
      <c r="K37" s="354"/>
      <c r="L37" s="651" t="s">
        <v>1985</v>
      </c>
      <c r="M37" s="358"/>
    </row>
    <row r="38" spans="1:13" s="282" customFormat="1" ht="16.5">
      <c r="A38" s="349"/>
      <c r="B38" s="401"/>
      <c r="C38" s="309" t="s">
        <v>1986</v>
      </c>
      <c r="D38" s="350"/>
      <c r="E38" s="350"/>
      <c r="F38" s="351"/>
      <c r="G38" s="393" t="str">
        <f>IF(UNJC0060_H_FREEWD_2="","",UNJC0060_H_FREEWD_2)</f>
        <v/>
      </c>
      <c r="H38" s="349"/>
      <c r="I38" s="349"/>
      <c r="J38" s="349"/>
      <c r="K38" s="349"/>
      <c r="L38" s="650" t="s">
        <v>1987</v>
      </c>
      <c r="M38" s="351"/>
    </row>
    <row r="39" spans="1:13" s="361" customFormat="1" ht="16.5">
      <c r="A39" s="354"/>
      <c r="B39" s="399"/>
      <c r="C39" s="391" t="s">
        <v>1988</v>
      </c>
      <c r="D39" s="357"/>
      <c r="E39" s="357"/>
      <c r="F39" s="358"/>
      <c r="G39" s="394" t="str">
        <f>IF(UNJC0060_H_FREEWD_3="","",UNJC0060_H_FREEWD_3)</f>
        <v/>
      </c>
      <c r="H39" s="354"/>
      <c r="I39" s="354"/>
      <c r="J39" s="354"/>
      <c r="K39" s="354"/>
      <c r="L39" s="651" t="s">
        <v>1989</v>
      </c>
      <c r="M39" s="358"/>
    </row>
    <row r="40" spans="1:13" s="282" customFormat="1" ht="16.5">
      <c r="A40" s="349"/>
      <c r="B40" s="401" t="s">
        <v>788</v>
      </c>
      <c r="C40" s="85" t="s">
        <v>1990</v>
      </c>
      <c r="D40" s="350"/>
      <c r="E40" s="350"/>
      <c r="F40" s="351">
        <v>1</v>
      </c>
      <c r="G40" s="402">
        <f>IF(UNJC0060_H_FREEWD_KBN="","",UNJC0060_H_FREEWD_KBN)</f>
        <v>1</v>
      </c>
      <c r="H40" s="349"/>
      <c r="I40" s="349"/>
      <c r="J40" s="349"/>
      <c r="K40" s="349"/>
      <c r="L40" s="652">
        <v>1</v>
      </c>
      <c r="M40" s="351">
        <v>1</v>
      </c>
    </row>
    <row r="41" spans="1:13" s="282" customFormat="1" ht="19.5" thickBot="1">
      <c r="A41" s="349"/>
      <c r="B41" s="403"/>
      <c r="C41" s="377"/>
      <c r="D41" s="404"/>
      <c r="E41" s="404"/>
      <c r="F41" s="405"/>
      <c r="G41" s="406"/>
    </row>
    <row r="42" spans="1:13" ht="19.5" thickBot="1">
      <c r="A42" s="407"/>
      <c r="B42" s="408"/>
      <c r="C42" s="409"/>
      <c r="D42" s="410"/>
      <c r="E42" s="410"/>
      <c r="F42" s="411"/>
      <c r="G42" s="412"/>
      <c r="H42" s="412"/>
      <c r="I42" s="412"/>
      <c r="J42" s="412"/>
      <c r="K42" s="412"/>
    </row>
    <row r="43" spans="1:13" ht="168" customHeight="1">
      <c r="A43" s="349"/>
      <c r="B43" s="413" t="s">
        <v>1991</v>
      </c>
      <c r="C43" s="414" t="s">
        <v>1992</v>
      </c>
      <c r="D43" s="1316" t="str">
        <f>E46&amp;E48&amp;E49&amp;E62&amp;E63&amp;E64&amp;E65&amp;E66&amp;E67&amp;E68&amp;E69&amp;E73&amp;E74&amp;E75&amp;E76&amp;E77&amp;E78&amp;E79</f>
        <v>SELECT *
 FROM V_BUN_REPORT_BAT_LIST
 WHERE 1=1
    AND (1!=1 
        )
    AND(
        1=1
     )</v>
      </c>
      <c r="E43" s="1316"/>
      <c r="F43" s="1316"/>
      <c r="G43" s="416" t="s">
        <v>1993</v>
      </c>
      <c r="H43" s="417" t="s">
        <v>1994</v>
      </c>
      <c r="I43" s="1317" t="str">
        <f>J44&amp;J45&amp;UNJC0060_SQL_SORT&amp;J47</f>
        <v>SELECT W_BUN_REPORT_BAT.SELECT_FLG
      ,W_BUN_REPORT_BAT.W_ROW
      ,W_BUN_REPORT_BAT.BUNSEKI_STS_MEI
      ,W_BUN_REPORT_BAT.JUCHU_KBN_MEI
      ,W_BUN_REPORT_BAT.JURI_NO
      ,W_BUN_REPORT_BAT.KEISHIKI_KBN_MEI
      ,W_BUN_REPORT_BAT.EIGYO_TANTO_MEI
      ,W_BUN_REPORT_BAT.NYURYOKUSHA_MEI
      ,W_BUN_REPORT_BAT.KENMEI
      ,W_BUN_REPORT_BAT.IRAI_DATE
      ,W_BUN_REPORT_BAT.CHUKAN_DATE_1
      ,W_BUN_REPORT_BAT.CHUKAN_DATE_2
      ,W_BUN_REPORT_BAT.CHUKAN_DATE_3
      ,W_BUN_REPORT_BAT.KANSEI_DATE
      ,W_BUN_REPORT_BAT.NOHIN_DATE
      ,W_BUN_REPORT_BAT.ATENA_CD
      ,W_BUN_REPORT_BAT.ATENA
      ,W_BUN_REPORT_BAT.SEIKYU_CD
      ,W_BUN_REPORT_BAT.SEIKYU_MEI
      ,W_BUN_REPORT_BAT.MITSU_NO
      ,W_BUN_REPORT_BAT.NYURYOKU_DATETIME
      ,W_BUN_REPORT_BAT.BUNSEKI_STS
      ,W_BUN_REPORT_BAT.JUCHU_KBN
      ,W_BUN_REPORT_BAT.KEISHIKI_KBN
      ,W_BUN_REPORT_BAT.EIGYO_TANTO_CD
      ,W_BUN_REPORT_BAT.NYURYOKUSHA_CD
      ,W_BUN_REPORT_BAT.FREEWD
  FROM W_BUN_REPORT_BAT
WHERE (1 = 1)   AND W_BUN_REPORT_BAT.W_USER_ID = ''
   AND W_BUN_REPORT_BAT.W_SERIAL = ''
  ORDER BY W_BUN_REPORT_BAT.JURI_NO ASC
  OFFSET 0*50 ROWS
 FETCH NEXT 50 ROWS ONLY</v>
      </c>
      <c r="J43" s="1317"/>
      <c r="K43" s="1317"/>
      <c r="L43" s="653" t="str">
        <f>L44&amp;J45&amp;UNJC0060_SQL_SORT&amp;J47</f>
        <v>SELECT W_BUN_REPORT_BAT.W_USER_ID
      ,W_BUN_REPORT_BAT.W_SERIAL
      ,W_BUN_REPORT_BAT.W_ROW
      ,W_BUN_REPORT_BAT.W_MODE
      ,W_BUN_REPORT_BAT.SELECT_FLG
      ,W_BUN_REPORT_BAT.BUNSEKI_STS_MEI
      ,W_BUN_REPORT_BAT.JUCHU_KBN_MEI
      ,W_BUN_REPORT_BAT.JURI_NO
      ,W_BUN_REPORT_BAT.KEISHIKI_KBN_MEI
      ,W_BUN_REPORT_BAT.EIGYO_TANTO_MEI
      ,W_BUN_REPORT_BAT.NYURYOKUSHA_MEI
      ,W_BUN_REPORT_BAT.KENMEI
      ,W_BUN_REPORT_BAT.IRAI_DATE
      ,W_BUN_REPORT_BAT.CHUKAN_DATE_1
      ,W_BUN_REPORT_BAT.CHUKAN_DATE_2
      ,W_BUN_REPORT_BAT.CHUKAN_DATE_3
      ,W_BUN_REPORT_BAT.KANSEI_DATE
      ,W_BUN_REPORT_BAT.NOHIN_DATE
      ,W_BUN_REPORT_BAT.ATENA_CD
      ,W_BUN_REPORT_BAT.ATENA
      ,W_BUN_REPORT_BAT.SEIKYU_CD
      ,W_BUN_REPORT_BAT.SEIKYU_MEI
      ,W_BUN_REPORT_BAT.MITSU_NO
      ,W_BUN_REPORT_BAT.NYURYOKU_DATETIME
      ,W_BUN_REPORT_BAT.BUNSEKI_STS
      ,W_BUN_REPORT_BAT.JUCHU_KBN
      ,W_BUN_REPORT_BAT.KEISHIKI_KBN
      ,W_BUN_REPORT_BAT.EIGYO_TANTO_CD
      ,W_BUN_REPORT_BAT.NYURYOKUSHA_CD
      ,W_BUN_REPORT_BAT.FREEWD
      ,W_BUN_REPORT_BAT.DBS_STATUS
      ,W_BUN_REPORT_BAT.DBS_CREATE_USER
      ,W_BUN_REPORT_BAT.DBS_CREATE_DATE
      ,W_BUN_REPORT_BAT.DBS_UPDATE_USER
      ,W_BUN_REPORT_BAT.DBS_UPDATE_DATE
  FROM W_BUN_REPORT_BAT
WHERE (1 = 1)   AND W_BUN_REPORT_BAT.W_USER_ID = ''
   AND W_BUN_REPORT_BAT.W_SERIAL = ''
  ORDER BY W_BUN_REPORT_BAT.JURI_NO ASC
  OFFSET 0*50 ROWS
 FETCH NEXT 50 ROWS ONLY</v>
      </c>
    </row>
    <row r="44" spans="1:13" ht="116.25" customHeight="1">
      <c r="A44" s="254"/>
      <c r="B44" s="416" t="s">
        <v>1995</v>
      </c>
      <c r="C44" s="417" t="s">
        <v>1996</v>
      </c>
      <c r="D44" s="1317" t="str">
        <f>E47&amp;E48&amp;E49&amp;E62&amp;E63&amp;E64&amp;E65&amp;E66&amp;E67&amp;E68&amp;E69&amp;E73&amp;E74&amp;E75&amp;E76&amp;E77&amp;E78&amp;E79</f>
        <v>SELECT COUNT(*) AS CNT
 FROM V_BUN_REPORT_BAT_LIST
 WHERE 1=1    AND (1!=1 
        )
    AND(
        1=1
     )</v>
      </c>
      <c r="E44" s="1317"/>
      <c r="F44" s="1317"/>
      <c r="G44" s="420" t="s">
        <v>1997</v>
      </c>
      <c r="H44" s="417"/>
      <c r="I44" s="419"/>
      <c r="J44" s="1721" t="s">
        <v>2748</v>
      </c>
      <c r="K44" s="1721"/>
      <c r="L44" s="677" t="s">
        <v>2749</v>
      </c>
    </row>
    <row r="45" spans="1:13" ht="27">
      <c r="A45" s="254"/>
      <c r="B45" s="654" t="s">
        <v>1998</v>
      </c>
      <c r="C45" s="655" t="s">
        <v>1999</v>
      </c>
      <c r="D45" s="1722" t="str">
        <f>E46&amp;E48&amp;E49&amp;E62&amp;E63&amp;E64&amp;E65&amp;E66&amp;E68&amp;E69&amp;E73&amp;E74&amp;E75&amp;E76&amp;E77&amp;E78&amp;E79&amp;J46</f>
        <v>SELECT *
 FROM V_BUN_REPORT_BAT_LIST
 WHERE 1=1
    AND (1!=1 
        )
    AND(
        1=1
     )
  ORDER BY W_BUN_REPORT_BAT.JURI_NO ASC</v>
      </c>
      <c r="E45" s="1722"/>
      <c r="F45" s="1722"/>
      <c r="G45" s="420" t="s">
        <v>2000</v>
      </c>
      <c r="H45" s="417"/>
      <c r="I45" s="419"/>
      <c r="J45" s="1721" t="str">
        <f>"   AND W_BUN_REPORT_BAT.W_USER_ID = '"&amp;UNJC0060_IF_SAVE_W_USER_ID&amp;"'
   AND W_BUN_REPORT_BAT.W_SERIAL = '"&amp;UNJC0060_IF_SAVE_W_SERIAL&amp;"'
"</f>
        <v xml:space="preserve">   AND W_BUN_REPORT_BAT.W_USER_ID = ''
   AND W_BUN_REPORT_BAT.W_SERIAL = ''
</v>
      </c>
      <c r="K45" s="1721"/>
    </row>
    <row r="46" spans="1:13" ht="65.25" customHeight="1">
      <c r="A46" s="254"/>
      <c r="B46" s="416" t="s">
        <v>2001</v>
      </c>
      <c r="C46" s="417"/>
      <c r="D46" s="419"/>
      <c r="E46" s="1318" t="s">
        <v>2002</v>
      </c>
      <c r="F46" s="1318"/>
      <c r="G46" s="455" t="s">
        <v>985</v>
      </c>
      <c r="H46" s="64" t="s">
        <v>2003</v>
      </c>
      <c r="I46" s="419"/>
      <c r="J46" s="1719" t="s">
        <v>2004</v>
      </c>
      <c r="K46" s="1719"/>
    </row>
    <row r="47" spans="1:13" ht="65.25" customHeight="1" thickBot="1">
      <c r="A47" s="254"/>
      <c r="B47" s="420" t="s">
        <v>2005</v>
      </c>
      <c r="C47" s="417"/>
      <c r="D47" s="419"/>
      <c r="E47" s="1318" t="s">
        <v>2006</v>
      </c>
      <c r="F47" s="1318"/>
      <c r="G47" s="457" t="s">
        <v>987</v>
      </c>
      <c r="H47" s="458"/>
      <c r="I47" s="425"/>
      <c r="J47" s="1720" t="str">
        <f xml:space="preserve"> "
  OFFSET "&amp;(UNJC0060_B_PAGE_NO-1)&amp;"*"&amp;UNJC0060_B_CTRL_HYOJI_GYO_SU&amp;" ROWS
 FETCH NEXT "&amp;UNJC0060_B_CTRL_HYOJI_GYO_SU&amp;" ROWS ONLY"</f>
        <v xml:space="preserve">
  OFFSET 0*50 ROWS
 FETCH NEXT 50 ROWS ONLY</v>
      </c>
      <c r="K47" s="1720"/>
    </row>
    <row r="48" spans="1:13" ht="59.25" customHeight="1">
      <c r="A48" s="254"/>
      <c r="B48" s="421" t="s">
        <v>943</v>
      </c>
      <c r="C48" s="417"/>
      <c r="D48" s="422"/>
      <c r="E48" s="1318" t="str">
        <f>IF(UNJC0060_SQL_HOKOKU_KEISHIKI_CD="","","
    AND V_BUN_REPORT_BAT_LIST.KEISHIKI_KBN = ''"&amp;UNJC0060_SQL_HOKOKU_KEISHIKI_CD&amp;"''
")</f>
        <v/>
      </c>
      <c r="F48" s="1318"/>
      <c r="G48" s="656" t="s">
        <v>988</v>
      </c>
      <c r="H48" s="462" t="s">
        <v>2007</v>
      </c>
      <c r="I48" s="1326" t="s">
        <v>2197</v>
      </c>
      <c r="J48" s="1326"/>
      <c r="K48" s="1326"/>
    </row>
    <row r="49" spans="1:11" ht="48.75" customHeight="1">
      <c r="A49" s="418"/>
      <c r="B49" s="421" t="s">
        <v>944</v>
      </c>
      <c r="C49" s="417"/>
      <c r="D49" s="419"/>
      <c r="E49" s="1318" t="str">
        <f>"    AND (1!=1 "&amp;F50&amp;F51&amp;F52&amp;F53&amp;F54&amp;F55&amp;F56&amp;F57&amp;F58&amp;F59&amp;F60&amp;F61 &amp;"
        )
"</f>
        <v xml:space="preserve">    AND (1!=1 
        )
</v>
      </c>
      <c r="F49" s="1318"/>
      <c r="G49" s="657" t="s">
        <v>990</v>
      </c>
      <c r="H49" s="417" t="s">
        <v>2008</v>
      </c>
      <c r="I49" s="1317" t="s">
        <v>2009</v>
      </c>
      <c r="J49" s="1317"/>
      <c r="K49" s="1317"/>
    </row>
    <row r="50" spans="1:11" ht="15.75" customHeight="1">
      <c r="A50" s="418"/>
      <c r="B50" s="423" t="s">
        <v>945</v>
      </c>
      <c r="C50" s="424"/>
      <c r="D50" s="425"/>
      <c r="E50" s="426"/>
      <c r="F50" s="427" t="str">
        <f xml:space="preserve"> IF(UNJC0060_SQL_KAKUTEIMI_STS=FALSE,"","
        OR V_BUN_REPORT_BAT_LIST.BUNSEKI_STS =''1''")</f>
        <v/>
      </c>
      <c r="G50" s="418"/>
      <c r="H50" s="418"/>
      <c r="I50" s="418"/>
      <c r="J50" s="418"/>
      <c r="K50" s="418"/>
    </row>
    <row r="51" spans="1:11">
      <c r="A51" s="418"/>
      <c r="B51" s="423" t="s">
        <v>946</v>
      </c>
      <c r="C51" s="424"/>
      <c r="D51" s="425"/>
      <c r="E51" s="426"/>
      <c r="F51" s="427" t="str">
        <f xml:space="preserve"> IF(UNJC0060_SQL_UKETSUKE_STS=FALSE,"","
        OR V_BUN_REPORT_BAT_LIST.BUNSEKI_STS =''2''")</f>
        <v/>
      </c>
      <c r="G51" s="279" t="s">
        <v>2022</v>
      </c>
      <c r="H51" s="468" t="s">
        <v>2023</v>
      </c>
      <c r="I51" s="1317" t="str">
        <f>"SELECT W_BUN_REPORT_BAT.JURI_NO
  FROM W_BUN_REPORT_BAT
 WHERE W_BUN_REPORT_BAT.SELECT_FLG = 'True'
"&amp;J45</f>
        <v xml:space="preserve">SELECT W_BUN_REPORT_BAT.JURI_NO
  FROM W_BUN_REPORT_BAT
 WHERE W_BUN_REPORT_BAT.SELECT_FLG = 'True'
   AND W_BUN_REPORT_BAT.W_USER_ID = ''
   AND W_BUN_REPORT_BAT.W_SERIAL = ''
</v>
      </c>
      <c r="J51" s="1317"/>
      <c r="K51" s="1317"/>
    </row>
    <row r="52" spans="1:11" ht="15.75" customHeight="1">
      <c r="A52" s="418"/>
      <c r="B52" s="658" t="s">
        <v>948</v>
      </c>
      <c r="C52" s="429"/>
      <c r="D52" s="430"/>
      <c r="E52" s="431"/>
      <c r="F52" s="427" t="str">
        <f xml:space="preserve"> IF(UNJC0060_SQL_GIJUTSU_STS=FALSE,"","
        OR V_BUN_REPORT_BAT_LIST.BUNSEKI_STS =''4''")</f>
        <v/>
      </c>
    </row>
    <row r="53" spans="1:11" ht="15.75" customHeight="1">
      <c r="A53" s="418"/>
      <c r="B53" s="428" t="s">
        <v>947</v>
      </c>
      <c r="C53" s="432"/>
      <c r="D53" s="433"/>
      <c r="E53" s="434"/>
      <c r="F53" s="427" t="str">
        <f xml:space="preserve"> IF(UNJC0060_SQL_CHUKAN_STS=FALSE,"","
        OR V_BUN_REPORT_BAT_LIST.BUNSEKI_STS =''3''")</f>
        <v/>
      </c>
    </row>
    <row r="54" spans="1:11" ht="15.75" customHeight="1">
      <c r="A54" s="418"/>
      <c r="B54" s="428" t="s">
        <v>949</v>
      </c>
      <c r="C54" s="432"/>
      <c r="D54" s="433"/>
      <c r="E54" s="434"/>
      <c r="F54" s="427" t="str">
        <f xml:space="preserve"> IF(UNJC0060_SQL_KAKUNIN2_STS=FALSE,"","
        OR V_BUN_REPORT_BAT_LIST.BUNSEKI_STS =''5''")</f>
        <v/>
      </c>
    </row>
    <row r="55" spans="1:11" ht="15.75" customHeight="1">
      <c r="A55" s="418"/>
      <c r="B55" s="428" t="s">
        <v>950</v>
      </c>
      <c r="C55" s="432"/>
      <c r="D55" s="433"/>
      <c r="E55" s="434"/>
      <c r="F55" s="427" t="str">
        <f xml:space="preserve"> IF(UNJC0060_SQL_SOKUHO_STS=FALSE,"","
        OR V_BUN_REPORT_BAT_LIST.BUNSEKI_STS =''6''")</f>
        <v/>
      </c>
    </row>
    <row r="56" spans="1:11" ht="15.75" customHeight="1">
      <c r="A56" s="418"/>
      <c r="B56" s="435" t="s">
        <v>951</v>
      </c>
      <c r="C56" s="436"/>
      <c r="D56" s="437"/>
      <c r="E56" s="438"/>
      <c r="F56" s="427" t="str">
        <f xml:space="preserve"> IF(UNJC0060_SQL_EIGYO_STS=FALSE,"","
        OR V_BUN_REPORT_BAT_LIST.BUNSEKI_STS =''7''")</f>
        <v/>
      </c>
    </row>
    <row r="57" spans="1:11" ht="15.75" customHeight="1">
      <c r="B57" s="439" t="s">
        <v>952</v>
      </c>
      <c r="D57" s="440"/>
      <c r="E57" s="441"/>
      <c r="F57" s="427" t="str">
        <f xml:space="preserve"> IF(UNJC0060_SQL_NOHIN_STS=FALSE,"","
        OR V_BUN_REPORT_BAT_LIST.BUNSEKI_STS =''8''")</f>
        <v/>
      </c>
    </row>
    <row r="58" spans="1:11" ht="15.75" customHeight="1">
      <c r="B58" s="439" t="s">
        <v>953</v>
      </c>
      <c r="D58" s="440"/>
      <c r="E58" s="441"/>
      <c r="F58" s="427" t="str">
        <f xml:space="preserve"> IF(UNJC0060_SQL_NOHIN_STS=FALSE,"","
        OR V_BUN_REPORT_BAT_LIST.BUNSEKI_STS =''9''")</f>
        <v/>
      </c>
    </row>
    <row r="59" spans="1:11" ht="15.75" customHeight="1">
      <c r="A59" s="278" t="s">
        <v>2010</v>
      </c>
      <c r="B59" s="439" t="s">
        <v>955</v>
      </c>
      <c r="D59" s="440"/>
      <c r="E59" s="441"/>
      <c r="F59" s="427" t="str">
        <f xml:space="preserve"> IF(UNJC0060_SQL_TEISEI_STS=FALSE,"","
        OR V_BUN_REPORT_BAT_LIST.BUNSEKI_STS =''10''")</f>
        <v/>
      </c>
    </row>
    <row r="60" spans="1:11" ht="15.75" customHeight="1">
      <c r="B60" s="439" t="s">
        <v>956</v>
      </c>
      <c r="D60" s="440"/>
      <c r="E60" s="441"/>
      <c r="F60" s="427" t="str">
        <f xml:space="preserve"> IF(UNJC0060_SQL_CHUDAN_STS=FALSE,"","
        OR V_BUN_REPORT_BAT_LIST.BUNSEKI_STS =''11''")</f>
        <v/>
      </c>
    </row>
    <row r="61" spans="1:11" ht="15.75" customHeight="1">
      <c r="B61" s="439" t="s">
        <v>957</v>
      </c>
      <c r="D61" s="440"/>
      <c r="E61" s="441"/>
      <c r="F61" s="427" t="str">
        <f xml:space="preserve"> IF(UNJC0060_SQL_CHUSHI_STS=FALSE,"","
        OR V_BUN_REPORT_BAT_LIST.BUNSEKI_STS =''12''")</f>
        <v/>
      </c>
    </row>
    <row r="62" spans="1:11" ht="15.75" customHeight="1">
      <c r="B62" s="421" t="s">
        <v>958</v>
      </c>
      <c r="C62" s="417"/>
      <c r="D62" s="422"/>
      <c r="E62" s="1319" t="str">
        <f>IF(UNJC0060_SQL_JURI_NO="","","
    AND V_BUN_REPORT_BAT_LIST.JURI_NO = ''" &amp;UNJC0060_SQL_JURI_NO &amp;"''")</f>
        <v/>
      </c>
      <c r="F62" s="1319"/>
    </row>
    <row r="63" spans="1:11" ht="15.75" customHeight="1">
      <c r="B63" s="421" t="s">
        <v>959</v>
      </c>
      <c r="C63" s="417"/>
      <c r="D63" s="422"/>
      <c r="E63" s="1319" t="str">
        <f>IF(UNJC0060_SQL_NYURYOKUSHA_CD = "","","
    AND V_BUN_REPORT_BAT_LIST.NYURYOKUSHA_CD =''"
&amp;UNJC0060_SQL_NYURYOKUSHA_CD&amp;"''")</f>
        <v/>
      </c>
      <c r="F63" s="1319"/>
    </row>
    <row r="64" spans="1:11" ht="17.25" customHeight="1">
      <c r="B64" s="421" t="s">
        <v>960</v>
      </c>
      <c r="C64" s="417"/>
      <c r="D64" s="422"/>
      <c r="E64" s="1319" t="str">
        <f>IF(UNJC0060_SQL_EIGYO_TANTO_CD = "","","
    AND V_BUN_REPORT_BAT_LIST.EIGYO_TANTO_CD =''"
&amp;UNJC0060_SQL_EIGYO_TANTO_CD&amp;"''")</f>
        <v/>
      </c>
      <c r="F64" s="1319"/>
    </row>
    <row r="65" spans="1:11" ht="17.25" customHeight="1">
      <c r="B65" s="421" t="s">
        <v>961</v>
      </c>
      <c r="C65" s="417"/>
      <c r="D65" s="422"/>
      <c r="E65" s="1319" t="str">
        <f>IF(UNJC0060_SQL_MITSUMORI_NO="","",
  " AND V_BUN_REPORT_BAT_LIST.MITSU_NO = ''"&amp;UNJC0060_SQL_MITSUMORI_NO &amp;"'' ")</f>
        <v/>
      </c>
      <c r="F65" s="1319"/>
    </row>
    <row r="66" spans="1:11" ht="17.25" customHeight="1">
      <c r="B66" s="442" t="s">
        <v>962</v>
      </c>
      <c r="C66" s="418"/>
      <c r="D66" s="419"/>
      <c r="E66" s="1315" t="str">
        <f>IF(UNJC0060_SQL_BUNSEKIKUBUN_KBN="","","
    AND V_BUN_REPORT_BAT_LIST.JUCHU_KBN =''"
&amp;UNJC0060_SQL_BUNSEKIKUBUN_KBN &amp;"''")</f>
        <v/>
      </c>
      <c r="F66" s="1315"/>
    </row>
    <row r="67" spans="1:11" ht="17.25" customHeight="1">
      <c r="B67" s="442" t="s">
        <v>2011</v>
      </c>
      <c r="C67" s="418"/>
      <c r="D67" s="419"/>
      <c r="E67" s="1315" t="str">
        <f>IF(UNJC0060_SQL_NYURYOKU_DATE_START="","","
    AND V_BUN_REPORT_BAT_LIST.NYURYOKU_DATETIME &gt;= "&amp;"''"
&amp;UNJC0060_SQL_NYURYOKU_DATE_START&amp;" 00:00:00''  ")
&amp;IF(UNJC0060_SQL_NYURYOKU_DATE_END="","","
    AND V_BUN_REPORT_BAT_LIST.NYURYOKU_DATETIME &lt;= "&amp;"''"
&amp;UNJC0060_SQL_NYURYOKU_DATE_END &amp;" 23:59:59''")</f>
        <v/>
      </c>
      <c r="F67" s="1315"/>
    </row>
    <row r="68" spans="1:11" ht="16.5" customHeight="1">
      <c r="B68" s="442" t="s">
        <v>964</v>
      </c>
      <c r="C68" s="418"/>
      <c r="D68" s="419"/>
      <c r="E68" s="1319" t="str">
        <f>IF(UNJC0060_SQL_IRAI_DATE_START="","","
    AND V_BUN_REPORT_BAT_LIST.IRAI_DATE &gt;= "&amp;"''"
&amp;UNJC0060_SQL_IRAI_DATE_START&amp;"''  ")
&amp;IF(UNJC0060_SQL_IRAI_DATE_END="","","
    AND V_BUN_REPORT_BAT_LIST.IRAI_DATE &lt;= "&amp;"''"
&amp;UNJC0060_SQL_IRAI_DATE_END &amp;"''")</f>
        <v/>
      </c>
      <c r="F68" s="1319"/>
    </row>
    <row r="69" spans="1:11" ht="16.5" customHeight="1">
      <c r="A69" s="254"/>
      <c r="B69" s="442" t="s">
        <v>2012</v>
      </c>
      <c r="C69" s="418"/>
      <c r="D69" s="419"/>
      <c r="E69" s="1319" t="str">
        <f>IF(AND(UNJC0060_SQL_CHUKAN_DATE_START="",UNJC0060_SQL_CHUKAN_DATE_END=""),"","
    AND ( 1!=1
"&amp;F$70
&amp;""&amp;F71
&amp;""&amp;F72
&amp;"    )")</f>
        <v/>
      </c>
      <c r="F69" s="1319"/>
    </row>
    <row r="70" spans="1:11" ht="31.5" customHeight="1">
      <c r="A70" s="254"/>
      <c r="B70" s="442" t="s">
        <v>966</v>
      </c>
      <c r="C70" s="418"/>
      <c r="D70" s="419"/>
      <c r="F70" s="659" t="str">
        <f>"         OR( 1=1
"
&amp;IF(UNJC0060_SQL_CHUKAN_DATE_START="","","               AND V_BUN_REPORT_BAT_LIST.CHUKAN_DATE_1 &gt;= ''"&amp;UNJC0060_SQL_CHUKAN_DATE_START&amp;"''
")
&amp;IF(UNJC0060_SQL_CHUKAN_DATE_END="","","               AND V_BUN_REPORT_BAT_LIST.CHUKAN_DATE_1 &lt;= ''"&amp;UNJC0060_SQL_CHUKAN_DATE_END&amp;"''
"
)&amp;"          )
"</f>
        <v xml:space="preserve">         OR( 1=1
          )
</v>
      </c>
    </row>
    <row r="71" spans="1:11" ht="215.25" customHeight="1">
      <c r="A71" s="254"/>
      <c r="B71" s="442" t="s">
        <v>2013</v>
      </c>
      <c r="C71" s="418"/>
      <c r="D71" s="419"/>
      <c r="F71" s="659" t="str">
        <f>"         OR( 1=1
"
&amp;IF(UNJC0060_SQL_CHUKAN_DATE_START="","","               AND V_BUN_REPORT_BAT_LIST.CHUKAN_DATE_2 &gt;= ''"&amp;UNJC0060_SQL_CHUKAN_DATE_START&amp;"''
")
&amp;IF(UNJC0060_SQL_CHUKAN_DATE_END="","","               AND V_BUN_REPORT_BAT_LIST.CHUKAN_DATE_2 &lt;= ''"&amp;UNJC0060_SQL_CHUKAN_DATE_END&amp;"''
"
)&amp;"          )
"</f>
        <v xml:space="preserve">         OR( 1=1
          )
</v>
      </c>
      <c r="G71" s="443"/>
      <c r="H71" s="418"/>
      <c r="I71" s="418"/>
      <c r="J71" s="418"/>
      <c r="K71" s="418"/>
    </row>
    <row r="72" spans="1:11" ht="68.25" customHeight="1">
      <c r="A72" s="254"/>
      <c r="B72" s="442" t="s">
        <v>2014</v>
      </c>
      <c r="C72" s="418"/>
      <c r="D72" s="419"/>
      <c r="F72" s="659" t="str">
        <f>"         OR( 1=1
"
&amp;IF(UNJC0060_SQL_CHUKAN_DATE_START="","","               AND V_BUN_REPORT_BAT_LIST.CHUKAN_DATE_3 &gt;= ''"&amp;UNJC0060_SQL_CHUKAN_DATE_START&amp;"''
")
&amp;IF(UNJC0060_SQL_CHUKAN_DATE_END="","","               AND V_BUN_REPORT_BAT_LIST.CHUKAN_DATE_3 &lt;= ''"&amp;UNJC0060_SQL_CHUKAN_DATE_END&amp;"''
"
)&amp;"          )
"</f>
        <v xml:space="preserve">         OR( 1=1
          )
</v>
      </c>
      <c r="G72" s="443"/>
      <c r="H72" s="418"/>
      <c r="I72" s="418"/>
      <c r="J72" s="418"/>
      <c r="K72" s="418"/>
    </row>
    <row r="73" spans="1:11" ht="68.25" customHeight="1">
      <c r="B73" s="442" t="s">
        <v>969</v>
      </c>
      <c r="C73" s="418"/>
      <c r="D73" s="419"/>
      <c r="E73" s="1319" t="str">
        <f>IF(UNJC0060_SQL_KANSEI_DATE_START="","","
    AND V_BUN_REPORT_BAT_LIST.KANSEI_DATE &gt;= "&amp;"''"
&amp;UNJC0060_SQL_KANSEI_DATE_START&amp;"''  ")
&amp;IF(UNJC0060_SQL_KANSEI_DATE_END="","","
    AND V_BUN_REPORT_BAT_LIST.KANSEI_DATE &lt;= "&amp;"''"
&amp;UNJC0060_SQL_KANSEI_DATE_END &amp;"''  ")</f>
        <v/>
      </c>
      <c r="F73" s="1319"/>
      <c r="G73" s="443"/>
      <c r="H73" s="418"/>
      <c r="I73" s="418"/>
      <c r="J73" s="418"/>
      <c r="K73" s="418"/>
    </row>
    <row r="74" spans="1:11" ht="68.25" customHeight="1">
      <c r="A74" s="418"/>
      <c r="B74" s="442" t="s">
        <v>970</v>
      </c>
      <c r="C74" s="418"/>
      <c r="D74" s="419"/>
      <c r="E74" s="1319" t="str">
        <f>IF(UNJC0060_SQL_NOHIN_DATE_START="","","
    AND V_BUN_REPORT_BAT_LIST.NOHIN_DATE &gt;= "&amp;"''"
&amp;UNJC0060_SQL_NOHIN_DATE_START&amp;"''  ")
&amp;IF(UNJC0060_SQL_NOHIN_DATE_END="","","
    AND V_BUN_REPORT_BAT_LIST.NOHIN_DATE &lt;= "&amp;"''"
&amp;UNJC0060_SQL_NOHIN_DATE_END &amp;"''  ")</f>
        <v/>
      </c>
      <c r="F74" s="1319"/>
      <c r="G74" s="443"/>
      <c r="H74" s="418"/>
      <c r="I74" s="418"/>
      <c r="J74" s="418"/>
      <c r="K74" s="418"/>
    </row>
    <row r="75" spans="1:11" ht="31.5" customHeight="1">
      <c r="A75" s="418"/>
      <c r="B75" s="442" t="s">
        <v>971</v>
      </c>
      <c r="C75" s="418"/>
      <c r="D75" s="419"/>
      <c r="E75" s="1319" t="str">
        <f>IF(AND(UNJC0060_SQL_ATENA_CD="",UNJC0060_SQL_ATENA_MEI=""),"","
    AND (1!=1
"&amp;IF(UNJC0060_SQL_ATENA_CD="","","         OR  V_BUN_REPORT_BAT_LIST.ATENA_CD = "&amp;"''"&amp;UNJC0060_SQL_ATENA_CD&amp;"''")&amp;"
"&amp;IF(UNJC0060_SQL_ATENA_MEI="","","         OR  V_BUN_REPORT_BAT_LIST.ATENA LIKE "&amp;"''%"&amp;UNJC0060_SQL_ATENA_MEI&amp;"%''")&amp;"
    )")</f>
        <v/>
      </c>
      <c r="F75" s="1319"/>
      <c r="G75" s="418"/>
      <c r="H75" s="418"/>
      <c r="I75" s="418"/>
      <c r="J75" s="418"/>
      <c r="K75" s="418"/>
    </row>
    <row r="76" spans="1:11" ht="31.5" customHeight="1">
      <c r="A76" s="418"/>
      <c r="B76" s="421" t="s">
        <v>972</v>
      </c>
      <c r="C76" s="417"/>
      <c r="D76" s="422"/>
      <c r="E76" s="1319" t="str">
        <f>IF(UNJC0060_SQL_SEIKYUSAKI_CD = "","","
AND V_BUN_REPORT_BAT_LIST.SEIKYU_CD = " &amp;"''"
&amp;UNJC0060_SQL_SEIKYUSAKI_CD &amp;"''")</f>
        <v/>
      </c>
      <c r="F76" s="1319"/>
      <c r="G76" s="418"/>
      <c r="H76" s="418"/>
      <c r="I76" s="418"/>
      <c r="J76" s="418"/>
      <c r="K76" s="418"/>
    </row>
    <row r="77" spans="1:11" ht="60.75" customHeight="1">
      <c r="A77" s="418"/>
      <c r="B77" s="442" t="s">
        <v>973</v>
      </c>
      <c r="C77" s="418"/>
      <c r="D77" s="440"/>
      <c r="E77" s="1319" t="str">
        <f>IF(UNJC0060_SQL_SHIRYO_SHURUI = "","","
 AND V_BUN_REPORT_BAT_LIST.JURI_NO = ANY
     (
       SELECT T_BUN_JUCHU_B.JURI_NO
         FROM T_BUN_JUCHU_B
        WHERE T_BUN_JUCHU_B.SHIRYO_SHURUI LIKE ''%"
&amp;UNJC0060_SQL_SHIRYO_SHURUI &amp;"%''
     )  ")</f>
        <v/>
      </c>
      <c r="F77" s="1319"/>
      <c r="G77" s="418"/>
      <c r="H77" s="418"/>
      <c r="I77" s="418"/>
      <c r="J77" s="418"/>
      <c r="K77" s="418"/>
    </row>
    <row r="78" spans="1:11" ht="17.25" customHeight="1">
      <c r="A78" s="418"/>
      <c r="B78" s="445" t="s">
        <v>975</v>
      </c>
      <c r="C78" s="415"/>
      <c r="D78" s="446"/>
      <c r="E78" s="1321" t="str">
        <f>IF(UNJC0060_SQL_SHIRYO_MEI = "","","
 AND V_BUN_REPORT_BAT_LIST.JURI_NO = ANY
     (
       SELECT T_BUN_JUCHU_B.JURI_NO
         FROM T_BUN_JUCHU_B
        WHERE T_BUN_JUCHU_B.SHIRYO_MEI LIKE ''%"
&amp;UNJC0060_SQL_SHIRYO_MEI &amp;"%''
     )  ")</f>
        <v/>
      </c>
      <c r="F78" s="1321"/>
      <c r="G78" s="418"/>
      <c r="H78" s="418"/>
      <c r="I78" s="418"/>
      <c r="J78" s="418"/>
      <c r="K78" s="418"/>
    </row>
    <row r="79" spans="1:11" ht="88.5" customHeight="1">
      <c r="A79" s="418"/>
      <c r="B79" s="447" t="s">
        <v>976</v>
      </c>
      <c r="C79" s="417"/>
      <c r="D79" s="422"/>
      <c r="E79" s="1322" t="str">
        <f>"
    AND(
        " &amp;IF(AND(UNJC0060_SQL_FREEWD_1="",
                      UNJC0060_SQL_FREEWD_2="",
                      UNJC0060_SQL_FREEWD_3=""), "1=1",
                IF(UNJC0060_SQL_FREEWD_KBN=1,"1=1","1!=1") ) &amp;"
"
                &amp;UNJC0060_SQL_FREEWORD1
                &amp;UNJC0060_SQL_FREEWORD2
                &amp;UNJC0060_SQL_FREEWORD3 &amp;"
     )"</f>
        <v xml:space="preserve">
    AND(
        1=1
     )</v>
      </c>
      <c r="F79" s="1322"/>
      <c r="G79" s="418"/>
      <c r="H79" s="418"/>
      <c r="I79" s="418"/>
      <c r="J79" s="418"/>
      <c r="K79" s="418"/>
    </row>
    <row r="80" spans="1:11" ht="103.5" customHeight="1">
      <c r="A80" s="418"/>
      <c r="B80" s="447" t="s">
        <v>2015</v>
      </c>
      <c r="C80" s="417" t="s">
        <v>2016</v>
      </c>
      <c r="D80" s="422"/>
      <c r="E80" s="450"/>
      <c r="F80" s="451" t="str">
        <f xml:space="preserve">  IF(UNJC0060_SQL_FREEWD_1="", "",
  "      " &amp; $H$81&amp;"   V_BUN_REPORT_BAT_LIST.FREEWD "
 &amp;IF(UNJC0060_SQL_FREEWD_KBN=3," NOT ", "") &amp;" LIKE " &amp;"''%" &amp;UNJC0060_SQL_FREEWD_1 &amp;"%''  
")</f>
        <v/>
      </c>
      <c r="G80" s="418"/>
      <c r="H80" s="418"/>
      <c r="I80" s="418"/>
      <c r="J80" s="418"/>
      <c r="K80" s="418"/>
    </row>
    <row r="81" spans="1:11" ht="153" customHeight="1">
      <c r="A81" s="453"/>
      <c r="B81" s="447" t="s">
        <v>980</v>
      </c>
      <c r="C81" s="417" t="s">
        <v>2017</v>
      </c>
      <c r="D81" s="422"/>
      <c r="E81" s="450"/>
      <c r="F81" s="451" t="str">
        <f xml:space="preserve">  IF(UNJC0060_SQL_FREEWD_2="", "",
  "      " &amp; $H$81&amp;"   V_BUN_REPORT_BAT_LIST.FREEWD "
 &amp;IF(UNJC0060_SQL_FREEWD_KBN=3," NOT ", "") &amp;" LIKE " &amp;"''%" &amp;UNJC0060_SQL_FREEWD_2 &amp;"%''  
")</f>
        <v/>
      </c>
      <c r="G81" s="448" t="s">
        <v>977</v>
      </c>
      <c r="H81" s="449" t="str">
        <f>LOOKUP(UNJC0060_SQL_FREEWD_KBN,{1,2,3;"AND","OR","OR"})</f>
        <v>AND</v>
      </c>
      <c r="I81" s="418"/>
      <c r="J81" s="418"/>
      <c r="K81" s="418"/>
    </row>
    <row r="82" spans="1:11">
      <c r="A82" s="454"/>
      <c r="B82" s="447" t="s">
        <v>2018</v>
      </c>
      <c r="C82" s="417" t="s">
        <v>2019</v>
      </c>
      <c r="D82" s="422"/>
      <c r="E82" s="450"/>
      <c r="F82" s="451" t="str">
        <f xml:space="preserve">  IF(UNJC0060_SQL_FREEWD_3="", "",
  "      " &amp; $H$81&amp;"   V_BUN_REPORT_BAT_LIST.FREEWD "
 &amp;IF(UNJC0060_SQL_FREEWD_KBN=3," NOT ", "") &amp;" LIKE " &amp;"''%" &amp;UNJC0060_SQL_FREEWD_3 &amp;"%''  
")</f>
        <v/>
      </c>
      <c r="G82" s="448"/>
      <c r="H82" s="660"/>
      <c r="I82" s="418"/>
      <c r="J82" s="418"/>
      <c r="K82" s="418"/>
    </row>
    <row r="83" spans="1:11">
      <c r="A83" s="454"/>
      <c r="G83" s="418"/>
      <c r="H83" s="418"/>
      <c r="I83" s="418"/>
      <c r="J83" s="418"/>
      <c r="K83" s="418"/>
    </row>
    <row r="84" spans="1:11" ht="14.25" thickBot="1">
      <c r="A84" s="456"/>
      <c r="G84" s="459"/>
      <c r="H84" s="418"/>
      <c r="I84" s="418"/>
      <c r="J84" s="418"/>
      <c r="K84" s="418"/>
    </row>
    <row r="85" spans="1:11" s="460" customFormat="1" ht="78" customHeight="1">
      <c r="A85" s="661" t="s">
        <v>2020</v>
      </c>
      <c r="B85" s="662"/>
      <c r="C85" s="663"/>
      <c r="D85" s="664"/>
      <c r="E85" s="664"/>
      <c r="F85" s="664"/>
    </row>
    <row r="86" spans="1:11" s="418" customFormat="1" ht="78" customHeight="1">
      <c r="A86" s="278"/>
      <c r="B86" s="465" t="s">
        <v>994</v>
      </c>
      <c r="C86" s="468" t="s">
        <v>2021</v>
      </c>
      <c r="D86" s="1324" t="s">
        <v>2193</v>
      </c>
      <c r="E86" s="1325"/>
      <c r="F86" s="1325"/>
    </row>
    <row r="87" spans="1:11" ht="21" customHeight="1">
      <c r="B87" s="465"/>
      <c r="C87" s="468"/>
      <c r="D87" s="1717"/>
      <c r="E87" s="1718"/>
      <c r="F87" s="1718"/>
      <c r="G87" s="282"/>
    </row>
    <row r="88" spans="1:11" ht="47.25" customHeight="1"/>
  </sheetData>
  <mergeCells count="32">
    <mergeCell ref="D43:F43"/>
    <mergeCell ref="I43:K43"/>
    <mergeCell ref="D44:F44"/>
    <mergeCell ref="J44:K44"/>
    <mergeCell ref="D45:F45"/>
    <mergeCell ref="J45:K45"/>
    <mergeCell ref="E46:F46"/>
    <mergeCell ref="J46:K46"/>
    <mergeCell ref="E47:F47"/>
    <mergeCell ref="J47:K47"/>
    <mergeCell ref="E48:F48"/>
    <mergeCell ref="I48:K48"/>
    <mergeCell ref="E74:F74"/>
    <mergeCell ref="E49:F49"/>
    <mergeCell ref="I49:K49"/>
    <mergeCell ref="E62:F62"/>
    <mergeCell ref="E63:F63"/>
    <mergeCell ref="E64:F64"/>
    <mergeCell ref="E65:F65"/>
    <mergeCell ref="E66:F66"/>
    <mergeCell ref="E67:F67"/>
    <mergeCell ref="E68:F68"/>
    <mergeCell ref="E69:F69"/>
    <mergeCell ref="E73:F73"/>
    <mergeCell ref="I51:K51"/>
    <mergeCell ref="D87:F87"/>
    <mergeCell ref="E75:F75"/>
    <mergeCell ref="E76:F76"/>
    <mergeCell ref="E77:F77"/>
    <mergeCell ref="E78:F78"/>
    <mergeCell ref="E79:F79"/>
    <mergeCell ref="D86:F86"/>
  </mergeCells>
  <phoneticPr fontId="2"/>
  <conditionalFormatting sqref="B86:B87">
    <cfRule type="duplicateValues" dxfId="143"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FFC000"/>
  </sheetPr>
  <dimension ref="A1:AG26"/>
  <sheetViews>
    <sheetView showGridLines="0" showRowColHeaders="0" topLeftCell="F1" zoomScaleNormal="100" workbookViewId="0">
      <selection activeCell="J3" sqref="J3:M3"/>
    </sheetView>
  </sheetViews>
  <sheetFormatPr defaultRowHeight="16.5"/>
  <cols>
    <col min="1" max="1" width="2.125" style="231" hidden="1" customWidth="1"/>
    <col min="2" max="2" width="21.375" style="231" hidden="1" customWidth="1"/>
    <col min="3" max="4" width="16.875" style="231" hidden="1" customWidth="1"/>
    <col min="5" max="5" width="9" style="231" hidden="1" customWidth="1"/>
    <col min="6" max="28" width="3.25" style="207" customWidth="1"/>
    <col min="29" max="52" width="3.375" style="207" customWidth="1"/>
    <col min="53" max="16384" width="9" style="207"/>
  </cols>
  <sheetData>
    <row r="1" spans="1:33" s="73" customFormat="1" ht="19.5">
      <c r="A1" s="469"/>
      <c r="B1" s="469"/>
      <c r="C1" s="469"/>
      <c r="D1" s="469"/>
      <c r="E1" s="469"/>
      <c r="F1" s="73" t="s">
        <v>2024</v>
      </c>
    </row>
    <row r="2" spans="1:33">
      <c r="A2" s="296" t="s">
        <v>746</v>
      </c>
      <c r="C2" s="21"/>
      <c r="D2" s="297" t="s">
        <v>2025</v>
      </c>
    </row>
    <row r="3" spans="1:33">
      <c r="B3" s="299" t="s">
        <v>2026</v>
      </c>
      <c r="C3" s="300" t="s">
        <v>2027</v>
      </c>
      <c r="D3" s="301" t="b">
        <v>1</v>
      </c>
      <c r="I3" s="208" t="s">
        <v>750</v>
      </c>
      <c r="J3" s="1708"/>
      <c r="K3" s="1709"/>
      <c r="L3" s="1709"/>
      <c r="M3" s="1710"/>
    </row>
    <row r="4" spans="1:33">
      <c r="B4" s="299" t="s">
        <v>751</v>
      </c>
      <c r="C4" s="300" t="s">
        <v>2028</v>
      </c>
      <c r="D4" s="301" t="b">
        <v>1</v>
      </c>
      <c r="I4" s="208" t="s">
        <v>2029</v>
      </c>
      <c r="J4" s="667"/>
      <c r="K4" s="1730" t="s">
        <v>2772</v>
      </c>
      <c r="L4" s="1730"/>
      <c r="M4" s="1730"/>
      <c r="N4" s="668"/>
      <c r="O4" s="1730" t="s">
        <v>754</v>
      </c>
      <c r="P4" s="1730"/>
      <c r="Q4" s="1730"/>
      <c r="R4" s="668"/>
      <c r="S4" s="1730" t="s">
        <v>1843</v>
      </c>
      <c r="T4" s="1730"/>
      <c r="U4" s="1730"/>
      <c r="V4" s="668"/>
      <c r="W4" s="1730" t="s">
        <v>2770</v>
      </c>
      <c r="X4" s="1730"/>
      <c r="Y4" s="1730"/>
      <c r="Z4" s="668"/>
      <c r="AA4" s="1730" t="s">
        <v>756</v>
      </c>
      <c r="AB4" s="1730"/>
      <c r="AC4" s="1730"/>
      <c r="AD4" s="668"/>
      <c r="AE4" s="1730" t="s">
        <v>2030</v>
      </c>
      <c r="AF4" s="1730"/>
      <c r="AG4" s="1731"/>
    </row>
    <row r="5" spans="1:33">
      <c r="B5" s="299" t="s">
        <v>2031</v>
      </c>
      <c r="C5" s="300" t="s">
        <v>2032</v>
      </c>
      <c r="D5" s="301" t="b">
        <v>1</v>
      </c>
      <c r="J5" s="669"/>
      <c r="K5" s="1732" t="s">
        <v>760</v>
      </c>
      <c r="L5" s="1732"/>
      <c r="M5" s="1732"/>
      <c r="N5" s="670"/>
      <c r="O5" s="1732" t="s">
        <v>761</v>
      </c>
      <c r="P5" s="1732"/>
      <c r="Q5" s="1732"/>
      <c r="R5" s="670"/>
      <c r="S5" s="1732" t="s">
        <v>763</v>
      </c>
      <c r="T5" s="1732"/>
      <c r="U5" s="1732"/>
      <c r="V5" s="670"/>
      <c r="W5" s="1732" t="s">
        <v>764</v>
      </c>
      <c r="X5" s="1732"/>
      <c r="Y5" s="1732"/>
      <c r="Z5" s="670"/>
      <c r="AA5" s="1732" t="s">
        <v>765</v>
      </c>
      <c r="AB5" s="1732"/>
      <c r="AC5" s="1732"/>
      <c r="AD5" s="671"/>
      <c r="AE5" s="1732"/>
      <c r="AF5" s="1732"/>
      <c r="AG5" s="1733"/>
    </row>
    <row r="6" spans="1:33">
      <c r="B6" s="299" t="s">
        <v>2033</v>
      </c>
      <c r="C6" s="300" t="s">
        <v>2034</v>
      </c>
      <c r="D6" s="301" t="b">
        <v>1</v>
      </c>
    </row>
    <row r="7" spans="1:33">
      <c r="B7" s="299" t="s">
        <v>768</v>
      </c>
      <c r="C7" s="300" t="s">
        <v>2035</v>
      </c>
      <c r="D7" s="301" t="b">
        <v>1</v>
      </c>
      <c r="I7" s="208" t="s">
        <v>82</v>
      </c>
      <c r="J7" s="1698"/>
      <c r="K7" s="1699"/>
      <c r="L7" s="1699"/>
      <c r="M7" s="1700"/>
      <c r="T7" s="208" t="s">
        <v>4429</v>
      </c>
      <c r="U7" s="1734">
        <f ca="1">TODAY()</f>
        <v>43005</v>
      </c>
      <c r="V7" s="1712"/>
      <c r="W7" s="1712"/>
      <c r="X7" s="1713"/>
      <c r="Y7" s="666" t="s">
        <v>2036</v>
      </c>
      <c r="Z7" s="1734">
        <f ca="1">TODAY()</f>
        <v>43005</v>
      </c>
      <c r="AA7" s="1712"/>
      <c r="AB7" s="1712"/>
      <c r="AC7" s="1713"/>
    </row>
    <row r="8" spans="1:33">
      <c r="B8" s="299" t="s">
        <v>770</v>
      </c>
      <c r="C8" s="300" t="s">
        <v>2037</v>
      </c>
      <c r="D8" s="301" t="b">
        <v>1</v>
      </c>
      <c r="I8" s="208" t="s">
        <v>2038</v>
      </c>
      <c r="J8" s="32"/>
      <c r="T8" s="208" t="s">
        <v>4430</v>
      </c>
      <c r="U8" s="1711"/>
      <c r="V8" s="1712"/>
      <c r="W8" s="1712"/>
      <c r="X8" s="1713"/>
      <c r="Y8" s="666" t="s">
        <v>2039</v>
      </c>
      <c r="Z8" s="1711"/>
      <c r="AA8" s="1712"/>
      <c r="AB8" s="1712"/>
      <c r="AC8" s="1713"/>
    </row>
    <row r="9" spans="1:33">
      <c r="B9" s="299" t="s">
        <v>772</v>
      </c>
      <c r="C9" s="300" t="s">
        <v>2040</v>
      </c>
      <c r="D9" s="301" t="b">
        <v>1</v>
      </c>
      <c r="I9" s="208" t="s">
        <v>85</v>
      </c>
      <c r="J9" s="1689"/>
      <c r="K9" s="1690"/>
      <c r="L9" s="1690"/>
      <c r="M9" s="1691"/>
      <c r="T9" s="208" t="s">
        <v>4432</v>
      </c>
      <c r="U9" s="1711"/>
      <c r="V9" s="1712"/>
      <c r="W9" s="1712"/>
      <c r="X9" s="1713"/>
      <c r="Y9" s="666" t="s">
        <v>2039</v>
      </c>
      <c r="Z9" s="1711"/>
      <c r="AA9" s="1712"/>
      <c r="AB9" s="1712"/>
      <c r="AC9" s="1713"/>
    </row>
    <row r="10" spans="1:33">
      <c r="B10" s="299" t="s">
        <v>776</v>
      </c>
      <c r="C10" s="300" t="s">
        <v>2041</v>
      </c>
      <c r="D10" s="301" t="b">
        <v>1</v>
      </c>
      <c r="I10" s="208" t="s">
        <v>2042</v>
      </c>
      <c r="J10" s="1689"/>
      <c r="K10" s="1690"/>
      <c r="L10" s="1690"/>
      <c r="M10" s="1691"/>
      <c r="T10" s="208" t="s">
        <v>4433</v>
      </c>
      <c r="U10" s="1711"/>
      <c r="V10" s="1712"/>
      <c r="W10" s="1712"/>
      <c r="X10" s="1713"/>
      <c r="Y10" s="666" t="s">
        <v>2039</v>
      </c>
      <c r="Z10" s="1711"/>
      <c r="AA10" s="1712"/>
      <c r="AB10" s="1712"/>
      <c r="AC10" s="1713"/>
    </row>
    <row r="11" spans="1:33">
      <c r="B11" s="299" t="s">
        <v>781</v>
      </c>
      <c r="C11" s="300" t="s">
        <v>2043</v>
      </c>
      <c r="D11" s="301" t="b">
        <v>1</v>
      </c>
      <c r="I11" s="7" t="s">
        <v>83</v>
      </c>
      <c r="J11" s="1692"/>
      <c r="K11" s="1405"/>
      <c r="L11" s="1405"/>
      <c r="M11" s="1406"/>
      <c r="T11" s="208" t="s">
        <v>4434</v>
      </c>
      <c r="U11" s="1711"/>
      <c r="V11" s="1712"/>
      <c r="W11" s="1712"/>
      <c r="X11" s="1713"/>
      <c r="Y11" s="666" t="s">
        <v>2044</v>
      </c>
      <c r="Z11" s="1711"/>
      <c r="AA11" s="1712"/>
      <c r="AB11" s="1712"/>
      <c r="AC11" s="1713"/>
    </row>
    <row r="12" spans="1:33">
      <c r="B12" s="299" t="s">
        <v>783</v>
      </c>
      <c r="C12" s="300" t="s">
        <v>2045</v>
      </c>
      <c r="D12" s="301" t="b">
        <v>0</v>
      </c>
      <c r="I12" s="7" t="s">
        <v>1006</v>
      </c>
      <c r="J12" s="1338"/>
      <c r="K12" s="1339"/>
      <c r="L12" s="1339"/>
      <c r="M12" s="1340"/>
    </row>
    <row r="13" spans="1:33">
      <c r="A13" s="278"/>
      <c r="B13" s="299" t="s">
        <v>785</v>
      </c>
      <c r="C13" s="300" t="s">
        <v>2046</v>
      </c>
      <c r="D13" s="301" t="b">
        <v>0</v>
      </c>
    </row>
    <row r="14" spans="1:33">
      <c r="B14" s="85" t="s">
        <v>788</v>
      </c>
      <c r="C14" s="85" t="s">
        <v>2047</v>
      </c>
      <c r="D14" s="301">
        <v>1</v>
      </c>
      <c r="I14" s="208" t="s">
        <v>787</v>
      </c>
      <c r="J14" s="1723"/>
      <c r="K14" s="1724"/>
      <c r="L14" s="1724"/>
      <c r="M14" s="1725"/>
      <c r="N14" s="1363"/>
      <c r="O14" s="1365"/>
      <c r="P14" s="1365"/>
      <c r="Q14" s="1365"/>
      <c r="R14" s="1365"/>
      <c r="S14" s="1365"/>
      <c r="T14" s="1365"/>
      <c r="U14" s="1365"/>
      <c r="V14" s="1365"/>
      <c r="W14" s="1365"/>
      <c r="X14" s="1365"/>
      <c r="Y14" s="1365"/>
      <c r="Z14" s="1365"/>
      <c r="AA14" s="1365"/>
      <c r="AB14" s="1365"/>
      <c r="AC14" s="1364"/>
    </row>
    <row r="15" spans="1:33">
      <c r="B15" s="82"/>
      <c r="C15" s="85"/>
      <c r="D15" s="82"/>
      <c r="I15" s="208" t="s">
        <v>68</v>
      </c>
      <c r="J15" s="1723"/>
      <c r="K15" s="1724"/>
      <c r="L15" s="1724"/>
      <c r="M15" s="1725"/>
      <c r="N15" s="1341" t="str">
        <f>IF(OR(UNJC0070_H_SEIKYUSAKI_CD="",UNJC0070_H_SEIKYUSAKI_MEI=""),"",UNJC0070_H_SEIKYUSAKI_MEI)</f>
        <v/>
      </c>
      <c r="O15" s="1342"/>
      <c r="P15" s="1342"/>
      <c r="Q15" s="1342"/>
      <c r="R15" s="1342"/>
      <c r="S15" s="1342"/>
      <c r="T15" s="1342"/>
      <c r="U15" s="1342"/>
      <c r="V15" s="1342"/>
      <c r="W15" s="1342"/>
      <c r="X15" s="1342"/>
      <c r="Y15" s="1342"/>
      <c r="Z15" s="1342"/>
      <c r="AA15" s="1342"/>
      <c r="AB15" s="1342"/>
      <c r="AC15" s="1343"/>
    </row>
    <row r="16" spans="1:33">
      <c r="B16" s="82"/>
      <c r="C16" s="82"/>
      <c r="D16" s="82"/>
    </row>
    <row r="17" spans="1:29">
      <c r="A17" s="282"/>
      <c r="B17" s="308" t="s">
        <v>4</v>
      </c>
      <c r="C17" s="309" t="s">
        <v>2048</v>
      </c>
      <c r="D17" s="310"/>
      <c r="I17" s="208" t="s">
        <v>792</v>
      </c>
      <c r="J17" s="1680"/>
      <c r="K17" s="1726"/>
      <c r="L17" s="1726"/>
      <c r="M17" s="1726"/>
      <c r="N17" s="1726"/>
      <c r="O17" s="1726"/>
      <c r="P17" s="1726"/>
      <c r="Q17" s="1727"/>
      <c r="U17" s="208" t="s">
        <v>793</v>
      </c>
      <c r="V17" s="1683"/>
      <c r="W17" s="1728"/>
      <c r="X17" s="1728"/>
      <c r="Y17" s="1728"/>
      <c r="Z17" s="1728"/>
      <c r="AA17" s="1728"/>
      <c r="AB17" s="1728"/>
      <c r="AC17" s="1729"/>
    </row>
    <row r="18" spans="1:29">
      <c r="A18" s="82"/>
      <c r="B18" s="311" t="s">
        <v>98</v>
      </c>
      <c r="C18" s="312" t="s">
        <v>2049</v>
      </c>
      <c r="D18" s="313">
        <v>2</v>
      </c>
    </row>
    <row r="19" spans="1:29">
      <c r="A19" s="82"/>
      <c r="B19" s="315" t="s">
        <v>97</v>
      </c>
      <c r="C19" s="312" t="s">
        <v>2050</v>
      </c>
      <c r="D19" s="313">
        <v>1</v>
      </c>
      <c r="E19" s="591"/>
      <c r="I19" s="208" t="s">
        <v>2051</v>
      </c>
      <c r="J19" s="1344"/>
      <c r="K19" s="1345"/>
      <c r="L19" s="1345"/>
      <c r="M19" s="1346"/>
      <c r="N19" s="77" t="str">
        <f>IF(UNJC0070_H_FREEWD_KBN=1,"AND",IF(UNJC0070_H_FREEWD_KBN=2,"OR","NAND"))</f>
        <v>AND</v>
      </c>
      <c r="O19" s="1344"/>
      <c r="P19" s="1345"/>
      <c r="Q19" s="1345"/>
      <c r="R19" s="1346"/>
      <c r="S19" s="77" t="str">
        <f>IF(UNJC0070_H_FREEWD_KBN=1,"AND",IF(UNJC0070_H_FREEWD_KBN=2,"OR","NAND"))</f>
        <v>AND</v>
      </c>
      <c r="T19" s="1344"/>
      <c r="U19" s="1345"/>
      <c r="V19" s="1345"/>
      <c r="W19" s="1346"/>
    </row>
    <row r="20" spans="1:29">
      <c r="A20" s="82"/>
      <c r="B20" s="315" t="s">
        <v>1863</v>
      </c>
      <c r="C20" s="312" t="s">
        <v>2052</v>
      </c>
      <c r="D20" s="313"/>
    </row>
    <row r="21" spans="1:29">
      <c r="A21" s="82"/>
      <c r="B21" s="231" t="s">
        <v>801</v>
      </c>
      <c r="C21" s="309" t="s">
        <v>2053</v>
      </c>
      <c r="D21" s="313" t="str">
        <f ca="1">IF(UNJC0070_H_BUNSEKIKUBUN="","",VLOOKUP(UNJC0070_H_BUNSEKIKUBUN,OFFSET(UNJC0070_IF_LIST_BUNSEKI_KBN_TENKAIICHI,,,IF(UNJC0070_IF_LIST_BUNSEKI_KBN_HOHO_KENSU=0,1,UNJC0070_IF_LIST_BUNSEKI_KBN_HOHO_KENSU),2),2,0))</f>
        <v/>
      </c>
    </row>
    <row r="22" spans="1:29">
      <c r="A22" s="282"/>
      <c r="B22" s="316"/>
      <c r="C22" s="309"/>
      <c r="D22" s="317" t="s">
        <v>807</v>
      </c>
    </row>
    <row r="23" spans="1:29">
      <c r="A23" s="282"/>
      <c r="B23" s="187" t="s">
        <v>276</v>
      </c>
      <c r="C23" s="252" t="s">
        <v>3794</v>
      </c>
      <c r="D23" s="318"/>
    </row>
    <row r="24" spans="1:29">
      <c r="A24" s="278"/>
      <c r="B24" s="187" t="s">
        <v>277</v>
      </c>
      <c r="C24" s="252" t="s">
        <v>2054</v>
      </c>
      <c r="D24" s="318" t="str">
        <f>ADDRESS(ROW(A1),COLUMN(A1))&amp;":"&amp;ADDRESS(ROW(UNJC0070_H_FORM_UPPER_LEFT),COLUMN(UNJC0070_H_FORM_UPPER_LEFT)-1)</f>
        <v>$A$1:$E$1</v>
      </c>
    </row>
    <row r="25" spans="1:29">
      <c r="A25" s="278"/>
    </row>
    <row r="26" spans="1:29">
      <c r="A26" s="296" t="s">
        <v>809</v>
      </c>
    </row>
  </sheetData>
  <sheetProtection sheet="1" objects="1" scenarios="1" selectLockedCells="1"/>
  <mergeCells count="37">
    <mergeCell ref="J3:M3"/>
    <mergeCell ref="K4:M4"/>
    <mergeCell ref="O4:Q4"/>
    <mergeCell ref="S4:U4"/>
    <mergeCell ref="W4:Y4"/>
    <mergeCell ref="J9:M9"/>
    <mergeCell ref="U9:X9"/>
    <mergeCell ref="Z9:AC9"/>
    <mergeCell ref="AE4:AG4"/>
    <mergeCell ref="K5:M5"/>
    <mergeCell ref="O5:Q5"/>
    <mergeCell ref="S5:U5"/>
    <mergeCell ref="W5:Y5"/>
    <mergeCell ref="AA5:AC5"/>
    <mergeCell ref="AE5:AG5"/>
    <mergeCell ref="AA4:AC4"/>
    <mergeCell ref="J7:M7"/>
    <mergeCell ref="U7:X7"/>
    <mergeCell ref="Z7:AC7"/>
    <mergeCell ref="U8:X8"/>
    <mergeCell ref="Z8:AC8"/>
    <mergeCell ref="J10:M10"/>
    <mergeCell ref="U10:X10"/>
    <mergeCell ref="Z10:AC10"/>
    <mergeCell ref="J11:M11"/>
    <mergeCell ref="U11:X11"/>
    <mergeCell ref="Z11:AC11"/>
    <mergeCell ref="J19:M19"/>
    <mergeCell ref="O19:R19"/>
    <mergeCell ref="T19:W19"/>
    <mergeCell ref="J12:M12"/>
    <mergeCell ref="J14:M14"/>
    <mergeCell ref="N14:AC14"/>
    <mergeCell ref="J15:M15"/>
    <mergeCell ref="N15:AC15"/>
    <mergeCell ref="J17:Q17"/>
    <mergeCell ref="V17:AC17"/>
  </mergeCells>
  <phoneticPr fontId="2"/>
  <dataValidations count="9">
    <dataValidation type="whole" allowBlank="1" showInputMessage="1" showErrorMessage="1" sqref="J8">
      <formula1>1</formula1>
      <formula2>99</formula2>
    </dataValidation>
    <dataValidation type="custom" allowBlank="1" showInputMessage="1" showErrorMessage="1" sqref="N14:AC14">
      <formula1>LEN(N14)&lt;=25</formula1>
    </dataValidation>
    <dataValidation type="custom" allowBlank="1" showInputMessage="1" showErrorMessage="1" sqref="J14:M14">
      <formula1>AND(LEN(J14)=LENB(J14),LEN(J14)&lt;=10)</formula1>
    </dataValidation>
    <dataValidation type="custom" allowBlank="1" showInputMessage="1" showErrorMessage="1" sqref="J11:M11">
      <formula1>AND(LEN(UNJC0070_H_MITSUMORI_NO)=LENB(UNJC0070_H_MITSUMORI_NO),LEN(UNJC0070_H_MITSUMORI_NO)=10)</formula1>
    </dataValidation>
    <dataValidation type="custom" allowBlank="1" showInputMessage="1" showErrorMessage="1" sqref="J9:M10 V17:AC17 J3:M3">
      <formula1>LEN(J3)&lt;=20</formula1>
    </dataValidation>
    <dataValidation type="custom" allowBlank="1" showInputMessage="1" showErrorMessage="1" sqref="J7:M7">
      <formula1>AND(LEN(UNJC0070_H_JURI_NO)=LENB(UNJC0070_H_JURI_NO),LEN(UNJC0070_H_JURI_NO)=10)</formula1>
    </dataValidation>
    <dataValidation type="list" allowBlank="1" showInputMessage="1" showErrorMessage="1" sqref="J12:M12">
      <formula1>UNJC0070_IF_LIST_BUNSEKI_KBN_HOHO</formula1>
    </dataValidation>
    <dataValidation type="textLength" operator="lessThanOrEqual" allowBlank="1" showInputMessage="1" showErrorMessage="1" sqref="J17:Q17">
      <formula1>20</formula1>
    </dataValidation>
    <dataValidation type="date" allowBlank="1" showInputMessage="1" showErrorMessage="1" sqref="U7:X7 U8:X8 U9:X9 U10:X10 U11:X11 Z11:AC11 Z10:AC10 Z9:AC9 Z8:AC8 Z7:AC7">
      <formula1>36526</formula1>
      <formula2>73415</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3185" r:id="rId3" name="チェック 1">
              <controlPr defaultSize="0" autoFill="0" autoLine="0" autoPict="0">
                <anchor moveWithCells="1">
                  <from>
                    <xdr:col>9</xdr:col>
                    <xdr:colOff>57150</xdr:colOff>
                    <xdr:row>3</xdr:row>
                    <xdr:rowOff>9525</xdr:rowOff>
                  </from>
                  <to>
                    <xdr:col>11</xdr:col>
                    <xdr:colOff>219075</xdr:colOff>
                    <xdr:row>3</xdr:row>
                    <xdr:rowOff>171450</xdr:rowOff>
                  </to>
                </anchor>
              </controlPr>
            </control>
          </mc:Choice>
        </mc:AlternateContent>
        <mc:AlternateContent xmlns:mc="http://schemas.openxmlformats.org/markup-compatibility/2006">
          <mc:Choice Requires="x14">
            <control shapeId="2013186" r:id="rId4" name="Check Box 2">
              <controlPr defaultSize="0" autoFill="0" autoLine="0" autoPict="0">
                <anchor moveWithCells="1">
                  <from>
                    <xdr:col>13</xdr:col>
                    <xdr:colOff>57150</xdr:colOff>
                    <xdr:row>2</xdr:row>
                    <xdr:rowOff>171450</xdr:rowOff>
                  </from>
                  <to>
                    <xdr:col>16</xdr:col>
                    <xdr:colOff>161925</xdr:colOff>
                    <xdr:row>4</xdr:row>
                    <xdr:rowOff>0</xdr:rowOff>
                  </to>
                </anchor>
              </controlPr>
            </control>
          </mc:Choice>
        </mc:AlternateContent>
        <mc:AlternateContent xmlns:mc="http://schemas.openxmlformats.org/markup-compatibility/2006">
          <mc:Choice Requires="x14">
            <control shapeId="2013187" r:id="rId5" name="Check Box 3">
              <controlPr defaultSize="0" autoFill="0" autoLine="0" autoPict="0">
                <anchor moveWithCells="1">
                  <from>
                    <xdr:col>17</xdr:col>
                    <xdr:colOff>28575</xdr:colOff>
                    <xdr:row>2</xdr:row>
                    <xdr:rowOff>200025</xdr:rowOff>
                  </from>
                  <to>
                    <xdr:col>20</xdr:col>
                    <xdr:colOff>200025</xdr:colOff>
                    <xdr:row>3</xdr:row>
                    <xdr:rowOff>190500</xdr:rowOff>
                  </to>
                </anchor>
              </controlPr>
            </control>
          </mc:Choice>
        </mc:AlternateContent>
        <mc:AlternateContent xmlns:mc="http://schemas.openxmlformats.org/markup-compatibility/2006">
          <mc:Choice Requires="x14">
            <control shapeId="2013188" r:id="rId6" name="Check Box 4">
              <controlPr defaultSize="0" autoFill="0" autoLine="0" autoPict="0">
                <anchor moveWithCells="1">
                  <from>
                    <xdr:col>21</xdr:col>
                    <xdr:colOff>47625</xdr:colOff>
                    <xdr:row>2</xdr:row>
                    <xdr:rowOff>200025</xdr:rowOff>
                  </from>
                  <to>
                    <xdr:col>24</xdr:col>
                    <xdr:colOff>238125</xdr:colOff>
                    <xdr:row>3</xdr:row>
                    <xdr:rowOff>180975</xdr:rowOff>
                  </to>
                </anchor>
              </controlPr>
            </control>
          </mc:Choice>
        </mc:AlternateContent>
        <mc:AlternateContent xmlns:mc="http://schemas.openxmlformats.org/markup-compatibility/2006">
          <mc:Choice Requires="x14">
            <control shapeId="2013189" r:id="rId7" name="Check Box 5">
              <controlPr defaultSize="0" autoFill="0" autoLine="0" autoPict="0">
                <anchor moveWithCells="1">
                  <from>
                    <xdr:col>25</xdr:col>
                    <xdr:colOff>57150</xdr:colOff>
                    <xdr:row>3</xdr:row>
                    <xdr:rowOff>9525</xdr:rowOff>
                  </from>
                  <to>
                    <xdr:col>27</xdr:col>
                    <xdr:colOff>123825</xdr:colOff>
                    <xdr:row>3</xdr:row>
                    <xdr:rowOff>171450</xdr:rowOff>
                  </to>
                </anchor>
              </controlPr>
            </control>
          </mc:Choice>
        </mc:AlternateContent>
        <mc:AlternateContent xmlns:mc="http://schemas.openxmlformats.org/markup-compatibility/2006">
          <mc:Choice Requires="x14">
            <control shapeId="2013190" r:id="rId8" name="Check Box 6">
              <controlPr defaultSize="0" autoFill="0" autoLine="0" autoPict="0">
                <anchor moveWithCells="1">
                  <from>
                    <xdr:col>29</xdr:col>
                    <xdr:colOff>66675</xdr:colOff>
                    <xdr:row>3</xdr:row>
                    <xdr:rowOff>0</xdr:rowOff>
                  </from>
                  <to>
                    <xdr:col>32</xdr:col>
                    <xdr:colOff>171450</xdr:colOff>
                    <xdr:row>3</xdr:row>
                    <xdr:rowOff>161925</xdr:rowOff>
                  </to>
                </anchor>
              </controlPr>
            </control>
          </mc:Choice>
        </mc:AlternateContent>
        <mc:AlternateContent xmlns:mc="http://schemas.openxmlformats.org/markup-compatibility/2006">
          <mc:Choice Requires="x14">
            <control shapeId="2013191" r:id="rId9" name="Check Box 7">
              <controlPr defaultSize="0" autoFill="0" autoLine="0" autoPict="0">
                <anchor moveWithCells="1">
                  <from>
                    <xdr:col>9</xdr:col>
                    <xdr:colOff>57150</xdr:colOff>
                    <xdr:row>4</xdr:row>
                    <xdr:rowOff>9525</xdr:rowOff>
                  </from>
                  <to>
                    <xdr:col>12</xdr:col>
                    <xdr:colOff>219075</xdr:colOff>
                    <xdr:row>4</xdr:row>
                    <xdr:rowOff>171450</xdr:rowOff>
                  </to>
                </anchor>
              </controlPr>
            </control>
          </mc:Choice>
        </mc:AlternateContent>
        <mc:AlternateContent xmlns:mc="http://schemas.openxmlformats.org/markup-compatibility/2006">
          <mc:Choice Requires="x14">
            <control shapeId="2013192" r:id="rId10" name="Check Box 8">
              <controlPr defaultSize="0" autoFill="0" autoLine="0" autoPict="0">
                <anchor moveWithCells="1">
                  <from>
                    <xdr:col>13</xdr:col>
                    <xdr:colOff>57150</xdr:colOff>
                    <xdr:row>4</xdr:row>
                    <xdr:rowOff>9525</xdr:rowOff>
                  </from>
                  <to>
                    <xdr:col>15</xdr:col>
                    <xdr:colOff>209550</xdr:colOff>
                    <xdr:row>4</xdr:row>
                    <xdr:rowOff>171450</xdr:rowOff>
                  </to>
                </anchor>
              </controlPr>
            </control>
          </mc:Choice>
        </mc:AlternateContent>
        <mc:AlternateContent xmlns:mc="http://schemas.openxmlformats.org/markup-compatibility/2006">
          <mc:Choice Requires="x14">
            <control shapeId="2013193" r:id="rId11" name="Check Box 9">
              <controlPr defaultSize="0" autoFill="0" autoLine="0" autoPict="0">
                <anchor moveWithCells="1">
                  <from>
                    <xdr:col>17</xdr:col>
                    <xdr:colOff>28575</xdr:colOff>
                    <xdr:row>4</xdr:row>
                    <xdr:rowOff>19050</xdr:rowOff>
                  </from>
                  <to>
                    <xdr:col>20</xdr:col>
                    <xdr:colOff>209550</xdr:colOff>
                    <xdr:row>4</xdr:row>
                    <xdr:rowOff>171450</xdr:rowOff>
                  </to>
                </anchor>
              </controlPr>
            </control>
          </mc:Choice>
        </mc:AlternateContent>
        <mc:AlternateContent xmlns:mc="http://schemas.openxmlformats.org/markup-compatibility/2006">
          <mc:Choice Requires="x14">
            <control shapeId="2013194" r:id="rId12" name="Check Box 10">
              <controlPr defaultSize="0" autoFill="0" autoLine="0" autoPict="0">
                <anchor moveWithCells="1">
                  <from>
                    <xdr:col>21</xdr:col>
                    <xdr:colOff>47625</xdr:colOff>
                    <xdr:row>3</xdr:row>
                    <xdr:rowOff>200025</xdr:rowOff>
                  </from>
                  <to>
                    <xdr:col>23</xdr:col>
                    <xdr:colOff>19050</xdr:colOff>
                    <xdr:row>4</xdr:row>
                    <xdr:rowOff>171450</xdr:rowOff>
                  </to>
                </anchor>
              </controlPr>
            </control>
          </mc:Choice>
        </mc:AlternateContent>
        <mc:AlternateContent xmlns:mc="http://schemas.openxmlformats.org/markup-compatibility/2006">
          <mc:Choice Requires="x14">
            <control shapeId="2013195" r:id="rId13" name="Check Box 11">
              <controlPr defaultSize="0" autoFill="0" autoLine="0" autoPict="0">
                <anchor moveWithCells="1">
                  <from>
                    <xdr:col>25</xdr:col>
                    <xdr:colOff>57150</xdr:colOff>
                    <xdr:row>4</xdr:row>
                    <xdr:rowOff>9525</xdr:rowOff>
                  </from>
                  <to>
                    <xdr:col>27</xdr:col>
                    <xdr:colOff>38100</xdr:colOff>
                    <xdr:row>4</xdr:row>
                    <xdr:rowOff>161925</xdr:rowOff>
                  </to>
                </anchor>
              </controlPr>
            </control>
          </mc:Choice>
        </mc:AlternateContent>
        <mc:AlternateContent xmlns:mc="http://schemas.openxmlformats.org/markup-compatibility/2006">
          <mc:Choice Requires="x14">
            <control shapeId="2013196" r:id="rId14" name="Option Button 12">
              <controlPr defaultSize="0" autoFill="0" autoLine="0" autoPict="0">
                <anchor moveWithCells="1">
                  <from>
                    <xdr:col>23</xdr:col>
                    <xdr:colOff>104775</xdr:colOff>
                    <xdr:row>17</xdr:row>
                    <xdr:rowOff>190500</xdr:rowOff>
                  </from>
                  <to>
                    <xdr:col>25</xdr:col>
                    <xdr:colOff>76200</xdr:colOff>
                    <xdr:row>19</xdr:row>
                    <xdr:rowOff>9525</xdr:rowOff>
                  </to>
                </anchor>
              </controlPr>
            </control>
          </mc:Choice>
        </mc:AlternateContent>
        <mc:AlternateContent xmlns:mc="http://schemas.openxmlformats.org/markup-compatibility/2006">
          <mc:Choice Requires="x14">
            <control shapeId="2013197" r:id="rId15" name="Option Button 13">
              <controlPr defaultSize="0" autoFill="0" autoLine="0" autoPict="0">
                <anchor moveWithCells="1">
                  <from>
                    <xdr:col>25</xdr:col>
                    <xdr:colOff>104775</xdr:colOff>
                    <xdr:row>17</xdr:row>
                    <xdr:rowOff>180975</xdr:rowOff>
                  </from>
                  <to>
                    <xdr:col>27</xdr:col>
                    <xdr:colOff>28575</xdr:colOff>
                    <xdr:row>19</xdr:row>
                    <xdr:rowOff>19050</xdr:rowOff>
                  </to>
                </anchor>
              </controlPr>
            </control>
          </mc:Choice>
        </mc:AlternateContent>
        <mc:AlternateContent xmlns:mc="http://schemas.openxmlformats.org/markup-compatibility/2006">
          <mc:Choice Requires="x14">
            <control shapeId="2013198" r:id="rId16" name="Option Button 14">
              <controlPr defaultSize="0" autoFill="0" autoLine="0" autoPict="0">
                <anchor moveWithCells="1">
                  <from>
                    <xdr:col>27</xdr:col>
                    <xdr:colOff>47625</xdr:colOff>
                    <xdr:row>17</xdr:row>
                    <xdr:rowOff>180975</xdr:rowOff>
                  </from>
                  <to>
                    <xdr:col>29</xdr:col>
                    <xdr:colOff>85725</xdr:colOff>
                    <xdr:row>19</xdr:row>
                    <xdr:rowOff>19050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C000"/>
  </sheetPr>
  <dimension ref="A1:AK55"/>
  <sheetViews>
    <sheetView showGridLines="0" showRowColHeaders="0" topLeftCell="G21" zoomScaleNormal="100" workbookViewId="0">
      <selection sqref="A1:F1 I22:J22 AE1:AK1"/>
    </sheetView>
  </sheetViews>
  <sheetFormatPr defaultRowHeight="16.5"/>
  <cols>
    <col min="1" max="1" width="2.75" style="231" hidden="1" customWidth="1"/>
    <col min="2" max="2" width="21" style="231" hidden="1" customWidth="1"/>
    <col min="3" max="3" width="18.75" style="231" hidden="1" customWidth="1"/>
    <col min="4" max="4" width="18.625" style="231" hidden="1" customWidth="1"/>
    <col min="5" max="6" width="9" style="231" hidden="1" customWidth="1"/>
    <col min="7" max="7" width="3.375" style="207" customWidth="1"/>
    <col min="8" max="8" width="4.75" style="207" bestFit="1" customWidth="1"/>
    <col min="9" max="10" width="4.75" style="207" hidden="1" customWidth="1"/>
    <col min="11" max="11" width="9.625" style="207" bestFit="1" customWidth="1"/>
    <col min="12" max="12" width="10.5" style="207" customWidth="1"/>
    <col min="13" max="13" width="11.5" style="207" customWidth="1"/>
    <col min="14" max="14" width="8.375" style="207" customWidth="1"/>
    <col min="15" max="17" width="9.625" style="207" bestFit="1" customWidth="1"/>
    <col min="18" max="18" width="12.25" style="207" bestFit="1" customWidth="1"/>
    <col min="19" max="23" width="11.75" style="207" customWidth="1"/>
    <col min="24" max="24" width="11.625" style="207" customWidth="1"/>
    <col min="25" max="25" width="20.25" style="207" customWidth="1"/>
    <col min="26" max="26" width="11.875" style="207" bestFit="1" customWidth="1"/>
    <col min="27" max="27" width="20.25" style="207" customWidth="1"/>
    <col min="28" max="28" width="11.875" style="207" bestFit="1" customWidth="1"/>
    <col min="29" max="30" width="20.25" style="207" customWidth="1"/>
    <col min="31" max="31" width="4" style="207" hidden="1" customWidth="1"/>
    <col min="32" max="37" width="9" style="207" hidden="1" customWidth="1"/>
    <col min="38" max="16384" width="9" style="207"/>
  </cols>
  <sheetData>
    <row r="1" spans="11:18" ht="6" hidden="1" customHeight="1">
      <c r="K1" s="325"/>
      <c r="L1" s="325"/>
      <c r="Q1" s="325"/>
      <c r="R1" s="325"/>
    </row>
    <row r="2" spans="11:18" ht="6" hidden="1" customHeight="1">
      <c r="K2" s="325"/>
      <c r="L2" s="325"/>
      <c r="Q2" s="325"/>
      <c r="R2" s="325"/>
    </row>
    <row r="3" spans="11:18" ht="6" hidden="1" customHeight="1">
      <c r="K3" s="325"/>
      <c r="L3" s="325"/>
      <c r="Q3" s="325"/>
      <c r="R3" s="325"/>
    </row>
    <row r="4" spans="11:18" ht="6" hidden="1" customHeight="1">
      <c r="K4" s="325"/>
      <c r="L4" s="325"/>
      <c r="Q4" s="325"/>
      <c r="R4" s="325"/>
    </row>
    <row r="5" spans="11:18" ht="6" hidden="1" customHeight="1">
      <c r="K5" s="325"/>
      <c r="L5" s="325"/>
      <c r="Q5" s="325"/>
      <c r="R5" s="325"/>
    </row>
    <row r="6" spans="11:18" ht="6" hidden="1" customHeight="1">
      <c r="K6" s="325"/>
      <c r="L6" s="325"/>
      <c r="Q6" s="325"/>
      <c r="R6" s="325"/>
    </row>
    <row r="7" spans="11:18" ht="6" hidden="1" customHeight="1">
      <c r="K7" s="325"/>
      <c r="L7" s="325"/>
      <c r="Q7" s="325"/>
      <c r="R7" s="325"/>
    </row>
    <row r="8" spans="11:18" ht="6" hidden="1" customHeight="1">
      <c r="K8" s="325"/>
      <c r="L8" s="325"/>
      <c r="Q8" s="325"/>
      <c r="R8" s="325"/>
    </row>
    <row r="9" spans="11:18" ht="6" hidden="1" customHeight="1">
      <c r="K9" s="325"/>
      <c r="L9" s="325"/>
      <c r="Q9" s="325"/>
      <c r="R9" s="325"/>
    </row>
    <row r="10" spans="11:18" ht="6" hidden="1" customHeight="1">
      <c r="K10" s="325"/>
      <c r="L10" s="325"/>
      <c r="Q10" s="325"/>
      <c r="R10" s="325"/>
    </row>
    <row r="11" spans="11:18" ht="6" hidden="1" customHeight="1">
      <c r="K11" s="325"/>
      <c r="L11" s="325"/>
      <c r="Q11" s="325"/>
      <c r="R11" s="325"/>
    </row>
    <row r="12" spans="11:18" ht="6" hidden="1" customHeight="1">
      <c r="K12" s="325"/>
      <c r="L12" s="325"/>
      <c r="Q12" s="325"/>
      <c r="R12" s="325"/>
    </row>
    <row r="13" spans="11:18" ht="6" hidden="1" customHeight="1">
      <c r="K13" s="325"/>
      <c r="L13" s="325"/>
      <c r="Q13" s="325"/>
      <c r="R13" s="325"/>
    </row>
    <row r="14" spans="11:18" ht="6" hidden="1" customHeight="1">
      <c r="K14" s="325"/>
      <c r="L14" s="325"/>
      <c r="Q14" s="325"/>
      <c r="R14" s="325"/>
    </row>
    <row r="15" spans="11:18" ht="6" hidden="1" customHeight="1">
      <c r="K15" s="325"/>
      <c r="L15" s="325"/>
      <c r="Q15" s="325"/>
      <c r="R15" s="325"/>
    </row>
    <row r="16" spans="11:18" ht="6" hidden="1" customHeight="1">
      <c r="K16" s="325"/>
      <c r="L16" s="325"/>
      <c r="Q16" s="325"/>
      <c r="R16" s="325"/>
    </row>
    <row r="17" spans="1:37" ht="6" hidden="1" customHeight="1">
      <c r="K17" s="325"/>
      <c r="L17" s="325"/>
      <c r="Q17" s="325"/>
      <c r="R17" s="325"/>
    </row>
    <row r="18" spans="1:37" ht="6" hidden="1" customHeight="1">
      <c r="K18" s="325"/>
      <c r="L18" s="325"/>
      <c r="Q18" s="325"/>
      <c r="R18" s="325"/>
    </row>
    <row r="19" spans="1:37" ht="6" hidden="1" customHeight="1">
      <c r="K19" s="325"/>
      <c r="L19" s="325"/>
      <c r="Q19" s="325"/>
      <c r="R19" s="325"/>
    </row>
    <row r="20" spans="1:37" ht="6" hidden="1" customHeight="1">
      <c r="K20" s="325"/>
      <c r="L20" s="325"/>
      <c r="Q20" s="325"/>
      <c r="R20" s="325"/>
    </row>
    <row r="21" spans="1:37">
      <c r="G21" s="207" t="str">
        <f>"("&amp;UNJC0070_B_PAGE_NO&amp;"/"&amp;UNJC0070_B_ALL_PAGE_SU&amp;")"</f>
        <v>(1/1)</v>
      </c>
      <c r="K21" s="325"/>
      <c r="L21" s="325"/>
    </row>
    <row r="22" spans="1:37">
      <c r="G22" s="114"/>
      <c r="H22" s="665" t="s">
        <v>0</v>
      </c>
      <c r="I22" s="172" t="s">
        <v>1869</v>
      </c>
      <c r="J22" s="172"/>
      <c r="K22" s="665" t="s">
        <v>27</v>
      </c>
      <c r="L22" s="665" t="s">
        <v>820</v>
      </c>
      <c r="M22" s="665" t="s">
        <v>28</v>
      </c>
      <c r="N22" s="665" t="s">
        <v>78</v>
      </c>
      <c r="O22" s="665" t="s">
        <v>794</v>
      </c>
      <c r="P22" s="665" t="s">
        <v>86</v>
      </c>
      <c r="Q22" s="665" t="s">
        <v>2055</v>
      </c>
      <c r="R22" s="665" t="s">
        <v>823</v>
      </c>
      <c r="S22" s="665" t="s">
        <v>824</v>
      </c>
      <c r="T22" s="665" t="s">
        <v>825</v>
      </c>
      <c r="U22" s="665" t="s">
        <v>826</v>
      </c>
      <c r="V22" s="665" t="s">
        <v>827</v>
      </c>
      <c r="W22" s="665" t="s">
        <v>29</v>
      </c>
      <c r="X22" s="665" t="s">
        <v>828</v>
      </c>
      <c r="Y22" s="665" t="s">
        <v>829</v>
      </c>
      <c r="Z22" s="665" t="s">
        <v>3</v>
      </c>
      <c r="AA22" s="665" t="s">
        <v>4</v>
      </c>
      <c r="AB22" s="665" t="s">
        <v>2</v>
      </c>
      <c r="AC22" s="665" t="s">
        <v>62</v>
      </c>
      <c r="AD22" s="665" t="s">
        <v>63</v>
      </c>
      <c r="AE22" s="10" t="s">
        <v>867</v>
      </c>
      <c r="AF22" s="10" t="s">
        <v>3093</v>
      </c>
      <c r="AG22" s="10" t="s">
        <v>1014</v>
      </c>
      <c r="AH22" s="10" t="s">
        <v>3092</v>
      </c>
      <c r="AI22" s="10" t="s">
        <v>97</v>
      </c>
      <c r="AJ22" s="10" t="s">
        <v>98</v>
      </c>
      <c r="AK22" s="10" t="s">
        <v>163</v>
      </c>
    </row>
    <row r="24" spans="1:37">
      <c r="A24" s="296" t="s">
        <v>834</v>
      </c>
      <c r="C24" s="21"/>
    </row>
    <row r="25" spans="1:37">
      <c r="B25" s="231" t="s">
        <v>835</v>
      </c>
      <c r="C25" s="21" t="s">
        <v>2056</v>
      </c>
      <c r="D25" s="232">
        <v>50</v>
      </c>
    </row>
    <row r="26" spans="1:37">
      <c r="C26" s="21"/>
    </row>
    <row r="27" spans="1:37">
      <c r="A27" s="296" t="s">
        <v>837</v>
      </c>
      <c r="C27" s="21"/>
    </row>
    <row r="28" spans="1:37">
      <c r="B28" s="231" t="s">
        <v>259</v>
      </c>
      <c r="C28" s="21" t="s">
        <v>2057</v>
      </c>
      <c r="D28" s="232"/>
    </row>
    <row r="29" spans="1:37">
      <c r="B29" s="231" t="s">
        <v>190</v>
      </c>
      <c r="C29" s="21" t="s">
        <v>2058</v>
      </c>
      <c r="D29" s="189">
        <v>1</v>
      </c>
    </row>
    <row r="30" spans="1:37">
      <c r="B30" s="231" t="s">
        <v>191</v>
      </c>
      <c r="C30" s="21" t="s">
        <v>2059</v>
      </c>
      <c r="D30" s="81">
        <f>IF(OR(UNJC0070_B_KENSAKU_KENSU=0,UNJC0070_B_CTRL_HYOJI_GYO_SU=0),1,ROUNDUP(UNJC0070_B_KENSAKU_KENSU/UNJC0070_B_CTRL_HYOJI_GYO_SU,0))</f>
        <v>1</v>
      </c>
    </row>
    <row r="31" spans="1:37">
      <c r="B31" s="231" t="s">
        <v>126</v>
      </c>
      <c r="C31" s="21" t="s">
        <v>2060</v>
      </c>
      <c r="D31" s="232"/>
    </row>
    <row r="32" spans="1:37">
      <c r="C32" s="21"/>
    </row>
    <row r="33" spans="1:4">
      <c r="B33" s="231" t="s">
        <v>1877</v>
      </c>
      <c r="C33" s="21" t="s">
        <v>2061</v>
      </c>
      <c r="D33" s="232" t="str">
        <f>ADDRESS(ROW(UNJC0070_B_SENTAKU)+1, COLUMN(UNJC0070_B_SENTAKU)+1)</f>
        <v>$I$23</v>
      </c>
    </row>
    <row r="34" spans="1:4">
      <c r="B34" s="231" t="s">
        <v>1001</v>
      </c>
      <c r="C34" s="21" t="s">
        <v>2062</v>
      </c>
      <c r="D34" s="81" t="str">
        <f>IF(UNJC0070_B_HYOJI_KENSU=0,"",ADDRESS(ROW(UNJC0070_B_SENTAKU)+1,COLUMN(UNJC0070_B_SENTAKU))&amp;":"&amp;ADDRESS(ROW(UNJC0070_B_SENTAKU)+1+UNJC0070_B_HYOJI_KENSU-1,COLUMN(UNJC0070_B_SENTAKU)))</f>
        <v/>
      </c>
    </row>
    <row r="35" spans="1:4">
      <c r="B35" s="231" t="s">
        <v>203</v>
      </c>
      <c r="C35" s="21" t="s">
        <v>2063</v>
      </c>
      <c r="D35" s="232" t="str">
        <f ca="1">IF(UNJC0070_B_HYOJI_KENSU=0,"",UNJC0070_B_LIST_START&amp;":"&amp;
ADDRESS(ROW(INDIRECT(UNJC0070_B_LIST_START))+UNJC0070_B_HYOJI_KENSU-1,COLUMN(INDIRECT(UNJC0070_B_LIST_START))+COLUMNS(UNJC0070_IF_B_LIST_COPY_MOTO)-1))</f>
        <v/>
      </c>
    </row>
    <row r="36" spans="1:4">
      <c r="B36" s="231" t="s">
        <v>204</v>
      </c>
      <c r="C36" s="21" t="s">
        <v>2064</v>
      </c>
      <c r="D36" s="81" t="str">
        <f ca="1">ADDRESS(ROW(UNJC0070_B_SENTAKU)+1, COLUMN(UNJC0070_B_SENTAKU))&amp;":"&amp;
ADDRESS(ROW(INDIRECT(UNJC0070_B_LIST_START))+UNJC0070_B_CTRL_HYOJI_GYO_SU-1,COLUMN(INDIRECT(UNJC0070_B_LIST_START))+COLUMNS(UNJC0070_IF_B_LIST_COPY_MOTO)-1)</f>
        <v>$H$23:$AK$72</v>
      </c>
    </row>
    <row r="37" spans="1:4">
      <c r="C37" s="21"/>
      <c r="D37" s="231" t="s">
        <v>845</v>
      </c>
    </row>
    <row r="38" spans="1:4">
      <c r="B38" s="231" t="s">
        <v>846</v>
      </c>
      <c r="C38" s="231" t="s">
        <v>2065</v>
      </c>
      <c r="D38" s="81">
        <f>IF(UNJC0070_B_HYOJI_KENSU=0,2,1)</f>
        <v>2</v>
      </c>
    </row>
    <row r="39" spans="1:4">
      <c r="C39" s="21"/>
    </row>
    <row r="40" spans="1:4">
      <c r="A40" s="296" t="s">
        <v>848</v>
      </c>
      <c r="C40" s="21"/>
      <c r="D40" s="231" t="s">
        <v>849</v>
      </c>
    </row>
    <row r="41" spans="1:4">
      <c r="B41" s="231" t="s">
        <v>850</v>
      </c>
      <c r="C41" s="21" t="s">
        <v>2066</v>
      </c>
      <c r="D41" s="232">
        <f>IF(UNJC0070_B_ALL_PAGE_SU&gt;UNJC0070_B_PAGE_NO,1,2)</f>
        <v>2</v>
      </c>
    </row>
    <row r="42" spans="1:4">
      <c r="B42" s="231" t="s">
        <v>852</v>
      </c>
      <c r="C42" s="21" t="s">
        <v>2067</v>
      </c>
      <c r="D42" s="232">
        <f>IF(UNJC0070_B_PAGE_NO&gt;1,1,2)</f>
        <v>2</v>
      </c>
    </row>
    <row r="43" spans="1:4">
      <c r="C43" s="21"/>
      <c r="D43" s="328"/>
    </row>
    <row r="44" spans="1:4">
      <c r="B44" s="231" t="s">
        <v>234</v>
      </c>
      <c r="C44" s="21" t="s">
        <v>2068</v>
      </c>
      <c r="D44" s="232">
        <f>UNJC0070_B_PAGE_NO+1</f>
        <v>2</v>
      </c>
    </row>
    <row r="45" spans="1:4">
      <c r="B45" s="231" t="s">
        <v>233</v>
      </c>
      <c r="C45" s="21" t="s">
        <v>2069</v>
      </c>
      <c r="D45" s="232">
        <f>UNJC0070_B_PAGE_NO-1</f>
        <v>0</v>
      </c>
    </row>
    <row r="47" spans="1:4">
      <c r="A47" s="296" t="s">
        <v>856</v>
      </c>
      <c r="C47" s="21"/>
    </row>
    <row r="48" spans="1:4">
      <c r="B48" s="231" t="s">
        <v>343</v>
      </c>
      <c r="C48" s="21" t="s">
        <v>2070</v>
      </c>
      <c r="D48" s="232">
        <v>22</v>
      </c>
    </row>
    <row r="49" spans="1:5">
      <c r="B49" s="320" t="s">
        <v>858</v>
      </c>
      <c r="C49" s="321" t="s">
        <v>2071</v>
      </c>
      <c r="D49" s="601" t="e">
        <f ca="1">IF(UNJC0070_B_SELECT_GYO_NO=0,0,INDIRECT(ADDRESS(UNJC0070_B_SELECT_GYO_NO,COLUMN(UNJC0070_B_JURI_NO))))</f>
        <v>#NAME?</v>
      </c>
    </row>
    <row r="50" spans="1:5">
      <c r="C50" s="21"/>
    </row>
    <row r="51" spans="1:5">
      <c r="A51" s="296" t="s">
        <v>809</v>
      </c>
    </row>
    <row r="52" spans="1:5">
      <c r="B52" s="187" t="s">
        <v>276</v>
      </c>
      <c r="C52" s="252" t="s">
        <v>2072</v>
      </c>
      <c r="D52" s="81" t="str">
        <f>ROW($A$1)&amp;":"&amp;(ROW(UNJC0070_B_VIEW_CURRENT_PAGE)-1)</f>
        <v>1:20</v>
      </c>
    </row>
    <row r="53" spans="1:5">
      <c r="B53" s="187" t="s">
        <v>277</v>
      </c>
      <c r="C53" s="252" t="s">
        <v>2073</v>
      </c>
      <c r="D53" s="81" t="str">
        <f>ADDRESS(ROW($A$1),COLUMN($A$1))&amp;":"&amp;ADDRESS(ROW($A$1),COLUMN(UNJC0070_B_VIEW_CURRENT_PAGE)-1)&amp;","
 &amp; ADDRESS(ROW(UNJC0070_B_FLG),COLUMN(UNJC0070_B_FLG))&amp;":" &amp;ADDRESS(ROW(UNJC0070_B_ROW),COLUMN(UNJC0070_B_ROW)) &amp;","&amp;
 ADDRESS(ROW($AE$1),COLUMN($AE$1))&amp;":"&amp;ADDRESS(ROW($AK$1),COLUMN($AK$1))</f>
        <v>$A$1:$F$1,$I$22:$J$22,$AE$1:$AK$1</v>
      </c>
      <c r="E53" s="602"/>
    </row>
    <row r="54" spans="1:5">
      <c r="B54" s="187"/>
      <c r="C54" s="187"/>
      <c r="D54" s="187"/>
    </row>
    <row r="55" spans="1:5">
      <c r="B55" s="187" t="s">
        <v>282</v>
      </c>
      <c r="C55" s="252" t="s">
        <v>2074</v>
      </c>
      <c r="D55" s="81" t="str">
        <f ca="1">ADDRESS(ROW(INDIRECT(UNJC0070_B_LIST_START)),COLUMN(UNJC0070_B_EIGYO_TANTOSHA_MEI))</f>
        <v>$P$23</v>
      </c>
    </row>
  </sheetData>
  <sheetProtection sheet="1" objects="1" scenarios="1" selectLockedCells="1"/>
  <phoneticPr fontId="2"/>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2:CQ36"/>
  <sheetViews>
    <sheetView topLeftCell="AK1" zoomScale="85" zoomScaleNormal="85" workbookViewId="0">
      <selection activeCell="BH12" sqref="BH12"/>
    </sheetView>
  </sheetViews>
  <sheetFormatPr defaultRowHeight="13.5"/>
  <cols>
    <col min="1" max="2" width="9" style="278"/>
    <col min="3" max="3" width="12.5" style="278" customWidth="1"/>
    <col min="4" max="5" width="9" style="278"/>
    <col min="6" max="6" width="4.375" style="278" customWidth="1"/>
    <col min="7" max="14" width="9" style="278"/>
    <col min="15" max="15" width="9.375" style="278" customWidth="1"/>
    <col min="16" max="39" width="9" style="278"/>
    <col min="40" max="59" width="1" style="278" customWidth="1"/>
    <col min="60" max="61" width="9" style="278"/>
    <col min="62" max="62" width="12.125" style="278" customWidth="1"/>
    <col min="63" max="63" width="22.125" style="278" bestFit="1" customWidth="1"/>
    <col min="64" max="64" width="17.5" style="278" customWidth="1"/>
    <col min="65" max="65" width="9.625" style="278" bestFit="1" customWidth="1"/>
    <col min="66" max="66" width="10.5" style="278" customWidth="1"/>
    <col min="67" max="67" width="11.5" style="278" customWidth="1"/>
    <col min="68" max="70" width="9.625" style="278" bestFit="1" customWidth="1"/>
    <col min="71" max="71" width="33.5" style="278" customWidth="1"/>
    <col min="72" max="72" width="12.25" style="278" bestFit="1" customWidth="1"/>
    <col min="73" max="77" width="11.75" style="278" customWidth="1"/>
    <col min="78" max="78" width="11.625" style="278" customWidth="1"/>
    <col min="79" max="79" width="20.25" style="278" customWidth="1"/>
    <col min="80" max="80" width="10.125" style="278" customWidth="1"/>
    <col min="81" max="81" width="20.25" style="278" customWidth="1"/>
    <col min="82" max="82" width="12.625" style="278" bestFit="1" customWidth="1"/>
    <col min="83" max="16384" width="9" style="278"/>
  </cols>
  <sheetData>
    <row r="2" spans="1:95">
      <c r="A2" s="279" t="s">
        <v>864</v>
      </c>
      <c r="BJ2" s="279" t="s">
        <v>328</v>
      </c>
    </row>
    <row r="3" spans="1:95">
      <c r="BK3" s="278" t="s">
        <v>111</v>
      </c>
      <c r="BR3" s="278" t="s">
        <v>1909</v>
      </c>
      <c r="BV3" s="278" t="s">
        <v>1910</v>
      </c>
    </row>
    <row r="4" spans="1:95" ht="16.5">
      <c r="D4" s="8" t="s">
        <v>0</v>
      </c>
      <c r="E4" s="672" t="s">
        <v>2075</v>
      </c>
      <c r="F4" s="672"/>
      <c r="G4" s="8" t="s">
        <v>2076</v>
      </c>
      <c r="H4" s="20" t="s">
        <v>820</v>
      </c>
      <c r="I4" s="20" t="s">
        <v>28</v>
      </c>
      <c r="J4" s="8" t="s">
        <v>78</v>
      </c>
      <c r="K4" s="673" t="s">
        <v>794</v>
      </c>
      <c r="L4" s="674" t="s">
        <v>86</v>
      </c>
      <c r="M4" s="8" t="s">
        <v>2077</v>
      </c>
      <c r="N4" s="8" t="s">
        <v>823</v>
      </c>
      <c r="O4" s="8" t="s">
        <v>824</v>
      </c>
      <c r="P4" s="8" t="s">
        <v>825</v>
      </c>
      <c r="Q4" s="8" t="s">
        <v>826</v>
      </c>
      <c r="R4" s="8" t="s">
        <v>827</v>
      </c>
      <c r="S4" s="20" t="s">
        <v>29</v>
      </c>
      <c r="T4" s="20" t="s">
        <v>828</v>
      </c>
      <c r="U4" s="8" t="s">
        <v>829</v>
      </c>
      <c r="V4" s="20" t="s">
        <v>3</v>
      </c>
      <c r="W4" s="8" t="s">
        <v>4</v>
      </c>
      <c r="X4" s="8" t="s">
        <v>2</v>
      </c>
      <c r="Y4" s="8" t="s">
        <v>62</v>
      </c>
      <c r="Z4" s="8" t="s">
        <v>63</v>
      </c>
      <c r="AA4" s="10" t="s">
        <v>867</v>
      </c>
      <c r="AB4" s="10" t="s">
        <v>3093</v>
      </c>
      <c r="AC4" s="10" t="s">
        <v>1014</v>
      </c>
      <c r="AD4" s="10" t="s">
        <v>3092</v>
      </c>
      <c r="AE4" s="10" t="s">
        <v>97</v>
      </c>
      <c r="AF4" s="10" t="s">
        <v>98</v>
      </c>
      <c r="AG4" s="10" t="s">
        <v>163</v>
      </c>
      <c r="AH4" s="554"/>
      <c r="AI4" s="554"/>
      <c r="AK4" s="278" t="s">
        <v>868</v>
      </c>
      <c r="AN4" s="278" t="s">
        <v>869</v>
      </c>
      <c r="BK4" s="278" t="s">
        <v>1194</v>
      </c>
      <c r="BL4" s="278" t="s">
        <v>2093</v>
      </c>
      <c r="BM4" s="273"/>
      <c r="BO4" s="278" t="s">
        <v>521</v>
      </c>
      <c r="BP4" s="280" t="s">
        <v>2094</v>
      </c>
      <c r="BQ4" s="273">
        <f>1+ROW()-ROW(UNJC0070_IF_SAVE_START)</f>
        <v>-3</v>
      </c>
      <c r="BR4" s="273">
        <f>UNJC0070_IF_SAVE_W_USER_ID</f>
        <v>0</v>
      </c>
      <c r="BS4" s="273">
        <f>UNJC0070_IF_SAVE_W_SERIAL</f>
        <v>0</v>
      </c>
      <c r="BT4" s="273">
        <f ca="1">OFFSET(UNJC0070_B_ROW,1+$BQ4-1,0)</f>
        <v>0</v>
      </c>
      <c r="BU4" s="273">
        <f>UNJC0070_IF_SAVE_W_MODE</f>
        <v>0</v>
      </c>
      <c r="BV4" s="273">
        <f ca="1">OFFSET(UNJC0070_B_FLG,1+$BQ4-1,0)</f>
        <v>0</v>
      </c>
      <c r="BW4" s="273">
        <f ca="1">OFFSET(UNJC0070_B_STS,1+$BQ4-1,0)</f>
        <v>0</v>
      </c>
      <c r="BX4" s="273">
        <f ca="1">OFFSET(UNJC0070_B_BUNSEKI_KBN,1+$BQ4-1,0)</f>
        <v>0</v>
      </c>
      <c r="BY4" s="273">
        <f ca="1">OFFSET(UNJC0070_B_JURI_NO,1+$BQ4-1,0)</f>
        <v>0</v>
      </c>
      <c r="BZ4" s="273" t="str">
        <f ca="1">IF(OFFSET(UNJC0070_B_EDA,1+$BQ4-1,0)="","",OFFSET(UNJC0070_B_EDA,1+$BQ4-1,0))</f>
        <v/>
      </c>
      <c r="CA4" s="615" t="str">
        <f ca="1">IF(OFFSET(UNJC0070_B_HOKOKUSHO_KEISHIKI,1+$BQ4-1,0)="","",OFFSET(UNJC0070_B_HOKOKUSHO_KEISHIKI,1+$BQ4-1,0))</f>
        <v/>
      </c>
      <c r="CB4" s="273" t="str">
        <f ca="1">IF(OFFSET(UNJC0070_B_EIGYO_TANTOSHA_MEI,1+$BQ4-1,0)="","",OFFSET(UNJC0070_B_EIGYO_TANTOSHA_MEI,1+$BQ4-1,0))</f>
        <v/>
      </c>
      <c r="CC4" s="273" t="str">
        <f ca="1">IF(OFFSET(UNJC0070_B_NYURYOKU_TANTOSHA_MEI,1+$BQ4-1,0)="","",OFFSET(UNJC0070_B_NYURYOKU_TANTOSHA_MEI,1+$BQ4-1,0))</f>
        <v/>
      </c>
      <c r="CD4" s="273" t="str">
        <f ca="1">IF(OFFSET(UNJC0070_B_IRAI_DATE,1+$BQ4-1,0)="","",OFFSET(UNJC0070_B_IRAI_DATE,1+$BQ4-1,0))</f>
        <v/>
      </c>
      <c r="CE4" s="273" t="str">
        <f ca="1">IF(OFFSET(UNJC0070_B_CHUKAN_1,1+$BQ4-1,0)="","",OFFSET(UNJC0070_B_CHUKAN_1,1+$BQ4-1,0))</f>
        <v/>
      </c>
      <c r="CF4" s="273" t="str">
        <f ca="1">IF(OFFSET(UNJC0070_B_CHUKAN_2,1+$BQ4-1,0)="","",OFFSET(UNJC0070_B_CHUKAN_2,1+$BQ4-1,0))</f>
        <v/>
      </c>
      <c r="CG4" s="273" t="str">
        <f ca="1">IF(OFFSET(UNJC0070_B_CHUKAN_3,1+$BQ4-1,0)="","",OFFSET(UNJC0070_B_CHUKAN_3,1+$BQ4-1,0))</f>
        <v/>
      </c>
      <c r="CH4" s="273" t="str">
        <f ca="1">IF(OFFSET(UNJC0070_B_KANSEI_DATE,1+$BQ4-1,0)="","",OFFSET(UNJC0070_B_KANSEI_DATE,1+$BQ4-1,0))</f>
        <v/>
      </c>
      <c r="CI4" s="273" t="str">
        <f ca="1">IF(OFFSET(UNJC0070_B_NOHIN_DATE,1+$BQ4-1,0)="","",OFFSET(UNJC0070_B_NOHIN_DATE,1+$BQ4-1,0))</f>
        <v/>
      </c>
      <c r="CJ4" s="273">
        <f ca="1">OFFSET(UNJC0070_B_ATENA_CD,1+$BQ4-1,0)</f>
        <v>0</v>
      </c>
      <c r="CK4" s="273">
        <f ca="1">OFFSET(UNJC0070_B_ATENA,1+$BQ4-1,0)</f>
        <v>0</v>
      </c>
      <c r="CL4" s="273">
        <f ca="1">OFFSET(UNJC0070_B_SEIKYUSAKI_CD,1+$BQ4-1,0)</f>
        <v>0</v>
      </c>
      <c r="CM4" s="273" t="str">
        <f ca="1">IF(OFFSET(UNJC0070_B_SEIKYUSAKI_MEI,1+$BQ4-1,0)="","",OFFSET(UNJC0070_B_SEIKYUSAKI_MEI,1+$BQ4-1,0))</f>
        <v/>
      </c>
      <c r="CN4" s="273">
        <f ca="1">OFFSET(UNJC0070_B_MITSUMORI_NO,1+$BQ4-1,0)</f>
        <v>0</v>
      </c>
      <c r="CO4" s="273">
        <f ca="1">OFFSET(UNJC0070_B_SIRYO_SHURUI,1+$BQ4-1,0)</f>
        <v>0</v>
      </c>
      <c r="CP4" s="273" t="str">
        <f ca="1">IF(OFFSET(UNJC0070_B_SIRYO_MEI,1+$BQ4-1,0)="","",OFFSET(UNJC0070_B_SIRYO_MEI,1+$BQ4-1,0))</f>
        <v/>
      </c>
    </row>
    <row r="5" spans="1:95" ht="16.5">
      <c r="B5" s="280" t="s">
        <v>870</v>
      </c>
      <c r="C5" s="280" t="s">
        <v>2078</v>
      </c>
      <c r="D5" s="917"/>
      <c r="E5" s="917"/>
      <c r="F5" s="917"/>
      <c r="G5" s="918"/>
      <c r="H5" s="917"/>
      <c r="I5" s="917"/>
      <c r="J5" s="828"/>
      <c r="K5" s="918"/>
      <c r="L5" s="918"/>
      <c r="M5" s="918"/>
      <c r="N5" s="918"/>
      <c r="O5" s="918"/>
      <c r="P5" s="918"/>
      <c r="Q5" s="918"/>
      <c r="R5" s="918"/>
      <c r="S5" s="918"/>
      <c r="T5" s="918"/>
      <c r="U5" s="827"/>
      <c r="V5" s="828"/>
      <c r="W5" s="828"/>
      <c r="X5" s="828"/>
      <c r="Y5" s="828"/>
      <c r="Z5" s="828"/>
      <c r="AA5" s="828"/>
      <c r="AB5" s="828"/>
      <c r="AC5" s="828"/>
      <c r="AD5" s="828"/>
      <c r="AE5" s="828"/>
      <c r="AF5" s="828"/>
      <c r="AG5" s="828"/>
      <c r="AH5" s="564"/>
      <c r="AI5" s="564"/>
      <c r="AL5" s="280" t="s">
        <v>2079</v>
      </c>
      <c r="AN5" s="333" t="s">
        <v>2080</v>
      </c>
      <c r="BK5" s="278" t="s">
        <v>110</v>
      </c>
      <c r="BL5" s="278" t="s">
        <v>2097</v>
      </c>
      <c r="BM5" s="615"/>
      <c r="CC5" s="21"/>
      <c r="CD5" s="300"/>
    </row>
    <row r="6" spans="1:95" ht="16.5">
      <c r="B6" s="280" t="s">
        <v>199</v>
      </c>
      <c r="C6" s="280" t="s">
        <v>2081</v>
      </c>
      <c r="D6" s="604"/>
      <c r="E6" s="605"/>
      <c r="F6" s="605"/>
      <c r="G6" s="753"/>
      <c r="H6" s="754"/>
      <c r="I6" s="754"/>
      <c r="J6" s="753"/>
      <c r="K6" s="335"/>
      <c r="L6" s="753"/>
      <c r="M6" s="753"/>
      <c r="N6" s="62"/>
      <c r="O6" s="62"/>
      <c r="P6" s="62"/>
      <c r="Q6" s="62"/>
      <c r="R6" s="62"/>
      <c r="S6" s="62"/>
      <c r="T6" s="753"/>
      <c r="U6" s="335"/>
      <c r="V6" s="753"/>
      <c r="W6" s="335"/>
      <c r="X6" s="753"/>
      <c r="Y6" s="335"/>
      <c r="Z6" s="335"/>
      <c r="AA6" s="827"/>
      <c r="AB6" s="827"/>
      <c r="AC6" s="827"/>
      <c r="AD6" s="827"/>
      <c r="AE6" s="827"/>
      <c r="AF6" s="827"/>
      <c r="AG6" s="827"/>
      <c r="AH6" s="606"/>
      <c r="AI6" s="606"/>
      <c r="AK6" s="299" t="s">
        <v>2026</v>
      </c>
      <c r="AL6" s="607" t="b">
        <v>1</v>
      </c>
      <c r="AN6" s="1711"/>
      <c r="AO6" s="1712"/>
      <c r="AP6" s="1712"/>
      <c r="AQ6" s="1713"/>
      <c r="AR6" s="207"/>
      <c r="AS6" s="207"/>
      <c r="AT6" s="207"/>
      <c r="AU6" s="207"/>
      <c r="AV6" s="207"/>
      <c r="AW6" s="207"/>
      <c r="AX6" s="208" t="s">
        <v>4429</v>
      </c>
      <c r="AY6" s="1261">
        <f ca="1">TODAY()</f>
        <v>43005</v>
      </c>
      <c r="AZ6" s="1262"/>
      <c r="BA6" s="1262"/>
      <c r="BB6" s="1263"/>
      <c r="BC6" s="666" t="s">
        <v>2082</v>
      </c>
      <c r="BD6" s="1261">
        <f ca="1">TODAY()</f>
        <v>43005</v>
      </c>
      <c r="BE6" s="1262"/>
      <c r="BF6" s="1262"/>
      <c r="BG6" s="1263"/>
      <c r="BK6" s="278" t="s">
        <v>1917</v>
      </c>
      <c r="BL6" s="278" t="s">
        <v>2098</v>
      </c>
      <c r="BM6" s="617" t="s">
        <v>4379</v>
      </c>
      <c r="CC6" s="300"/>
      <c r="CD6" s="300"/>
    </row>
    <row r="7" spans="1:95" ht="17.25" thickBot="1">
      <c r="B7" s="280" t="s">
        <v>1900</v>
      </c>
      <c r="C7" s="280" t="s">
        <v>2083</v>
      </c>
      <c r="D7" s="523"/>
      <c r="E7" s="608"/>
      <c r="F7" s="609"/>
      <c r="G7" s="610"/>
      <c r="H7" s="610"/>
      <c r="I7" s="610"/>
      <c r="J7" s="610"/>
      <c r="K7" s="610"/>
      <c r="L7" s="610"/>
      <c r="M7" s="610"/>
      <c r="N7" s="610"/>
      <c r="O7" s="610"/>
      <c r="P7" s="610"/>
      <c r="Q7" s="610"/>
      <c r="R7" s="610"/>
      <c r="S7" s="610"/>
      <c r="T7" s="610"/>
      <c r="U7" s="610"/>
      <c r="V7" s="610"/>
      <c r="W7" s="610"/>
      <c r="X7" s="611"/>
      <c r="Y7" s="610"/>
      <c r="Z7" s="611"/>
      <c r="AA7" s="826"/>
      <c r="AB7" s="826"/>
      <c r="AC7" s="826"/>
      <c r="AD7" s="826"/>
      <c r="AE7" s="826"/>
      <c r="AF7" s="826"/>
      <c r="AG7" s="826"/>
      <c r="AK7" s="299" t="s">
        <v>751</v>
      </c>
      <c r="AL7" s="612" t="b">
        <v>1</v>
      </c>
      <c r="AN7" s="204"/>
      <c r="AO7" s="207"/>
      <c r="AP7" s="207"/>
      <c r="AQ7" s="207"/>
      <c r="AR7" s="207"/>
      <c r="AS7" s="207"/>
      <c r="AT7" s="207"/>
      <c r="AU7" s="207"/>
      <c r="AV7" s="207"/>
      <c r="AW7" s="207"/>
      <c r="AX7" s="208" t="s">
        <v>4430</v>
      </c>
      <c r="AY7" s="1261"/>
      <c r="AZ7" s="1262"/>
      <c r="BA7" s="1262"/>
      <c r="BB7" s="1263"/>
      <c r="BC7" s="666" t="s">
        <v>2082</v>
      </c>
      <c r="BD7" s="1261"/>
      <c r="BE7" s="1262"/>
      <c r="BF7" s="1262"/>
      <c r="BG7" s="1263"/>
      <c r="BK7" s="278" t="s">
        <v>1324</v>
      </c>
      <c r="BL7" s="278" t="s">
        <v>2099</v>
      </c>
      <c r="BM7" s="273">
        <v>0</v>
      </c>
      <c r="BQ7" s="618" t="s">
        <v>1105</v>
      </c>
      <c r="BR7" s="618" t="s">
        <v>2100</v>
      </c>
      <c r="BS7" s="618" t="s">
        <v>2101</v>
      </c>
      <c r="BT7" s="618" t="s">
        <v>2102</v>
      </c>
      <c r="BU7" s="618" t="s">
        <v>2103</v>
      </c>
      <c r="BV7" s="618" t="s">
        <v>1924</v>
      </c>
      <c r="BW7" s="618" t="s">
        <v>2104</v>
      </c>
      <c r="BX7" s="618" t="s">
        <v>820</v>
      </c>
      <c r="BY7" s="618" t="s">
        <v>28</v>
      </c>
      <c r="BZ7" s="618" t="s">
        <v>2105</v>
      </c>
      <c r="CA7" s="618" t="s">
        <v>794</v>
      </c>
      <c r="CB7" s="618" t="s">
        <v>86</v>
      </c>
      <c r="CC7" s="618" t="s">
        <v>2106</v>
      </c>
      <c r="CD7" s="619" t="s">
        <v>823</v>
      </c>
      <c r="CE7" s="618" t="s">
        <v>824</v>
      </c>
      <c r="CF7" s="618" t="s">
        <v>825</v>
      </c>
      <c r="CG7" s="618" t="s">
        <v>826</v>
      </c>
      <c r="CH7" s="618" t="s">
        <v>827</v>
      </c>
      <c r="CI7" s="618" t="s">
        <v>29</v>
      </c>
      <c r="CJ7" s="618" t="s">
        <v>828</v>
      </c>
      <c r="CK7" s="618" t="s">
        <v>829</v>
      </c>
      <c r="CL7" s="618" t="s">
        <v>3</v>
      </c>
      <c r="CM7" s="618" t="s">
        <v>4</v>
      </c>
      <c r="CN7" s="618" t="s">
        <v>2</v>
      </c>
      <c r="CO7" s="618" t="s">
        <v>62</v>
      </c>
      <c r="CP7" s="618" t="s">
        <v>63</v>
      </c>
    </row>
    <row r="8" spans="1:95" ht="17.25" thickTop="1">
      <c r="AK8" s="299" t="s">
        <v>2084</v>
      </c>
      <c r="AL8" s="612" t="b">
        <v>1</v>
      </c>
      <c r="AN8" s="1708"/>
      <c r="AO8" s="1709"/>
      <c r="AP8" s="1709"/>
      <c r="AQ8" s="1710"/>
      <c r="AR8" s="207"/>
      <c r="AS8" s="207"/>
      <c r="AT8" s="207"/>
      <c r="AU8" s="207"/>
      <c r="AV8" s="207"/>
      <c r="AW8" s="207"/>
      <c r="AX8" s="208" t="s">
        <v>4432</v>
      </c>
      <c r="AY8" s="1261"/>
      <c r="AZ8" s="1262"/>
      <c r="BA8" s="1262"/>
      <c r="BB8" s="1263"/>
      <c r="BC8" s="666" t="s">
        <v>2082</v>
      </c>
      <c r="BD8" s="1261"/>
      <c r="BE8" s="1262"/>
      <c r="BF8" s="1262"/>
      <c r="BG8" s="1263"/>
      <c r="BQ8" s="620"/>
      <c r="BR8" s="620"/>
      <c r="BS8" s="621"/>
      <c r="BT8" s="621"/>
      <c r="BU8" s="621"/>
      <c r="BV8" s="621"/>
      <c r="BW8" s="621"/>
      <c r="BX8" s="621"/>
      <c r="BY8" s="621"/>
      <c r="BZ8" s="621"/>
      <c r="CA8" s="621"/>
      <c r="CB8" s="621"/>
      <c r="CC8" s="621"/>
      <c r="CD8" s="622"/>
      <c r="CE8" s="621"/>
      <c r="CF8" s="621"/>
      <c r="CG8" s="621"/>
      <c r="CH8" s="621"/>
      <c r="CI8" s="621"/>
      <c r="CJ8" s="621"/>
      <c r="CK8" s="621"/>
      <c r="CL8" s="621"/>
      <c r="CM8" s="621"/>
      <c r="CN8" s="621"/>
      <c r="CO8" s="621"/>
      <c r="CP8" s="621"/>
    </row>
    <row r="9" spans="1:95" ht="16.5">
      <c r="A9" s="279" t="s">
        <v>880</v>
      </c>
      <c r="AK9" s="299" t="s">
        <v>2085</v>
      </c>
      <c r="AL9" s="612" t="b">
        <v>1</v>
      </c>
      <c r="AN9" s="1708"/>
      <c r="AO9" s="1709"/>
      <c r="AP9" s="1709"/>
      <c r="AQ9" s="1710"/>
      <c r="AR9" s="207"/>
      <c r="AS9" s="207"/>
      <c r="AT9" s="207"/>
      <c r="AU9" s="207"/>
      <c r="AV9" s="207"/>
      <c r="AW9" s="207"/>
      <c r="AX9" s="208" t="s">
        <v>4433</v>
      </c>
      <c r="AY9" s="1261"/>
      <c r="AZ9" s="1262"/>
      <c r="BA9" s="1262"/>
      <c r="BB9" s="1263"/>
      <c r="BC9" s="666" t="s">
        <v>2082</v>
      </c>
      <c r="BD9" s="1261"/>
      <c r="BE9" s="1262"/>
      <c r="BF9" s="1262"/>
      <c r="BG9" s="1263"/>
      <c r="BK9" s="278" t="s">
        <v>526</v>
      </c>
      <c r="BQ9" s="552"/>
      <c r="BR9" s="552"/>
      <c r="BS9" s="552"/>
      <c r="BT9" s="552"/>
      <c r="BU9" s="552"/>
      <c r="BV9" s="552"/>
      <c r="BW9" s="552"/>
      <c r="BX9" s="552"/>
      <c r="BY9" s="552"/>
      <c r="BZ9" s="552"/>
      <c r="CA9" s="552"/>
      <c r="CB9" s="552"/>
      <c r="CC9" s="552"/>
      <c r="CD9" s="552"/>
      <c r="CE9" s="552"/>
      <c r="CF9" s="552"/>
      <c r="CG9" s="552"/>
      <c r="CH9" s="552"/>
      <c r="CI9" s="552"/>
      <c r="CJ9" s="552"/>
      <c r="CK9" s="552"/>
      <c r="CL9" s="552"/>
      <c r="CM9" s="552"/>
      <c r="CN9" s="552"/>
      <c r="CO9" s="552"/>
      <c r="CP9" s="552"/>
      <c r="CQ9" s="552"/>
    </row>
    <row r="10" spans="1:95" ht="16.5">
      <c r="B10" s="280" t="s">
        <v>104</v>
      </c>
      <c r="C10" s="280" t="s">
        <v>2086</v>
      </c>
      <c r="D10" s="273">
        <v>1</v>
      </c>
      <c r="E10" s="280" t="s">
        <v>888</v>
      </c>
      <c r="F10" s="280"/>
      <c r="AK10" s="299" t="s">
        <v>768</v>
      </c>
      <c r="AL10" s="612" t="b">
        <v>1</v>
      </c>
      <c r="AN10" s="1711"/>
      <c r="AO10" s="1735"/>
      <c r="AP10" s="1735"/>
      <c r="AQ10" s="1736"/>
      <c r="AR10" s="207"/>
      <c r="AS10" s="207"/>
      <c r="AT10" s="207"/>
      <c r="AU10" s="207"/>
      <c r="AV10" s="207"/>
      <c r="AW10" s="207"/>
      <c r="AX10" s="208" t="s">
        <v>4411</v>
      </c>
      <c r="AY10" s="1261"/>
      <c r="AZ10" s="1262"/>
      <c r="BA10" s="1262"/>
      <c r="BB10" s="1263"/>
      <c r="BC10" s="666" t="s">
        <v>2082</v>
      </c>
      <c r="BD10" s="1261"/>
      <c r="BE10" s="1262"/>
      <c r="BF10" s="1262"/>
      <c r="BG10" s="1263"/>
      <c r="BK10" s="278" t="s">
        <v>527</v>
      </c>
      <c r="BL10" s="280" t="s">
        <v>2107</v>
      </c>
      <c r="BM10" s="273" t="str">
        <f>IF(UNJC0070_B_HYOJI_KENSU=0,"",
"UNJC0070_IF!"&amp;ADDRESS(ROW(UNJC0070_IF_SAVE_COPY_START),COLUMN(UNJC0070_IF_SAVE_COPY_START))&amp;":"&amp;ADDRESS(ROW(UNJC0070_IF_SAVE_COPY_START)+UNJC0070_B_HYOJI_KENSU-1,COLUMN(UNJC0070_IF_SAVE_COPY_START)+COLUMNS(UNJC0070_IF_SAVE_COPY_MOTO)-1))</f>
        <v/>
      </c>
    </row>
    <row r="11" spans="1:95" ht="16.5">
      <c r="AK11" s="299" t="s">
        <v>770</v>
      </c>
      <c r="AL11" s="612" t="b">
        <v>1</v>
      </c>
      <c r="AN11" s="1714"/>
      <c r="AO11" s="1715"/>
      <c r="AP11" s="1715"/>
      <c r="AQ11" s="1716"/>
      <c r="AR11" s="207"/>
      <c r="AS11" s="207"/>
      <c r="AT11" s="207"/>
      <c r="AU11" s="207"/>
      <c r="AV11" s="207"/>
      <c r="AW11" s="207"/>
      <c r="AX11" s="207"/>
      <c r="AY11" s="207"/>
      <c r="AZ11" s="207"/>
      <c r="BA11" s="207"/>
      <c r="BB11" s="207"/>
      <c r="BC11" s="207"/>
      <c r="BD11" s="207"/>
      <c r="BE11" s="207"/>
      <c r="BF11" s="207"/>
      <c r="BG11" s="207"/>
      <c r="BK11" s="278" t="s">
        <v>1339</v>
      </c>
      <c r="BL11" s="280" t="s">
        <v>2108</v>
      </c>
      <c r="BM11" s="273">
        <f>UNJC0070_B_HYOJI_KENSU</f>
        <v>0</v>
      </c>
    </row>
    <row r="12" spans="1:95" ht="16.5">
      <c r="A12" s="279" t="s">
        <v>120</v>
      </c>
      <c r="C12" s="337"/>
      <c r="AK12" s="299" t="s">
        <v>772</v>
      </c>
      <c r="AL12" s="612" t="b">
        <v>1</v>
      </c>
      <c r="AN12" s="207"/>
      <c r="AO12" s="207"/>
      <c r="AP12" s="207"/>
      <c r="AQ12" s="207"/>
      <c r="AR12" s="207"/>
      <c r="AS12" s="207"/>
      <c r="AT12" s="207"/>
      <c r="AU12" s="207"/>
      <c r="AV12" s="207"/>
      <c r="AW12" s="207"/>
      <c r="AX12" s="207"/>
      <c r="AY12" s="207"/>
      <c r="AZ12" s="207"/>
      <c r="BA12" s="207"/>
      <c r="BB12" s="207"/>
      <c r="BC12" s="207"/>
      <c r="BD12" s="207"/>
      <c r="BE12" s="207"/>
      <c r="BF12" s="207"/>
      <c r="BG12" s="207"/>
    </row>
    <row r="13" spans="1:95" ht="16.5">
      <c r="B13" s="278" t="s">
        <v>121</v>
      </c>
      <c r="C13" s="280" t="s">
        <v>2087</v>
      </c>
      <c r="D13" s="37"/>
      <c r="AK13" s="299" t="s">
        <v>776</v>
      </c>
      <c r="AL13" s="612" t="b">
        <v>1</v>
      </c>
      <c r="AN13" s="1701"/>
      <c r="AO13" s="1702"/>
      <c r="AP13" s="1702"/>
      <c r="AQ13" s="1703"/>
      <c r="AR13" s="1695"/>
      <c r="AS13" s="1696"/>
      <c r="AT13" s="1696"/>
      <c r="AU13" s="1696"/>
      <c r="AV13" s="1696"/>
      <c r="AW13" s="1696"/>
      <c r="AX13" s="1696"/>
      <c r="AY13" s="1696"/>
      <c r="AZ13" s="1696"/>
      <c r="BA13" s="1696"/>
      <c r="BB13" s="1696"/>
      <c r="BC13" s="1696"/>
      <c r="BD13" s="1696"/>
      <c r="BE13" s="1696"/>
      <c r="BF13" s="1696"/>
      <c r="BG13" s="1697"/>
      <c r="BK13" s="278" t="s">
        <v>1929</v>
      </c>
      <c r="BL13" s="280"/>
    </row>
    <row r="14" spans="1:95" ht="16.5">
      <c r="B14" s="278" t="s">
        <v>122</v>
      </c>
      <c r="C14" s="280" t="s">
        <v>2088</v>
      </c>
      <c r="D14" s="37"/>
      <c r="AK14" s="299" t="s">
        <v>781</v>
      </c>
      <c r="AL14" s="612" t="b">
        <v>1</v>
      </c>
      <c r="AN14" s="1701"/>
      <c r="AO14" s="1702"/>
      <c r="AP14" s="1702"/>
      <c r="AQ14" s="1703"/>
      <c r="AR14" s="1394" t="str">
        <f>IF(OR(UNJC0070_H_SEIKYUSAKI_CD="",UNJC0070_H_SEIKYUSAKI_MEI=""),"",UNJC0070_H_SEIKYUSAKI_MEI)</f>
        <v/>
      </c>
      <c r="AS14" s="1395"/>
      <c r="AT14" s="1395"/>
      <c r="AU14" s="1395"/>
      <c r="AV14" s="1395"/>
      <c r="AW14" s="1395"/>
      <c r="AX14" s="1395"/>
      <c r="AY14" s="1395"/>
      <c r="AZ14" s="1395"/>
      <c r="BA14" s="1395"/>
      <c r="BB14" s="1395"/>
      <c r="BC14" s="1395"/>
      <c r="BD14" s="1395"/>
      <c r="BE14" s="1395"/>
      <c r="BF14" s="1395"/>
      <c r="BG14" s="1396"/>
      <c r="BK14" s="278" t="s">
        <v>1339</v>
      </c>
      <c r="BL14" s="280" t="s">
        <v>2109</v>
      </c>
      <c r="BM14" s="273"/>
    </row>
    <row r="15" spans="1:95" ht="16.5">
      <c r="B15" s="278" t="s">
        <v>123</v>
      </c>
      <c r="C15" s="280" t="s">
        <v>2089</v>
      </c>
      <c r="D15" s="37"/>
      <c r="AK15" s="299" t="s">
        <v>783</v>
      </c>
      <c r="AL15" s="612" t="b">
        <v>0</v>
      </c>
      <c r="AN15" s="207"/>
      <c r="AO15" s="207"/>
      <c r="AP15" s="207"/>
      <c r="AQ15" s="207"/>
      <c r="AR15" s="207"/>
      <c r="AS15" s="207"/>
      <c r="AT15" s="207"/>
      <c r="AU15" s="207"/>
      <c r="AV15" s="207"/>
      <c r="AW15" s="207"/>
      <c r="AX15" s="207"/>
      <c r="AY15" s="207"/>
      <c r="AZ15" s="207"/>
      <c r="BA15" s="207"/>
      <c r="BB15" s="207"/>
      <c r="BC15" s="207"/>
      <c r="BD15" s="207"/>
      <c r="BE15" s="207"/>
      <c r="BF15" s="207"/>
      <c r="BG15" s="207"/>
    </row>
    <row r="16" spans="1:95" ht="16.5">
      <c r="AK16" s="299" t="s">
        <v>785</v>
      </c>
      <c r="AL16" s="612" t="b">
        <v>0</v>
      </c>
      <c r="AN16" s="1338"/>
      <c r="AO16" s="1339"/>
      <c r="AP16" s="1339"/>
      <c r="AQ16" s="1339"/>
      <c r="AR16" s="1339"/>
      <c r="AS16" s="1339"/>
      <c r="AT16" s="1339"/>
      <c r="AU16" s="1340"/>
      <c r="AV16" s="207"/>
      <c r="AW16" s="207"/>
      <c r="AX16" s="207"/>
      <c r="AY16" s="208" t="s">
        <v>793</v>
      </c>
      <c r="AZ16" s="1390"/>
      <c r="BA16" s="1706"/>
      <c r="BB16" s="1706"/>
      <c r="BC16" s="1706"/>
      <c r="BD16" s="1706"/>
      <c r="BE16" s="1706"/>
      <c r="BF16" s="1706"/>
      <c r="BG16" s="1707"/>
    </row>
    <row r="17" spans="1:66" ht="16.5">
      <c r="B17" s="278" t="s">
        <v>124</v>
      </c>
      <c r="C17" s="280" t="s">
        <v>2090</v>
      </c>
      <c r="D17" s="37"/>
      <c r="AK17" s="85" t="s">
        <v>788</v>
      </c>
      <c r="AL17" s="612">
        <v>1</v>
      </c>
      <c r="AN17" s="207"/>
      <c r="AO17" s="207"/>
      <c r="AP17" s="207"/>
      <c r="AQ17" s="207"/>
      <c r="AR17" s="207"/>
      <c r="AS17" s="207"/>
      <c r="AT17" s="207"/>
      <c r="AU17" s="207"/>
      <c r="AV17" s="207"/>
      <c r="AW17" s="207"/>
      <c r="AX17" s="207"/>
      <c r="AY17" s="207"/>
      <c r="AZ17" s="207"/>
      <c r="BA17" s="207"/>
      <c r="BB17" s="207"/>
      <c r="BC17" s="207"/>
      <c r="BD17" s="207"/>
      <c r="BE17" s="207"/>
      <c r="BF17" s="207"/>
      <c r="BG17" s="207"/>
      <c r="BK17" s="278" t="s">
        <v>533</v>
      </c>
    </row>
    <row r="18" spans="1:66" ht="16.5">
      <c r="C18" s="280"/>
      <c r="D18" s="338"/>
      <c r="AK18" s="82"/>
      <c r="AL18" s="614"/>
      <c r="AN18" s="1344"/>
      <c r="AO18" s="1345"/>
      <c r="AP18" s="1345"/>
      <c r="AQ18" s="1346"/>
      <c r="AR18" s="77" t="str">
        <f>IF(UNJC0070_H_FREEWD_KBN=1,"AND",IF(UNJC0070_H_FREEWD_KBN=2,"OR","NAND"))</f>
        <v>AND</v>
      </c>
      <c r="AS18" s="1344"/>
      <c r="AT18" s="1345"/>
      <c r="AU18" s="1345"/>
      <c r="AV18" s="1346"/>
      <c r="AW18" s="77" t="str">
        <f>IF(UNJC0070_H_FREEWD_KBN=1,"AND",IF(UNJC0070_H_FREEWD_KBN=2,"OR","NAND"))</f>
        <v>AND</v>
      </c>
      <c r="AX18" s="1344"/>
      <c r="AY18" s="1345"/>
      <c r="AZ18" s="1345"/>
      <c r="BA18" s="1346"/>
      <c r="BB18" s="215"/>
      <c r="BC18" s="215"/>
      <c r="BD18" s="215"/>
      <c r="BE18" s="215"/>
      <c r="BF18" s="215"/>
      <c r="BG18" s="215"/>
      <c r="BK18" s="278" t="s">
        <v>340</v>
      </c>
      <c r="BL18" s="280" t="s">
        <v>2110</v>
      </c>
      <c r="BM18" s="273"/>
    </row>
    <row r="19" spans="1:66">
      <c r="A19" s="279" t="s">
        <v>895</v>
      </c>
      <c r="BK19" s="278" t="s">
        <v>528</v>
      </c>
      <c r="BL19" s="280" t="s">
        <v>2111</v>
      </c>
      <c r="BM19" s="273"/>
    </row>
    <row r="20" spans="1:66">
      <c r="B20" s="278" t="s">
        <v>2091</v>
      </c>
      <c r="BK20" s="278" t="s">
        <v>330</v>
      </c>
      <c r="BL20" s="280" t="s">
        <v>2112</v>
      </c>
      <c r="BM20" s="273">
        <f>IF(UNJC0070_IF_SAVE_RESULT_CD=0,2,1)</f>
        <v>2</v>
      </c>
      <c r="BN20" s="278" t="s">
        <v>335</v>
      </c>
    </row>
    <row r="21" spans="1:66">
      <c r="B21" s="255" t="s">
        <v>99</v>
      </c>
      <c r="C21" s="255" t="s">
        <v>820</v>
      </c>
      <c r="BK21" s="278" t="s">
        <v>333</v>
      </c>
      <c r="BL21" s="280" t="s">
        <v>2113</v>
      </c>
      <c r="BM21" s="273" t="s">
        <v>1935</v>
      </c>
    </row>
    <row r="22" spans="1:66">
      <c r="B22" s="101" t="s">
        <v>2092</v>
      </c>
      <c r="C22" s="341">
        <v>1</v>
      </c>
    </row>
    <row r="23" spans="1:66">
      <c r="B23" s="101" t="s">
        <v>2095</v>
      </c>
      <c r="C23" s="341" t="s">
        <v>2096</v>
      </c>
      <c r="D23" s="616"/>
    </row>
    <row r="24" spans="1:66" ht="18" customHeight="1">
      <c r="B24" s="255" t="s">
        <v>906</v>
      </c>
      <c r="C24" s="341" t="s">
        <v>907</v>
      </c>
    </row>
    <row r="25" spans="1:66" ht="20.25" customHeight="1">
      <c r="B25" s="342"/>
      <c r="C25" s="342"/>
    </row>
    <row r="26" spans="1:66" ht="18.75" customHeight="1">
      <c r="B26" s="343"/>
      <c r="C26" s="343"/>
      <c r="AK26" s="552"/>
      <c r="AL26" s="552"/>
    </row>
    <row r="27" spans="1:66" ht="16.5">
      <c r="AK27" s="300"/>
      <c r="AM27" s="552"/>
    </row>
    <row r="28" spans="1:66" ht="16.5">
      <c r="AK28" s="300"/>
      <c r="AM28" s="300"/>
      <c r="AN28" s="552"/>
      <c r="AO28" s="552"/>
      <c r="AP28" s="552"/>
      <c r="AQ28" s="552"/>
      <c r="AR28" s="552"/>
      <c r="AS28" s="552"/>
      <c r="AT28" s="552"/>
      <c r="AU28" s="552"/>
      <c r="AV28" s="552"/>
      <c r="AW28" s="552"/>
      <c r="AX28" s="552"/>
      <c r="AY28" s="552"/>
      <c r="AZ28" s="552"/>
      <c r="BA28" s="552"/>
      <c r="BB28" s="552"/>
      <c r="BC28" s="552"/>
      <c r="BD28" s="552"/>
    </row>
    <row r="29" spans="1:66" ht="16.5">
      <c r="AK29" s="300"/>
      <c r="AM29" s="300"/>
    </row>
    <row r="30" spans="1:66" ht="16.5">
      <c r="AK30" s="300"/>
    </row>
    <row r="31" spans="1:66" ht="16.5">
      <c r="AK31" s="300"/>
    </row>
    <row r="32" spans="1:66" ht="16.5">
      <c r="AK32" s="300"/>
    </row>
    <row r="33" spans="37:37" ht="16.5">
      <c r="AK33" s="300"/>
    </row>
    <row r="34" spans="37:37" ht="16.5">
      <c r="AK34" s="300"/>
    </row>
    <row r="35" spans="37:37" ht="16.5">
      <c r="AK35" s="300"/>
    </row>
    <row r="36" spans="37:37" ht="16.5">
      <c r="AK36" s="85"/>
    </row>
  </sheetData>
  <mergeCells count="24">
    <mergeCell ref="AN8:AQ8"/>
    <mergeCell ref="AY8:BB8"/>
    <mergeCell ref="BD8:BG8"/>
    <mergeCell ref="AN6:AQ6"/>
    <mergeCell ref="AY6:BB6"/>
    <mergeCell ref="BD6:BG6"/>
    <mergeCell ref="AY7:BB7"/>
    <mergeCell ref="BD7:BG7"/>
    <mergeCell ref="AN9:AQ9"/>
    <mergeCell ref="AY9:BB9"/>
    <mergeCell ref="BD9:BG9"/>
    <mergeCell ref="AN10:AQ10"/>
    <mergeCell ref="AY10:BB10"/>
    <mergeCell ref="BD10:BG10"/>
    <mergeCell ref="AN18:AQ18"/>
    <mergeCell ref="AS18:AV18"/>
    <mergeCell ref="AX18:BA18"/>
    <mergeCell ref="AN11:AQ11"/>
    <mergeCell ref="AN13:AQ13"/>
    <mergeCell ref="AR13:BG13"/>
    <mergeCell ref="AN14:AQ14"/>
    <mergeCell ref="AR14:BG14"/>
    <mergeCell ref="AN16:AU16"/>
    <mergeCell ref="AZ16:BG16"/>
  </mergeCells>
  <phoneticPr fontId="2"/>
  <dataValidations count="9">
    <dataValidation type="custom" allowBlank="1" showInputMessage="1" showErrorMessage="1" sqref="AN6:AQ6">
      <formula1>AND(LEN(UNJC0070_H_JURI_NO)=LENB(UNJC0070_H_JURI_NO),LEN(UNJC0070_H_JURI_NO)=10)</formula1>
    </dataValidation>
    <dataValidation type="custom" allowBlank="1" showInputMessage="1" showErrorMessage="1" sqref="AN10:AQ10">
      <formula1>AND(LEN(UNJC0070_H_MITSUMORI_NO)=LENB(UNJC0070_H_MITSUMORI_NO),LEN(UNJC0070_H_MITSUMORI_NO)=10)</formula1>
    </dataValidation>
    <dataValidation type="list" allowBlank="1" showInputMessage="1" showErrorMessage="1" sqref="AN11:AQ11">
      <formula1>UNJC0070_IF_LIST_BUNSEKI_KBN_HOHO</formula1>
    </dataValidation>
    <dataValidation type="custom" allowBlank="1" showInputMessage="1" showErrorMessage="1" sqref="AN13:AQ14">
      <formula1>AND(LEN(AN13)=LENB(AN13),LEN(AN13)&lt;=10)</formula1>
    </dataValidation>
    <dataValidation type="custom" allowBlank="1" showInputMessage="1" showErrorMessage="1" sqref="AZ16:BG16 AN8:AQ9">
      <formula1>LEN(AN8)&lt;=20</formula1>
    </dataValidation>
    <dataValidation type="custom" allowBlank="1" showInputMessage="1" showErrorMessage="1" sqref="AR13:BG13">
      <formula1>LEN(AR13)&lt;=25</formula1>
    </dataValidation>
    <dataValidation type="textLength" operator="lessThanOrEqual" allowBlank="1" showInputMessage="1" showErrorMessage="1" sqref="AN16:AU16">
      <formula1>20</formula1>
    </dataValidation>
    <dataValidation type="whole" allowBlank="1" showInputMessage="1" showErrorMessage="1" sqref="AN7">
      <formula1>1</formula1>
      <formula2>99</formula2>
    </dataValidation>
    <dataValidation type="date" allowBlank="1" showInputMessage="1" showErrorMessage="1" sqref="AY6:BB6 AY7:BB7 AY8:BB8 AY9:BB9 AY10:BB10 BD10:BG10 BD9:BG9 BD8:BG8 BD7:BG7 BD6:BG6">
      <formula1>36526</formula1>
      <formula2>73415</formula2>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14209" r:id="rId4" name="Check Box 1">
              <controlPr defaultSize="0" autoFill="0" autoLine="0" autoPict="0" macro="[0]!M_UNJC0070_CLICK_CHECKBOX">
                <anchor moveWithCells="1">
                  <from>
                    <xdr:col>3</xdr:col>
                    <xdr:colOff>76200</xdr:colOff>
                    <xdr:row>6</xdr:row>
                    <xdr:rowOff>9525</xdr:rowOff>
                  </from>
                  <to>
                    <xdr:col>3</xdr:col>
                    <xdr:colOff>276225</xdr:colOff>
                    <xdr:row>6</xdr:row>
                    <xdr:rowOff>200025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M87"/>
  <sheetViews>
    <sheetView topLeftCell="A47" zoomScale="70" zoomScaleNormal="70" workbookViewId="0">
      <selection activeCell="E63" sqref="E63:F63"/>
    </sheetView>
  </sheetViews>
  <sheetFormatPr defaultRowHeight="13.5"/>
  <cols>
    <col min="1" max="1" width="2" style="278" customWidth="1"/>
    <col min="2" max="3" width="23.75" style="278" customWidth="1"/>
    <col min="4" max="5" width="1.125" style="278" customWidth="1"/>
    <col min="6" max="6" width="65.25" style="278" customWidth="1"/>
    <col min="7" max="7" width="48.625" style="278" customWidth="1"/>
    <col min="8" max="8" width="39.625" style="278" customWidth="1"/>
    <col min="9" max="10" width="1.125" style="278" customWidth="1"/>
    <col min="11" max="11" width="41.125" style="278" customWidth="1"/>
    <col min="12" max="12" width="45.375" style="278" customWidth="1"/>
    <col min="13" max="16384" width="9" style="278"/>
  </cols>
  <sheetData>
    <row r="1" spans="1:13">
      <c r="A1" s="344" t="s">
        <v>908</v>
      </c>
      <c r="B1" s="345"/>
      <c r="C1" s="346"/>
      <c r="D1" s="347"/>
      <c r="E1" s="347"/>
      <c r="F1" s="348" t="s">
        <v>2114</v>
      </c>
      <c r="G1" s="345" t="s">
        <v>2115</v>
      </c>
      <c r="H1" s="345"/>
      <c r="I1" s="345"/>
      <c r="J1" s="345"/>
      <c r="K1" s="345"/>
      <c r="L1" s="278" t="s">
        <v>1938</v>
      </c>
      <c r="M1" s="278" t="s">
        <v>912</v>
      </c>
    </row>
    <row r="2" spans="1:13" ht="16.5">
      <c r="A2" s="349"/>
      <c r="B2" s="299" t="s">
        <v>1943</v>
      </c>
      <c r="C2" s="300" t="s">
        <v>2116</v>
      </c>
      <c r="D2" s="350"/>
      <c r="E2" s="350"/>
      <c r="F2" s="351"/>
      <c r="G2" s="352" t="str">
        <f>IF(UNJC0070_H_HOKOKU_KEISHIKI=0,"",UNJC0070_H_HOKOKU_KEISHIKI_CD)</f>
        <v/>
      </c>
      <c r="H2" s="349"/>
      <c r="I2" s="349"/>
      <c r="J2" s="349"/>
      <c r="K2" s="349"/>
      <c r="L2" s="353">
        <v>1</v>
      </c>
      <c r="M2" s="351"/>
    </row>
    <row r="3" spans="1:13" s="361" customFormat="1" ht="16.5">
      <c r="A3" s="354"/>
      <c r="B3" s="355" t="s">
        <v>2026</v>
      </c>
      <c r="C3" s="356" t="s">
        <v>2117</v>
      </c>
      <c r="D3" s="357"/>
      <c r="E3" s="357"/>
      <c r="F3" s="358" t="b">
        <v>0</v>
      </c>
      <c r="G3" s="359" t="b">
        <f>UNJC0070_H_KAKUTEIMI_STS</f>
        <v>1</v>
      </c>
      <c r="H3" s="354"/>
      <c r="I3" s="354"/>
      <c r="J3" s="354"/>
      <c r="K3" s="354"/>
      <c r="L3" s="360" t="b">
        <v>1</v>
      </c>
      <c r="M3" s="358" t="b">
        <v>0</v>
      </c>
    </row>
    <row r="4" spans="1:13" ht="16.5">
      <c r="A4" s="349"/>
      <c r="B4" s="299" t="s">
        <v>751</v>
      </c>
      <c r="C4" s="300" t="s">
        <v>2118</v>
      </c>
      <c r="D4" s="350"/>
      <c r="E4" s="350"/>
      <c r="F4" s="351" t="b">
        <v>0</v>
      </c>
      <c r="G4" s="352" t="b">
        <f>UNJC0070_H_UKETSUKE_STS</f>
        <v>1</v>
      </c>
      <c r="H4" s="349"/>
      <c r="I4" s="349"/>
      <c r="J4" s="349"/>
      <c r="K4" s="349"/>
      <c r="L4" s="353" t="b">
        <v>1</v>
      </c>
      <c r="M4" s="351" t="b">
        <v>0</v>
      </c>
    </row>
    <row r="5" spans="1:13" s="361" customFormat="1" ht="16.5">
      <c r="A5" s="354"/>
      <c r="B5" s="355" t="s">
        <v>2031</v>
      </c>
      <c r="C5" s="356" t="s">
        <v>2119</v>
      </c>
      <c r="D5" s="357"/>
      <c r="E5" s="357"/>
      <c r="F5" s="358" t="b">
        <v>0</v>
      </c>
      <c r="G5" s="359" t="b">
        <f>UNJC0070_H_CHUKAN_STS</f>
        <v>1</v>
      </c>
      <c r="H5" s="354"/>
      <c r="I5" s="354"/>
      <c r="J5" s="354"/>
      <c r="K5" s="354"/>
      <c r="L5" s="360" t="b">
        <v>1</v>
      </c>
      <c r="M5" s="358" t="b">
        <v>0</v>
      </c>
    </row>
    <row r="6" spans="1:13" ht="16.5">
      <c r="A6" s="349"/>
      <c r="B6" s="299" t="s">
        <v>2033</v>
      </c>
      <c r="C6" s="300" t="s">
        <v>2120</v>
      </c>
      <c r="D6" s="349"/>
      <c r="E6" s="349"/>
      <c r="F6" s="351" t="b">
        <v>0</v>
      </c>
      <c r="G6" s="352" t="b">
        <f>UNJC0070_H_GIJUTSU_STS</f>
        <v>1</v>
      </c>
      <c r="I6" s="349"/>
      <c r="J6" s="349"/>
      <c r="K6" s="349"/>
      <c r="L6" s="353" t="b">
        <v>1</v>
      </c>
      <c r="M6" s="351" t="b">
        <v>0</v>
      </c>
    </row>
    <row r="7" spans="1:13" s="361" customFormat="1" ht="16.5">
      <c r="A7" s="354"/>
      <c r="B7" s="355" t="s">
        <v>768</v>
      </c>
      <c r="C7" s="356" t="s">
        <v>2121</v>
      </c>
      <c r="D7" s="354"/>
      <c r="E7" s="354"/>
      <c r="F7" s="358" t="b">
        <v>0</v>
      </c>
      <c r="G7" s="359" t="b">
        <f>UNJC0070_H_KAKUNIN2_STS</f>
        <v>1</v>
      </c>
      <c r="H7" s="354"/>
      <c r="I7" s="354"/>
      <c r="J7" s="354"/>
      <c r="K7" s="354"/>
      <c r="L7" s="360" t="b">
        <v>1</v>
      </c>
      <c r="M7" s="358" t="b">
        <v>0</v>
      </c>
    </row>
    <row r="8" spans="1:13" ht="16.5">
      <c r="A8" s="349"/>
      <c r="B8" s="299" t="s">
        <v>770</v>
      </c>
      <c r="C8" s="300" t="s">
        <v>2122</v>
      </c>
      <c r="D8" s="362"/>
      <c r="E8" s="362"/>
      <c r="F8" s="351" t="b">
        <v>0</v>
      </c>
      <c r="G8" s="363" t="b">
        <f>UNJC0070_H_SOKUHO_STS</f>
        <v>1</v>
      </c>
      <c r="H8" s="254"/>
      <c r="I8" s="254"/>
      <c r="J8" s="254"/>
      <c r="K8" s="254"/>
      <c r="L8" s="364" t="b">
        <v>1</v>
      </c>
      <c r="M8" s="351" t="b">
        <v>0</v>
      </c>
    </row>
    <row r="9" spans="1:13" s="361" customFormat="1" ht="16.5">
      <c r="A9" s="354"/>
      <c r="B9" s="355" t="s">
        <v>772</v>
      </c>
      <c r="C9" s="356" t="s">
        <v>2123</v>
      </c>
      <c r="D9" s="357"/>
      <c r="E9" s="357"/>
      <c r="F9" s="358" t="b">
        <v>0</v>
      </c>
      <c r="G9" s="365" t="b">
        <f>UNJC0070_H_EIGYO_STS</f>
        <v>1</v>
      </c>
      <c r="H9" s="354"/>
      <c r="I9" s="357"/>
      <c r="L9" s="366" t="b">
        <v>1</v>
      </c>
      <c r="M9" s="358" t="b">
        <v>0</v>
      </c>
    </row>
    <row r="10" spans="1:13" s="282" customFormat="1" ht="16.5">
      <c r="A10" s="349"/>
      <c r="B10" s="308" t="s">
        <v>776</v>
      </c>
      <c r="C10" s="367" t="s">
        <v>2124</v>
      </c>
      <c r="D10" s="350"/>
      <c r="E10" s="350"/>
      <c r="F10" s="351" t="b">
        <v>0</v>
      </c>
      <c r="G10" s="368" t="b">
        <f>UNJC0070_H_NOHIN_STS</f>
        <v>1</v>
      </c>
      <c r="H10" s="349"/>
      <c r="I10" s="349"/>
      <c r="J10" s="349"/>
      <c r="K10" s="349"/>
      <c r="L10" s="369" t="b">
        <v>1</v>
      </c>
      <c r="M10" s="351" t="b">
        <v>0</v>
      </c>
    </row>
    <row r="11" spans="1:13" s="361" customFormat="1" ht="16.5">
      <c r="A11" s="354"/>
      <c r="B11" s="355" t="s">
        <v>781</v>
      </c>
      <c r="C11" s="356" t="s">
        <v>2125</v>
      </c>
      <c r="D11" s="357"/>
      <c r="E11" s="357"/>
      <c r="F11" s="358" t="b">
        <v>0</v>
      </c>
      <c r="G11" s="365" t="b">
        <f>UNJC0070_H_TEISEI_STS</f>
        <v>1</v>
      </c>
      <c r="H11" s="354"/>
      <c r="I11" s="354"/>
      <c r="J11" s="354"/>
      <c r="K11" s="354"/>
      <c r="L11" s="366" t="b">
        <v>1</v>
      </c>
      <c r="M11" s="358" t="b">
        <v>0</v>
      </c>
    </row>
    <row r="12" spans="1:13" s="282" customFormat="1" ht="16.5">
      <c r="A12" s="349"/>
      <c r="B12" s="308" t="s">
        <v>783</v>
      </c>
      <c r="C12" s="367" t="s">
        <v>2126</v>
      </c>
      <c r="D12" s="350"/>
      <c r="E12" s="350"/>
      <c r="F12" s="351" t="b">
        <v>0</v>
      </c>
      <c r="G12" s="368" t="b">
        <f>UNJC0070_H_CHUDAN_STS</f>
        <v>0</v>
      </c>
      <c r="H12" s="349"/>
      <c r="I12" s="349"/>
      <c r="J12" s="349"/>
      <c r="K12" s="349"/>
      <c r="L12" s="369" t="b">
        <v>1</v>
      </c>
      <c r="M12" s="351" t="b">
        <v>0</v>
      </c>
    </row>
    <row r="13" spans="1:13" s="361" customFormat="1" ht="16.5">
      <c r="A13" s="354"/>
      <c r="B13" s="355" t="s">
        <v>785</v>
      </c>
      <c r="C13" s="356" t="s">
        <v>2127</v>
      </c>
      <c r="D13" s="357"/>
      <c r="E13" s="357"/>
      <c r="F13" s="358" t="b">
        <v>0</v>
      </c>
      <c r="G13" s="365" t="b">
        <f>UNJC0070_H_CHUSHI_STS</f>
        <v>0</v>
      </c>
      <c r="H13" s="354"/>
      <c r="I13" s="354"/>
      <c r="J13" s="354"/>
      <c r="K13" s="354"/>
      <c r="L13" s="366" t="b">
        <v>1</v>
      </c>
      <c r="M13" s="358" t="b">
        <v>0</v>
      </c>
    </row>
    <row r="14" spans="1:13" s="282" customFormat="1" ht="16.5">
      <c r="A14" s="349"/>
      <c r="B14" s="308" t="s">
        <v>28</v>
      </c>
      <c r="C14" s="367" t="s">
        <v>2128</v>
      </c>
      <c r="D14" s="350"/>
      <c r="E14" s="350"/>
      <c r="F14" s="351"/>
      <c r="G14" s="368" t="str">
        <f>IF(UNJC0070_H_JURI_NO=0,"",UNJC0070_H_JURI_NO)</f>
        <v/>
      </c>
      <c r="H14" s="349"/>
      <c r="I14" s="349"/>
      <c r="J14" s="349"/>
      <c r="K14" s="349"/>
      <c r="L14" s="369" t="s">
        <v>2129</v>
      </c>
      <c r="M14" s="351" t="s">
        <v>2130</v>
      </c>
    </row>
    <row r="15" spans="1:13" s="361" customFormat="1" ht="16.5">
      <c r="A15" s="354"/>
      <c r="B15" s="355" t="s">
        <v>2105</v>
      </c>
      <c r="C15" s="356" t="s">
        <v>2131</v>
      </c>
      <c r="D15" s="357"/>
      <c r="E15" s="357"/>
      <c r="F15" s="358"/>
      <c r="G15" s="365" t="str">
        <f>IF(UNJC0070_H_EDA=0,"",UNJC0070_H_EDA)</f>
        <v/>
      </c>
      <c r="H15" s="354"/>
      <c r="I15" s="354"/>
      <c r="J15" s="354"/>
      <c r="K15" s="354"/>
      <c r="L15" s="366"/>
      <c r="M15" s="358"/>
    </row>
    <row r="16" spans="1:13" s="282" customFormat="1" ht="16.5">
      <c r="A16" s="349"/>
      <c r="B16" s="308" t="s">
        <v>97</v>
      </c>
      <c r="C16" s="367" t="s">
        <v>2132</v>
      </c>
      <c r="D16" s="350"/>
      <c r="E16" s="350"/>
      <c r="F16" s="351"/>
      <c r="G16" s="368" t="str">
        <f>IF(UNJC0070_H_EIGYO_TANTOSHA_MEI=0,"",UNJC0070_H_EIGYO_TANTO_CD)</f>
        <v/>
      </c>
      <c r="H16" s="349"/>
      <c r="I16" s="349"/>
      <c r="J16" s="349"/>
      <c r="K16" s="349"/>
      <c r="L16" s="369">
        <v>9001</v>
      </c>
      <c r="M16" s="351" t="s">
        <v>2130</v>
      </c>
    </row>
    <row r="17" spans="1:13" s="361" customFormat="1" ht="16.5">
      <c r="A17" s="354"/>
      <c r="B17" s="355" t="s">
        <v>98</v>
      </c>
      <c r="C17" s="356" t="s">
        <v>2133</v>
      </c>
      <c r="D17" s="357"/>
      <c r="E17" s="357"/>
      <c r="F17" s="358"/>
      <c r="G17" s="365" t="str">
        <f>IF(UNJC0070_H_NYURYOKUSHA_MEI=0,"",UNJC0070_H_NYURYOKUSHA_CD)</f>
        <v/>
      </c>
      <c r="H17" s="354"/>
      <c r="I17" s="354"/>
      <c r="J17" s="354"/>
      <c r="K17" s="354"/>
      <c r="L17" s="366">
        <v>3000</v>
      </c>
      <c r="M17" s="358"/>
    </row>
    <row r="18" spans="1:13" s="282" customFormat="1" ht="16.5">
      <c r="A18" s="349"/>
      <c r="B18" s="308" t="s">
        <v>2</v>
      </c>
      <c r="C18" s="367" t="s">
        <v>2134</v>
      </c>
      <c r="D18" s="350"/>
      <c r="E18" s="350"/>
      <c r="F18" s="351"/>
      <c r="G18" s="368" t="str">
        <f>IF(UNJC0070_H_MITSUMORI_NO=0,"",UNJC0070_H_MITSUMORI_NO)</f>
        <v/>
      </c>
      <c r="H18" s="349"/>
      <c r="I18" s="349"/>
      <c r="J18" s="349"/>
      <c r="K18" s="349"/>
      <c r="L18" s="369" t="s">
        <v>2135</v>
      </c>
      <c r="M18" s="351"/>
    </row>
    <row r="19" spans="1:13" s="361" customFormat="1" ht="16.5">
      <c r="A19" s="354"/>
      <c r="B19" s="355" t="s">
        <v>820</v>
      </c>
      <c r="C19" s="356" t="s">
        <v>2136</v>
      </c>
      <c r="D19" s="357"/>
      <c r="E19" s="357"/>
      <c r="F19" s="358"/>
      <c r="G19" s="365" t="str">
        <f ca="1">IF(UNJC0070_H_BUNSEKIKUBUN_KBN=0,"",UNJC0070_H_BUNSEKIKUBUN_KBN)</f>
        <v/>
      </c>
      <c r="H19" s="354"/>
      <c r="I19" s="354"/>
      <c r="J19" s="354"/>
      <c r="K19" s="354"/>
      <c r="L19" s="366">
        <v>1</v>
      </c>
      <c r="M19" s="358"/>
    </row>
    <row r="20" spans="1:13" s="282" customFormat="1" ht="16.5">
      <c r="A20" s="349"/>
      <c r="B20" s="308" t="s">
        <v>867</v>
      </c>
      <c r="C20" s="367" t="s">
        <v>2137</v>
      </c>
      <c r="D20" s="350"/>
      <c r="E20" s="350"/>
      <c r="F20" s="351"/>
      <c r="G20" s="368" t="str">
        <f ca="1">IF(UNJC0070_H_NYURYOKU_DATE_START="",
     "",
     TEXT(
         MIN(UNJC0070_H_NYURYOKU_DATE_START,
               UNJC0070_H_NYURYOKU_DATE_END
         ),
         "YYYY/MM/DD"
     )
  )</f>
        <v>2017/09/27</v>
      </c>
      <c r="H20" s="349"/>
      <c r="I20" s="349"/>
      <c r="J20" s="349"/>
      <c r="K20" s="349"/>
      <c r="L20" s="369">
        <v>42006</v>
      </c>
      <c r="M20" s="351"/>
    </row>
    <row r="21" spans="1:13" s="361" customFormat="1" ht="16.5">
      <c r="A21" s="354"/>
      <c r="B21" s="355"/>
      <c r="C21" s="356" t="s">
        <v>2138</v>
      </c>
      <c r="D21" s="357"/>
      <c r="E21" s="357"/>
      <c r="F21" s="358"/>
      <c r="G21" s="365" t="str">
        <f ca="1">IF(UNJC0070_H_NYURYOKU_DATE_START="",
     "",
     TEXT(
         MAX(UNJC0070_H_NYURYOKU_DATE_START,
               UNJC0070_H_NYURYOKU_DATE_END
         ),
         "YYYY/MM/DD"
     )
  )</f>
        <v>2017/09/27</v>
      </c>
      <c r="H21" s="354"/>
      <c r="I21" s="354"/>
      <c r="J21" s="354"/>
      <c r="K21" s="354"/>
      <c r="L21" s="366">
        <v>0</v>
      </c>
      <c r="M21" s="358"/>
    </row>
    <row r="22" spans="1:13" s="282" customFormat="1" ht="16.5">
      <c r="A22" s="349"/>
      <c r="B22" s="308" t="s">
        <v>919</v>
      </c>
      <c r="C22" s="367" t="s">
        <v>2139</v>
      </c>
      <c r="D22" s="350"/>
      <c r="E22" s="350"/>
      <c r="F22" s="351"/>
      <c r="G22" s="368" t="str">
        <f>IF(UNJC0070_H_IRAI_DATE_START="",
     "",
     TEXT(
         MIN(UNJC0070_H_IRAI_DATE_START,
               UNJC0070_H_IRAI_DATE_END
         ),
         "YYYY/MM/DD"
     )
  )</f>
        <v/>
      </c>
      <c r="H22" s="349"/>
      <c r="I22" s="349"/>
      <c r="J22" s="349"/>
      <c r="K22" s="349"/>
      <c r="L22" s="369">
        <v>0</v>
      </c>
      <c r="M22" s="351"/>
    </row>
    <row r="23" spans="1:13" s="361" customFormat="1" ht="16.5">
      <c r="A23" s="354"/>
      <c r="B23" s="355"/>
      <c r="C23" s="356" t="s">
        <v>2140</v>
      </c>
      <c r="D23" s="357"/>
      <c r="E23" s="357"/>
      <c r="F23" s="358"/>
      <c r="G23" s="365" t="str">
        <f>IF(UNJC0070_H_IRAI_DATE_END="",
     "",
     TEXT(
         MAX(UNJC0070_H_IRAI_DATE_START,
               UNJC0070_H_IRAI_DATE_END
         ),
         "YYYY/MM/DD"
     )
  )</f>
        <v/>
      </c>
      <c r="H23" s="354"/>
      <c r="I23" s="354"/>
      <c r="J23" s="354"/>
      <c r="K23" s="354"/>
      <c r="L23" s="366">
        <v>0</v>
      </c>
      <c r="M23" s="358"/>
    </row>
    <row r="24" spans="1:13" s="282" customFormat="1" ht="16.5">
      <c r="A24" s="349"/>
      <c r="B24" s="308" t="s">
        <v>920</v>
      </c>
      <c r="C24" s="367" t="s">
        <v>2141</v>
      </c>
      <c r="D24" s="350"/>
      <c r="E24" s="350"/>
      <c r="F24" s="351" t="s">
        <v>807</v>
      </c>
      <c r="G24" s="368" t="str">
        <f>IF(UNJC0070_H_CHUKAN_DATE_START="",
     "",
     TEXT(
         MIN(UNJC0070_H_CHUKAN_DATE_START,
               UNJC0070_H_CHUKAN_DATE_END
         ),
         "YYYY/MM/DD"
     )
  )</f>
        <v/>
      </c>
      <c r="H24" s="349"/>
      <c r="I24" s="349"/>
      <c r="J24" s="349"/>
      <c r="K24" s="349"/>
      <c r="L24" s="369">
        <v>0</v>
      </c>
      <c r="M24" s="351" t="s">
        <v>807</v>
      </c>
    </row>
    <row r="25" spans="1:13" s="361" customFormat="1" ht="16.5">
      <c r="A25" s="354"/>
      <c r="B25" s="355"/>
      <c r="C25" s="356" t="s">
        <v>2142</v>
      </c>
      <c r="D25" s="357"/>
      <c r="E25" s="357"/>
      <c r="F25" s="358"/>
      <c r="G25" s="365" t="str">
        <f>IF(UNJC0070_H_CHUKAN_DATE_END="",
     "",
     TEXT(
         MAX(UNJC0070_H_CHUKAN_DATE_START,
               UNJC0070_H_CHUKAN_DATE_END
         ),
         "YYYY/MM/DD"
     )
  )</f>
        <v/>
      </c>
      <c r="H25" s="354"/>
      <c r="I25" s="354"/>
      <c r="J25" s="354"/>
      <c r="K25" s="354"/>
      <c r="L25" s="366">
        <v>0</v>
      </c>
      <c r="M25" s="358"/>
    </row>
    <row r="26" spans="1:13" s="282" customFormat="1" ht="16.5">
      <c r="A26" s="349"/>
      <c r="B26" s="308" t="s">
        <v>827</v>
      </c>
      <c r="C26" s="367" t="s">
        <v>2143</v>
      </c>
      <c r="D26" s="350"/>
      <c r="E26" s="350"/>
      <c r="F26" s="351"/>
      <c r="G26" s="368" t="str">
        <f>IF(UNJC0070_H_KANSEI_DATE_START="",
     "",
     TEXT(
         MIN(UNJC0070_H_KANSEI_DATE_START,
               UNJC0070_H_KANSEI_DATE_END
         ),
         "YYYY/MM/DD"
     )
  )</f>
        <v/>
      </c>
      <c r="H26" s="349"/>
      <c r="I26" s="349"/>
      <c r="J26" s="349"/>
      <c r="K26" s="349"/>
      <c r="L26" s="369">
        <v>0</v>
      </c>
      <c r="M26" s="351"/>
    </row>
    <row r="27" spans="1:13" s="361" customFormat="1" ht="16.5">
      <c r="A27" s="354"/>
      <c r="B27" s="355"/>
      <c r="C27" s="356" t="s">
        <v>2144</v>
      </c>
      <c r="D27" s="357"/>
      <c r="E27" s="357"/>
      <c r="F27" s="358"/>
      <c r="G27" s="365" t="str">
        <f>IF(UNJC0070_H_KANSEI_DATE_END="",
     "",
     TEXT(
         MAX(UNJC0070_H_KANSEI_DATE_START,
               UNJC0070_H_KANSEI_DATE_END
         ),
         "YYYY/MM/DD"
     )
  )</f>
        <v/>
      </c>
      <c r="H27" s="354"/>
      <c r="I27" s="354"/>
      <c r="J27" s="354"/>
      <c r="K27" s="354"/>
      <c r="L27" s="366">
        <v>0</v>
      </c>
      <c r="M27" s="358"/>
    </row>
    <row r="28" spans="1:13" s="282" customFormat="1" ht="16.5">
      <c r="A28" s="349"/>
      <c r="B28" s="308" t="s">
        <v>29</v>
      </c>
      <c r="C28" s="367" t="s">
        <v>2145</v>
      </c>
      <c r="D28" s="350"/>
      <c r="E28" s="350"/>
      <c r="F28" s="351"/>
      <c r="G28" s="368" t="str">
        <f>IF(UNJC0070_H_NOHIN_DATE_START="",
     "",
     TEXT(
         MIN(UNJC0070_H_NOHIN_DATE_START,
               UNJC0070_H_NOHIN_DATE_END
         ),
         "YYYY/MM/DD"
     )
  )</f>
        <v/>
      </c>
      <c r="H28" s="349"/>
      <c r="I28" s="349"/>
      <c r="J28" s="349"/>
      <c r="K28" s="349"/>
      <c r="L28" s="369">
        <v>0</v>
      </c>
      <c r="M28" s="351"/>
    </row>
    <row r="29" spans="1:13" s="361" customFormat="1" ht="16.5">
      <c r="A29" s="354"/>
      <c r="B29" s="355"/>
      <c r="C29" s="356" t="s">
        <v>2146</v>
      </c>
      <c r="D29" s="357"/>
      <c r="E29" s="357"/>
      <c r="F29" s="358"/>
      <c r="G29" s="365" t="str">
        <f>IF(UNJC0070_H_NOHIN_DATE_END="",
     "",
     TEXT(
         MAX(UNJC0070_H_NOHIN_DATE_START,
               UNJC0070_H_NOHIN_DATE_END
         ),
         "YYYY/MM/DD"
     )
  )</f>
        <v/>
      </c>
      <c r="H29" s="354"/>
      <c r="I29" s="354"/>
      <c r="J29" s="354"/>
      <c r="K29" s="354"/>
      <c r="L29" s="366">
        <v>0</v>
      </c>
      <c r="M29" s="358"/>
    </row>
    <row r="30" spans="1:13" s="282" customFormat="1" ht="16.5">
      <c r="A30" s="349"/>
      <c r="B30" s="308" t="s">
        <v>828</v>
      </c>
      <c r="C30" s="367" t="s">
        <v>2147</v>
      </c>
      <c r="D30" s="350"/>
      <c r="E30" s="350"/>
      <c r="F30" s="351"/>
      <c r="G30" s="368" t="str">
        <f>IF(UNJC0070_H_ATENA_CD="","",UNJC0070_H_ATENA_CD)</f>
        <v/>
      </c>
      <c r="H30" s="349"/>
      <c r="I30" s="349"/>
      <c r="J30" s="349"/>
      <c r="K30" s="349"/>
      <c r="L30" s="369">
        <v>1000000001</v>
      </c>
      <c r="M30" s="351"/>
    </row>
    <row r="31" spans="1:13" s="361" customFormat="1" ht="16.5">
      <c r="A31" s="354"/>
      <c r="B31" s="355"/>
      <c r="C31" s="356" t="s">
        <v>2148</v>
      </c>
      <c r="D31" s="357"/>
      <c r="E31" s="357"/>
      <c r="F31" s="358"/>
      <c r="G31" s="365" t="str">
        <f>IF(UNJC0070_H_ATENA="","",UNJC0070_H_ATENA)</f>
        <v/>
      </c>
      <c r="H31" s="354"/>
      <c r="I31" s="354"/>
      <c r="J31" s="354"/>
      <c r="K31" s="354"/>
      <c r="L31" s="366" t="s">
        <v>1977</v>
      </c>
      <c r="M31" s="358"/>
    </row>
    <row r="32" spans="1:13" s="282" customFormat="1" ht="16.5">
      <c r="A32" s="349"/>
      <c r="B32" s="308" t="s">
        <v>3</v>
      </c>
      <c r="C32" s="367" t="s">
        <v>2149</v>
      </c>
      <c r="D32" s="350"/>
      <c r="E32" s="350"/>
      <c r="F32" s="351"/>
      <c r="G32" s="368" t="str">
        <f>IF(UNJC0070_H_SEIKYUSAKI_CD="","",UNJC0070_H_SEIKYUSAKI_CD)</f>
        <v/>
      </c>
      <c r="H32" s="349"/>
      <c r="I32" s="349"/>
      <c r="J32" s="349"/>
      <c r="K32" s="349"/>
      <c r="L32" s="369" t="s">
        <v>1979</v>
      </c>
      <c r="M32" s="351"/>
    </row>
    <row r="33" spans="1:13" s="361" customFormat="1" ht="16.5">
      <c r="A33" s="354"/>
      <c r="B33" s="355" t="s">
        <v>62</v>
      </c>
      <c r="C33" s="356" t="s">
        <v>2150</v>
      </c>
      <c r="D33" s="357"/>
      <c r="E33" s="357"/>
      <c r="F33" s="358"/>
      <c r="G33" s="365" t="str">
        <f>IF(UNJC0070_H_SIRYO_SHURUI="","",UNJC0070_H_SIRYO_SHURUI)</f>
        <v/>
      </c>
      <c r="H33" s="354"/>
      <c r="I33" s="354"/>
      <c r="J33" s="354"/>
      <c r="K33" s="354"/>
      <c r="L33" s="366" t="s">
        <v>2151</v>
      </c>
      <c r="M33" s="358"/>
    </row>
    <row r="34" spans="1:13" s="282" customFormat="1" ht="16.5">
      <c r="A34" s="349"/>
      <c r="B34" s="308" t="s">
        <v>63</v>
      </c>
      <c r="C34" s="367" t="s">
        <v>2152</v>
      </c>
      <c r="D34" s="350"/>
      <c r="E34" s="350"/>
      <c r="F34" s="351"/>
      <c r="G34" s="368" t="str">
        <f>IF(UNJC0070_H_SIRYO_MEI="","",UNJC0070_H_SIRYO_MEI)</f>
        <v/>
      </c>
      <c r="H34" s="349"/>
      <c r="I34" s="349"/>
      <c r="J34" s="349"/>
      <c r="K34" s="349"/>
      <c r="L34" s="369"/>
      <c r="M34" s="351"/>
    </row>
    <row r="35" spans="1:13" s="361" customFormat="1" ht="16.5">
      <c r="A35" s="354"/>
      <c r="B35" s="355" t="s">
        <v>2153</v>
      </c>
      <c r="C35" s="356" t="s">
        <v>2154</v>
      </c>
      <c r="D35" s="357"/>
      <c r="E35" s="357"/>
      <c r="F35" s="358"/>
      <c r="G35" s="365" t="str">
        <f>IF(UNJC0070_H_FREEWD_1="","",UNJC0070_H_FREEWD_1)</f>
        <v/>
      </c>
      <c r="H35" s="354"/>
      <c r="I35" s="354"/>
      <c r="J35" s="354"/>
      <c r="K35" s="354"/>
      <c r="L35" s="366" t="s">
        <v>2155</v>
      </c>
      <c r="M35" s="358"/>
    </row>
    <row r="36" spans="1:13" s="282" customFormat="1" ht="16.5">
      <c r="A36" s="349"/>
      <c r="B36" s="308"/>
      <c r="C36" s="367" t="s">
        <v>2156</v>
      </c>
      <c r="D36" s="350"/>
      <c r="E36" s="350"/>
      <c r="F36" s="351"/>
      <c r="G36" s="368" t="str">
        <f>IF(UNJC0070_H_FREEWD_2="","",UNJC0070_H_FREEWD_2)</f>
        <v/>
      </c>
      <c r="H36" s="349"/>
      <c r="I36" s="349"/>
      <c r="J36" s="349"/>
      <c r="K36" s="349"/>
      <c r="L36" s="369" t="s">
        <v>2157</v>
      </c>
      <c r="M36" s="351"/>
    </row>
    <row r="37" spans="1:13" s="361" customFormat="1" ht="16.5">
      <c r="A37" s="354"/>
      <c r="B37" s="355"/>
      <c r="C37" s="356" t="s">
        <v>2158</v>
      </c>
      <c r="D37" s="357"/>
      <c r="E37" s="357"/>
      <c r="F37" s="358"/>
      <c r="G37" s="365" t="str">
        <f>IF(UNJC0070_H_FREEWD_3="","",UNJC0070_H_FREEWD_3)</f>
        <v/>
      </c>
      <c r="H37" s="354"/>
      <c r="I37" s="354"/>
      <c r="J37" s="354"/>
      <c r="K37" s="354"/>
      <c r="L37" s="366" t="s">
        <v>2159</v>
      </c>
      <c r="M37" s="358"/>
    </row>
    <row r="38" spans="1:13" s="282" customFormat="1" ht="16.5">
      <c r="A38" s="349"/>
      <c r="B38" s="308" t="s">
        <v>788</v>
      </c>
      <c r="C38" s="367" t="s">
        <v>2160</v>
      </c>
      <c r="D38" s="350"/>
      <c r="E38" s="350"/>
      <c r="F38" s="351">
        <v>1</v>
      </c>
      <c r="G38" s="368">
        <f>IF(UNJC0070_H_FREEWD_KBN="","",UNJC0070_H_FREEWD_KBN)</f>
        <v>1</v>
      </c>
      <c r="H38" s="349"/>
      <c r="I38" s="349"/>
      <c r="J38" s="349"/>
      <c r="K38" s="349"/>
      <c r="L38" s="369">
        <v>1</v>
      </c>
      <c r="M38" s="351">
        <v>1</v>
      </c>
    </row>
    <row r="39" spans="1:13" s="282" customFormat="1" ht="19.5" thickBot="1">
      <c r="A39" s="349"/>
      <c r="B39" s="403"/>
      <c r="C39" s="377"/>
      <c r="D39" s="404"/>
      <c r="E39" s="404"/>
      <c r="F39" s="405"/>
      <c r="G39" s="406"/>
    </row>
    <row r="40" spans="1:13" ht="19.5" thickBot="1">
      <c r="A40" s="407"/>
      <c r="B40" s="408"/>
      <c r="C40" s="409"/>
      <c r="D40" s="410"/>
      <c r="E40" s="410"/>
      <c r="F40" s="411"/>
      <c r="G40" s="412"/>
      <c r="H40" s="412"/>
      <c r="I40" s="412"/>
      <c r="J40" s="412"/>
      <c r="K40" s="412"/>
    </row>
    <row r="41" spans="1:13" ht="168" customHeight="1">
      <c r="A41" s="349"/>
      <c r="B41" s="413" t="s">
        <v>3617</v>
      </c>
      <c r="C41" s="414" t="s">
        <v>2161</v>
      </c>
      <c r="D41" s="1316" t="str">
        <f>E44&amp;E46&amp;E47&amp;E60&amp;E61&amp;E62&amp;E63&amp;E64&amp;E65&amp;E66&amp;E67&amp;E68&amp;E72&amp;E73&amp;E74&amp;E75&amp;E76&amp;E77&amp;E78</f>
        <v>SELECT *
 FROM V_BUN_LABEL_BAT_LIST
 WHERE 1=1
    AND (1!=1 
        )
    AND(
        1=1
     )</v>
      </c>
      <c r="E41" s="1316"/>
      <c r="F41" s="1316"/>
      <c r="G41" s="416" t="s">
        <v>3611</v>
      </c>
      <c r="H41" s="417" t="s">
        <v>2162</v>
      </c>
      <c r="I41" s="1317" t="str">
        <f>J42&amp;J43&amp;UNJC0070_SQL_SORT&amp;J45</f>
        <v>SELECT W_BUN_LABEL_BAT.SELECT_FLG
      ,W_BUN_LABEL_BAT.W_ROW
      ,W_BUN_LABEL_BAT.BUNSEKI_STS_MEI
      ,W_BUN_LABEL_BAT.JUCHU_KBN_MEI
      ,W_BUN_LABEL_BAT.JURI_NO
      ,W_BUN_LABEL_BAT.JURI_EDA_NO
      ,W_BUN_LABEL_BAT.KEISHIKI_KBN_MEI
      ,W_BUN_LABEL_BAT.EIGYO_TANTO_MEI
      ,W_BUN_LABEL_BAT.NYURYOKUSHA_MEI
      ,W_BUN_LABEL_BAT.IRAI_DATE
      ,W_BUN_LABEL_BAT.CHUKAN_DATE_1
      ,W_BUN_LABEL_BAT.CHUKAN_DATE_2
      ,W_BUN_LABEL_BAT.CHUKAN_DATE_3
      ,W_BUN_LABEL_BAT.KANSEI_DATE
      ,W_BUN_LABEL_BAT.NOHIN_DATE
      ,W_BUN_LABEL_BAT.ATENA_CD
      ,W_BUN_LABEL_BAT.ATENA
      ,W_BUN_LABEL_BAT.SEIKYU_CD
      ,W_BUN_LABEL_BAT.SEIKYU_MEI
      ,W_BUN_LABEL_BAT.MITSU_NO
      ,W_BUN_LABEL_BAT.SHIRYO_SHURUI
      ,W_BUN_LABEL_BAT.SHIRYO_MEI
      ,W_BUN_LABEL_BAT.NYURYOKU_DATETIME
      ,W_BUN_LABEL_BAT.BUNSEKI_STS
      ,W_BUN_LABEL_BAT.JUCHU_KBN
      ,W_BUN_LABEL_BAT.KEISHIKI_KBN
      ,W_BUN_LABEL_BAT.EIGYO_TANTO_CD
      ,W_BUN_LABEL_BAT.NYURYOKUSHA_CD
      ,W_BUN_LABEL_BAT.FREEWD
  FROM W_BUN_LABEL_BAT
WHERE (1 = 1)   AND W_BUN_LABEL_BAT.W_USER_ID = ''
   AND W_BUN_LABEL_BAT.W_SERIAL = ''
  ORDER BY W_BUN_LABEL_BAT.JURI_NO,W_BUN_LABEL_BAT.JURI_EDA_NO ASC
  OFFSET 0*50 ROWS
 FETCH NEXT 50 ROWS ONLY</v>
      </c>
      <c r="J41" s="1317"/>
      <c r="K41" s="1317"/>
      <c r="L41" s="653" t="str">
        <f>L42&amp;J43&amp;UNJC0070_SQL_SORT&amp;J45</f>
        <v>SELECT W_BUN_LABEL_BAT.W_USER_ID
      ,W_BUN_LABEL_BAT.W_SERIAL
      ,W_BUN_LABEL_BAT.W_ROW
      ,W_BUN_LABEL_BAT.W_MODE
      ,W_BUN_LABEL_BAT.SELECT_FLG
      ,W_BUN_LABEL_BAT.BUNSEKI_STS_MEI
      ,W_BUN_LABEL_BAT.JUCHU_KBN_MEI
      ,W_BUN_LABEL_BAT.JURI_NO
      ,W_BUN_LABEL_BAT.JURI_EDA_NO
      ,W_BUN_LABEL_BAT.KEISHIKI_KBN_MEI
      ,W_BUN_LABEL_BAT.EIGYO_TANTO_MEI
      ,W_BUN_LABEL_BAT.NYURYOKUSHA_MEI
      ,W_BUN_LABEL_BAT.IRAI_DATE
      ,W_BUN_LABEL_BAT.CHUKAN_DATE_1
      ,W_BUN_LABEL_BAT.CHUKAN_DATE_2
      ,W_BUN_LABEL_BAT.CHUKAN_DATE_3
      ,W_BUN_LABEL_BAT.KANSEI_DATE
      ,W_BUN_LABEL_BAT.NOHIN_DATE
      ,W_BUN_LABEL_BAT.ATENA_CD
      ,W_BUN_LABEL_BAT.ATENA
      ,W_BUN_LABEL_BAT.SEIKYU_CD
      ,W_BUN_LABEL_BAT.SEIKYU_MEI
      ,W_BUN_LABEL_BAT.MITSU_NO
      ,W_BUN_LABEL_BAT.SHIRYO_SHURUI
      ,W_BUN_LABEL_BAT.SHIRYO_MEI
      ,W_BUN_LABEL_BAT.NYURYOKU_DATETIME
      ,W_BUN_LABEL_BAT.BUNSEKI_STS
      ,W_BUN_LABEL_BAT.JUCHU_KBN
      ,W_BUN_LABEL_BAT.KEISHIKI_KBN
      ,W_BUN_LABEL_BAT.EIGYO_TANTO_CD
      ,W_BUN_LABEL_BAT.NYURYOKUSHA_CD
      ,W_BUN_LABEL_BAT.FREEWD
      ,W_BUN_LABEL_BAT.DBS_STATUS
      ,W_BUN_LABEL_BAT.DBS_CREATE_USER
      ,W_BUN_LABEL_BAT.DBS_CREATE_DATE
      ,W_BUN_LABEL_BAT.DBS_UPDATE_USER
      ,W_BUN_LABEL_BAT.DBS_UPDATE_DATE
  FROM W_BUN_LABEL_BAT
WHERE (1 = 1)
   AND W_BUN_LABEL_BAT.W_USER_ID = ''
   AND W_BUN_LABEL_BAT.W_SERIAL = ''
  ORDER BY W_BUN_LABEL_BAT.JURI_NO,W_BUN_LABEL_BAT.JURI_EDA_NO ASC
  OFFSET 0*50 ROWS
 FETCH NEXT 50 ROWS ONLY</v>
      </c>
    </row>
    <row r="42" spans="1:13" ht="107.25" customHeight="1">
      <c r="A42" s="254"/>
      <c r="B42" s="416" t="s">
        <v>3616</v>
      </c>
      <c r="C42" s="417" t="s">
        <v>2163</v>
      </c>
      <c r="D42" s="1317" t="str">
        <f>E45&amp;E46&amp;E47&amp;E60&amp;E62&amp;E63&amp;E64&amp;E65&amp;E66&amp;E67&amp;E68&amp;E72&amp;E73&amp;E74&amp;E75&amp;E76&amp;E77&amp;E78</f>
        <v>SELECT COUNT(*) AS CNT
 FROM V_BUN_LABEL_BAT_LIST
 WHERE 1=1    AND (1!=1 
        )
    AND(
        1=1
     )</v>
      </c>
      <c r="E42" s="1317"/>
      <c r="F42" s="1317"/>
      <c r="G42" s="420" t="s">
        <v>3612</v>
      </c>
      <c r="H42" s="417"/>
      <c r="I42" s="419"/>
      <c r="J42" s="1721" t="s">
        <v>2750</v>
      </c>
      <c r="K42" s="1721"/>
      <c r="L42" s="676" t="s">
        <v>2751</v>
      </c>
    </row>
    <row r="43" spans="1:13" ht="27">
      <c r="A43" s="254"/>
      <c r="B43" s="654" t="s">
        <v>3615</v>
      </c>
      <c r="C43" s="655" t="s">
        <v>2164</v>
      </c>
      <c r="D43" s="1722" t="str">
        <f>E44&amp;E46&amp;E47&amp;E60&amp;E62&amp;E63&amp;E64&amp;E65&amp;E67&amp;E68&amp;E72&amp;E73&amp;E74&amp;E75&amp;E76&amp;E77&amp;E78&amp;J44</f>
        <v>SELECT *
 FROM V_BUN_LABEL_BAT_LIST
 WHERE 1=1
    AND (1!=1 
        )
    AND(
        1=1
     )
  ORDER BY W_BUN_LABEL_BAT.JURI_NO,W_BUN_LABEL_BAT.JURI_EDA_NO ASC</v>
      </c>
      <c r="E43" s="1722"/>
      <c r="F43" s="1722"/>
      <c r="G43" s="420" t="s">
        <v>2000</v>
      </c>
      <c r="H43" s="417"/>
      <c r="I43" s="419"/>
      <c r="J43" s="1721" t="str">
        <f>"   AND W_BUN_LABEL_BAT.W_USER_ID = '"&amp;UNJC0070_IF_SAVE_W_USER_ID&amp;"'
   AND W_BUN_LABEL_BAT.W_SERIAL = '"&amp;UNJC0070_IF_SAVE_W_SERIAL&amp;"'
"</f>
        <v xml:space="preserve">   AND W_BUN_LABEL_BAT.W_USER_ID = ''
   AND W_BUN_LABEL_BAT.W_SERIAL = ''
</v>
      </c>
      <c r="K43" s="1721"/>
    </row>
    <row r="44" spans="1:13" ht="65.25" customHeight="1">
      <c r="A44" s="254"/>
      <c r="B44" s="416" t="s">
        <v>3614</v>
      </c>
      <c r="C44" s="417"/>
      <c r="D44" s="419"/>
      <c r="E44" s="1318" t="s">
        <v>2165</v>
      </c>
      <c r="F44" s="1318"/>
      <c r="G44" s="455" t="s">
        <v>985</v>
      </c>
      <c r="H44" s="64" t="s">
        <v>2166</v>
      </c>
      <c r="I44" s="419"/>
      <c r="J44" s="1719" t="s">
        <v>2167</v>
      </c>
      <c r="K44" s="1719"/>
    </row>
    <row r="45" spans="1:13" ht="65.25" customHeight="1" thickBot="1">
      <c r="A45" s="254"/>
      <c r="B45" s="420" t="s">
        <v>3613</v>
      </c>
      <c r="C45" s="417"/>
      <c r="D45" s="419"/>
      <c r="E45" s="1318" t="s">
        <v>2168</v>
      </c>
      <c r="F45" s="1318"/>
      <c r="G45" s="457" t="s">
        <v>987</v>
      </c>
      <c r="H45" s="458"/>
      <c r="I45" s="425"/>
      <c r="J45" s="1720" t="str">
        <f xml:space="preserve"> "
  OFFSET "&amp;(UNJC0070_B_PAGE_NO-1)&amp;"*"&amp;UNJC0070_B_CTRL_HYOJI_GYO_SU&amp;" ROWS
 FETCH NEXT "&amp;UNJC0070_B_CTRL_HYOJI_GYO_SU&amp;" ROWS ONLY"</f>
        <v xml:space="preserve">
  OFFSET 0*50 ROWS
 FETCH NEXT 50 ROWS ONLY</v>
      </c>
      <c r="K45" s="1720"/>
    </row>
    <row r="46" spans="1:13" ht="59.25" customHeight="1">
      <c r="A46" s="254"/>
      <c r="B46" s="421" t="s">
        <v>943</v>
      </c>
      <c r="C46" s="417"/>
      <c r="D46" s="422"/>
      <c r="E46" s="1318" t="str">
        <f>IF(UNJC0070_SQL_HOKOKU_KEISHIKI_CD="","","
    AND V_BUN_LABEL_BAT_LIST.KEISHIKI_KBN = ''"&amp;UNJC0070_SQL_HOKOKU_KEISHIKI_CD&amp;"''
")</f>
        <v/>
      </c>
      <c r="F46" s="1318"/>
      <c r="G46" s="656" t="s">
        <v>988</v>
      </c>
      <c r="H46" s="462" t="s">
        <v>2169</v>
      </c>
      <c r="I46" s="1326" t="s">
        <v>2198</v>
      </c>
      <c r="J46" s="1326"/>
      <c r="K46" s="1326"/>
    </row>
    <row r="47" spans="1:13" ht="48.75" customHeight="1">
      <c r="A47" s="418"/>
      <c r="B47" s="421" t="s">
        <v>944</v>
      </c>
      <c r="C47" s="417"/>
      <c r="D47" s="419"/>
      <c r="E47" s="1318" t="str">
        <f>"    AND (1!=1 "&amp;F48&amp;F49&amp;F50&amp;F51&amp;F52&amp;F53&amp;F54&amp;F55&amp;F56&amp;F57&amp;F58&amp;F59 &amp;"
        )
"</f>
        <v xml:space="preserve">    AND (1!=1 
        )
</v>
      </c>
      <c r="F47" s="1318"/>
      <c r="G47" s="657" t="s">
        <v>3618</v>
      </c>
      <c r="H47" s="417" t="s">
        <v>2170</v>
      </c>
      <c r="I47" s="1317" t="s">
        <v>2195</v>
      </c>
      <c r="J47" s="1317"/>
      <c r="K47" s="1317"/>
    </row>
    <row r="48" spans="1:13" ht="15.75" customHeight="1">
      <c r="A48" s="418"/>
      <c r="B48" s="423" t="s">
        <v>945</v>
      </c>
      <c r="C48" s="424"/>
      <c r="D48" s="425"/>
      <c r="E48" s="426"/>
      <c r="F48" s="427" t="str">
        <f xml:space="preserve"> IF(UNJC0070_SQL_KAKUTEIMI_STS=FALSE,"","
        OR V_BUN_LABEL_BAT_LIST.BUNSEKI_STS =''1''")</f>
        <v/>
      </c>
      <c r="G48" s="418"/>
      <c r="H48" s="418"/>
      <c r="I48" s="418"/>
      <c r="J48" s="418"/>
      <c r="K48" s="418"/>
    </row>
    <row r="49" spans="1:11">
      <c r="A49" s="418"/>
      <c r="B49" s="423" t="s">
        <v>946</v>
      </c>
      <c r="C49" s="424"/>
      <c r="D49" s="425"/>
      <c r="E49" s="426"/>
      <c r="F49" s="427" t="str">
        <f xml:space="preserve"> IF(UNJC0070_SQL_UKETSUKE_STS=FALSE,"","
        OR V_BUN_LABEL_BAT_LIST.BUNSEKI_STS =''2''")</f>
        <v/>
      </c>
      <c r="G49" s="279" t="s">
        <v>2182</v>
      </c>
      <c r="H49" s="468" t="s">
        <v>2183</v>
      </c>
      <c r="I49" s="1738" t="str">
        <f>"SELECT V_BUN_JUCHU_LABEL_DATA.*
  FROM W_BUN_LABEL_BAT"&amp;"
  LEFT JOIN
       V_BUN_JUCHU_LABEL_DATA
    ON V_BUN_JUCHU_LABEL_DATA.JURI_NO     = W_BUN_LABEL_BAT.JURI_NO
   AND V_BUN_JUCHU_LABEL_DATA.JURI_EDA_NO = W_BUN_LABEL_BAT.JURI_EDA_NO
 WHERE W_BUN_LABEL_BAT.SELECT_FLG = 'True'
"&amp;J43</f>
        <v xml:space="preserve">SELECT V_BUN_JUCHU_LABEL_DATA.*
  FROM W_BUN_LABEL_BAT
  LEFT JOIN
       V_BUN_JUCHU_LABEL_DATA
    ON V_BUN_JUCHU_LABEL_DATA.JURI_NO     = W_BUN_LABEL_BAT.JURI_NO
   AND V_BUN_JUCHU_LABEL_DATA.JURI_EDA_NO = W_BUN_LABEL_BAT.JURI_EDA_NO
 WHERE W_BUN_LABEL_BAT.SELECT_FLG = 'True'
   AND W_BUN_LABEL_BAT.W_USER_ID = ''
   AND W_BUN_LABEL_BAT.W_SERIAL = ''
</v>
      </c>
      <c r="J49" s="1738"/>
      <c r="K49" s="1738"/>
    </row>
    <row r="50" spans="1:11" ht="15.75" customHeight="1">
      <c r="A50" s="418"/>
      <c r="B50" s="658" t="s">
        <v>948</v>
      </c>
      <c r="C50" s="429"/>
      <c r="D50" s="430"/>
      <c r="E50" s="431"/>
      <c r="F50" s="427" t="str">
        <f xml:space="preserve"> IF(UNJC0070_SQL_GIJUTSU_STS=FALSE,"","
        OR V_BUN_LABEL_BAT_LIST.BUNSEKI_STS =''4''")</f>
        <v/>
      </c>
      <c r="H50" s="678"/>
    </row>
    <row r="51" spans="1:11" ht="15.75" customHeight="1">
      <c r="A51" s="418"/>
      <c r="B51" s="428" t="s">
        <v>947</v>
      </c>
      <c r="C51" s="432"/>
      <c r="D51" s="433"/>
      <c r="E51" s="434"/>
      <c r="F51" s="427" t="str">
        <f xml:space="preserve"> IF(UNJC0070_SQL_CHUKAN_STS=FALSE,"","
        OR V_BUN_LABEL_BAT_LIST.BUNSEKI_STS =''3''")</f>
        <v/>
      </c>
    </row>
    <row r="52" spans="1:11" ht="15.75" customHeight="1">
      <c r="A52" s="418"/>
      <c r="B52" s="428" t="s">
        <v>949</v>
      </c>
      <c r="C52" s="432"/>
      <c r="D52" s="433"/>
      <c r="E52" s="434"/>
      <c r="F52" s="427" t="str">
        <f xml:space="preserve"> IF(UNJC0070_SQL_KAKUNIN2_STS=FALSE,"","
        OR V_BUN_LABEL_BAT_LIST.BUNSEKI_STS =''5''")</f>
        <v/>
      </c>
    </row>
    <row r="53" spans="1:11" ht="15.75" customHeight="1">
      <c r="A53" s="418"/>
      <c r="B53" s="428" t="s">
        <v>950</v>
      </c>
      <c r="C53" s="432"/>
      <c r="D53" s="433"/>
      <c r="E53" s="434"/>
      <c r="F53" s="427" t="str">
        <f xml:space="preserve"> IF(UNJC0070_SQL_SOKUHO_STS=FALSE,"","
        OR V_BUN_LABEL_BAT_LIST.BUNSEKI_STS =''6''")</f>
        <v/>
      </c>
    </row>
    <row r="54" spans="1:11" ht="15.75" customHeight="1">
      <c r="A54" s="418"/>
      <c r="B54" s="435" t="s">
        <v>951</v>
      </c>
      <c r="C54" s="436"/>
      <c r="D54" s="437"/>
      <c r="E54" s="438"/>
      <c r="F54" s="427" t="str">
        <f xml:space="preserve"> IF(UNJC0070_SQL_EIGYO_STS=FALSE,"","
        OR V_BUN_LABEL_BAT_LIST.BUNSEKI_STS =''7''")</f>
        <v/>
      </c>
    </row>
    <row r="55" spans="1:11" ht="15.75" customHeight="1">
      <c r="B55" s="439" t="s">
        <v>952</v>
      </c>
      <c r="D55" s="440"/>
      <c r="E55" s="441"/>
      <c r="F55" s="427" t="str">
        <f xml:space="preserve"> IF(UNJC0070_SQL_NOHIN_STS=FALSE,"","
        OR V_BUN_LABEL_BAT_LIST.BUNSEKI_STS =''8''")</f>
        <v/>
      </c>
    </row>
    <row r="56" spans="1:11" ht="15.75" customHeight="1">
      <c r="B56" s="439" t="s">
        <v>953</v>
      </c>
      <c r="D56" s="440"/>
      <c r="E56" s="441"/>
      <c r="F56" s="427" t="str">
        <f xml:space="preserve"> IF(UNJC0070_SQL_NOHIN_STS=FALSE,"","
        OR V_BUN_LABEL_BAT_LIST.BUNSEKI_STS =''9''")</f>
        <v/>
      </c>
    </row>
    <row r="57" spans="1:11" ht="15.75" customHeight="1">
      <c r="A57" s="278" t="s">
        <v>2171</v>
      </c>
      <c r="B57" s="439" t="s">
        <v>955</v>
      </c>
      <c r="D57" s="440"/>
      <c r="E57" s="441"/>
      <c r="F57" s="427" t="str">
        <f xml:space="preserve"> IF(UNJC0070_SQL_TEISEI_STS=FALSE,"","
        OR V_BUN_LABEL_BAT_LIST.BUNSEKI_STS =''10''")</f>
        <v/>
      </c>
    </row>
    <row r="58" spans="1:11" ht="15.75" customHeight="1">
      <c r="B58" s="439" t="s">
        <v>956</v>
      </c>
      <c r="D58" s="440"/>
      <c r="E58" s="441"/>
      <c r="F58" s="427" t="str">
        <f xml:space="preserve"> IF(UNJC0070_SQL_CHUDAN_STS=FALSE,"","
        OR V_BUN_LABEL_BAT_LIST.BUNSEKI_STS =''11''")</f>
        <v/>
      </c>
    </row>
    <row r="59" spans="1:11" ht="15.75" customHeight="1">
      <c r="B59" s="439" t="s">
        <v>957</v>
      </c>
      <c r="D59" s="440"/>
      <c r="E59" s="441"/>
      <c r="F59" s="427" t="str">
        <f xml:space="preserve"> IF(UNJC0070_SQL_CHUSHI_STS=FALSE,"","
        OR V_BUN_LABEL_BAT_LIST.BUNSEKI_STS =''12''")</f>
        <v/>
      </c>
    </row>
    <row r="60" spans="1:11" ht="15.75" customHeight="1">
      <c r="B60" s="421" t="s">
        <v>958</v>
      </c>
      <c r="C60" s="417"/>
      <c r="D60" s="422"/>
      <c r="E60" s="1319" t="str">
        <f>IF(UNJC0070_SQL_JURI_NO="","","
    AND V_BUN_LABEL_BAT_LIST.JURI_NO = ''" &amp;UNJC0070_SQL_JURI_NO &amp;"''")</f>
        <v/>
      </c>
      <c r="F60" s="1319"/>
    </row>
    <row r="61" spans="1:11" ht="15.75" customHeight="1">
      <c r="B61" s="421" t="s">
        <v>2172</v>
      </c>
      <c r="C61" s="417"/>
      <c r="D61" s="422"/>
      <c r="E61" s="1737" t="str">
        <f>IF(UNJC0070_SQL_EDA="","","
    AND V_BUN_LABEL_BAT_LIST.JURI_EDA_NO = ''" &amp;UNJC0070_SQL_EDA &amp;"''")</f>
        <v/>
      </c>
      <c r="F61" s="1737"/>
    </row>
    <row r="62" spans="1:11" ht="15.75" customHeight="1">
      <c r="B62" s="421" t="s">
        <v>959</v>
      </c>
      <c r="C62" s="417"/>
      <c r="D62" s="422"/>
      <c r="E62" s="1319" t="str">
        <f>IF(UNJC0070_SQL_NYURYOKUSHA_CD = "","","
    AND V_BUN_LABEL_BAT_LIST.NYURYOKUSHA_CD =''"
&amp;UNJC0070_SQL_NYURYOKUSHA_CD&amp;"''")</f>
        <v/>
      </c>
      <c r="F62" s="1319"/>
    </row>
    <row r="63" spans="1:11" ht="17.25" customHeight="1">
      <c r="B63" s="421" t="s">
        <v>960</v>
      </c>
      <c r="C63" s="417"/>
      <c r="D63" s="422"/>
      <c r="E63" s="1319" t="str">
        <f>IF(UNJC0070_SQL_EIGYO_TANTO_CD = "","","
    AND V_BUN_LABEL_BAT_LIST.EIGYO_TANTO_CD =''"
&amp;UNJC0070_SQL_EIGYO_TANTO_CD&amp;"''")</f>
        <v/>
      </c>
      <c r="F63" s="1319"/>
    </row>
    <row r="64" spans="1:11" ht="17.25" customHeight="1">
      <c r="B64" s="421" t="s">
        <v>961</v>
      </c>
      <c r="C64" s="417"/>
      <c r="D64" s="422"/>
      <c r="E64" s="1319" t="str">
        <f>IF(UNJC0070_SQL_MITSUMORI_NO="","",
  " AND V_BUN_LABEL_BAT_LIST.MITSU_NO = ''"&amp;UNJC0070_SQL_MITSUMORI_NO &amp;"'' ")</f>
        <v/>
      </c>
      <c r="F64" s="1319"/>
    </row>
    <row r="65" spans="1:11" ht="17.25" customHeight="1">
      <c r="B65" s="442" t="s">
        <v>962</v>
      </c>
      <c r="C65" s="418"/>
      <c r="D65" s="419"/>
      <c r="E65" s="1315" t="str">
        <f>IF(UNJC0070_SQL_BUNSEKIKUBUN_KBN="","","
    AND V_BUN_LABEL_BAT_LIST.JUCHU_KBN =''"
&amp;UNJC0070_SQL_BUNSEKIKUBUN_KBN &amp;"''")</f>
        <v/>
      </c>
      <c r="F65" s="1315"/>
    </row>
    <row r="66" spans="1:11" ht="17.25" customHeight="1">
      <c r="B66" s="675" t="s">
        <v>2011</v>
      </c>
      <c r="C66" s="418"/>
      <c r="D66" s="419"/>
      <c r="E66" s="1315" t="str">
        <f>IF(UNJC0070_SQL_NYURYOKU_DATE_START="","","
    AND V_BUN_LABEL_BAT_LIST.NYURYOKU_DATETIME &gt;= "&amp;"''"
&amp;UNJC0070_SQL_NYURYOKU_DATE_START&amp;" 00:00:00''  ")
&amp;IF(UNJC0070_SQL_NYURYOKU_DATE_END="","","
    AND V_BUN_LABEL_BAT_LIST.NYURYOKU_DATETIME &lt;= "&amp;"''"
&amp;UNJC0070_SQL_NYURYOKU_DATE_END &amp;" 23:59:59''")</f>
        <v/>
      </c>
      <c r="F66" s="1315"/>
    </row>
    <row r="67" spans="1:11" ht="16.5" customHeight="1">
      <c r="B67" s="442" t="s">
        <v>964</v>
      </c>
      <c r="C67" s="418"/>
      <c r="D67" s="419"/>
      <c r="E67" s="1319" t="str">
        <f>IF(UNJC0070_SQL_IRAI_DATE_START="","","
    AND V_BUN_LABEL_BAT_LIST.IRAI_DATE &gt;= "&amp;"''"
&amp;UNJC0070_SQL_IRAI_DATE_START&amp;"''  ")
&amp;IF(UNJC0070_SQL_IRAI_DATE_END="","","
    AND V_BUN_LABEL_BAT_LIST.IRAI_DATE &lt;= "&amp;"''"
&amp;UNJC0070_SQL_IRAI_DATE_END &amp;"''")</f>
        <v/>
      </c>
      <c r="F67" s="1319"/>
    </row>
    <row r="68" spans="1:11" ht="16.5" customHeight="1">
      <c r="A68" s="254"/>
      <c r="B68" s="442" t="s">
        <v>2012</v>
      </c>
      <c r="C68" s="418"/>
      <c r="D68" s="419"/>
      <c r="E68" s="1319" t="str">
        <f>IF(AND(UNJC0070_SQL_CHUKAN_DATE_START="",UNJC0070_SQL_CHUKAN_DATE_END=""),"","
    AND ( 1!=1
"&amp;F$69
&amp;""&amp;F70
&amp;""&amp;F71
&amp;"    )")</f>
        <v/>
      </c>
      <c r="F68" s="1319"/>
    </row>
    <row r="69" spans="1:11" ht="47.25" customHeight="1">
      <c r="A69" s="254"/>
      <c r="B69" s="442" t="s">
        <v>966</v>
      </c>
      <c r="C69" s="418"/>
      <c r="D69" s="419"/>
      <c r="F69" s="659" t="str">
        <f>"         OR( 1=1
"
&amp;IF(UNJC0070_SQL_CHUKAN_DATE_START="","","               AND V_BUN_LABEL_BAT_LIST.CHUKAN_DATE_1 &gt;= ''"&amp;UNJC0070_SQL_CHUKAN_DATE_START&amp;"''
")
&amp;IF(UNJC0070_SQL_CHUKAN_DATE_END="","","               AND V_BUN_LABEL_BAT_LIST.CHUKAN_DATE_1 &lt;= ''"&amp;UNJC0070_SQL_CHUKAN_DATE_END&amp;"''
"
)&amp;"          )
"</f>
        <v xml:space="preserve">         OR( 1=1
          )
</v>
      </c>
    </row>
    <row r="70" spans="1:11" ht="51" customHeight="1">
      <c r="A70" s="254"/>
      <c r="B70" s="442" t="s">
        <v>2173</v>
      </c>
      <c r="C70" s="418"/>
      <c r="D70" s="419"/>
      <c r="F70" s="659" t="str">
        <f>"         OR( 1=1
"
&amp;IF(UNJC0070_SQL_CHUKAN_DATE_START="","","               AND V_BUN_LABEL_BAT_LIST.CHUKAN_DATE_2 &gt;= ''"&amp;UNJC0070_SQL_CHUKAN_DATE_START&amp;"''
")
&amp;IF(UNJC0070_SQL_CHUKAN_DATE_END="","","               AND V_BUN_LABEL_BAT_LIST.CHUKAN_DATE_2 &lt;= ''"&amp;UNJC0070_SQL_CHUKAN_DATE_END&amp;"''
"
)&amp;"          )
"</f>
        <v xml:space="preserve">         OR( 1=1
          )
</v>
      </c>
      <c r="G70" s="443"/>
      <c r="H70" s="418"/>
      <c r="I70" s="418"/>
      <c r="J70" s="418"/>
      <c r="K70" s="418"/>
    </row>
    <row r="71" spans="1:11" ht="47.25" customHeight="1">
      <c r="A71" s="254"/>
      <c r="B71" s="442" t="s">
        <v>2174</v>
      </c>
      <c r="C71" s="418"/>
      <c r="D71" s="419"/>
      <c r="F71" s="659" t="str">
        <f>"         OR( 1=1
"
&amp;IF(UNJC0070_SQL_CHUKAN_DATE_START="","","               AND V_BUN_LABEL_BAT_LIST.CHUKAN_DATE_3 &gt;= ''"&amp;UNJC0070_SQL_CHUKAN_DATE_START&amp;"''
")
&amp;IF(UNJC0070_SQL_CHUKAN_DATE_END="","","               AND V_BUN_LABEL_BAT_LIST.CHUKAN_DATE_3 &lt;= ''"&amp;UNJC0070_SQL_CHUKAN_DATE_END&amp;"''
"
)&amp;"          )
"</f>
        <v xml:space="preserve">         OR( 1=1
          )
</v>
      </c>
      <c r="G71" s="443"/>
      <c r="H71" s="418"/>
      <c r="I71" s="418"/>
      <c r="J71" s="418"/>
      <c r="K71" s="418"/>
    </row>
    <row r="72" spans="1:11" ht="51.75" customHeight="1">
      <c r="B72" s="442" t="s">
        <v>969</v>
      </c>
      <c r="C72" s="418"/>
      <c r="D72" s="419"/>
      <c r="E72" s="1319" t="str">
        <f>IF(UNJC0070_SQL_KANSEI_DATE_START="","","
    AND V_BUN_LABEL_BAT_LIST.KANSEI_DATE &gt;= "&amp;"''"
&amp;UNJC0070_SQL_KANSEI_DATE_START&amp;"''  ")
&amp;IF(UNJC0070_SQL_KANSEI_DATE_END="","","
    AND V_BUN_LABEL_BAT_LIST.KANSEI_DATE &lt;= "&amp;"''"
&amp;UNJC0070_SQL_KANSEI_DATE_END &amp;"''  ")</f>
        <v/>
      </c>
      <c r="F72" s="1319"/>
      <c r="G72" s="443"/>
      <c r="H72" s="418"/>
      <c r="I72" s="418"/>
      <c r="J72" s="418"/>
      <c r="K72" s="418"/>
    </row>
    <row r="73" spans="1:11" ht="51" customHeight="1">
      <c r="A73" s="418"/>
      <c r="B73" s="442" t="s">
        <v>970</v>
      </c>
      <c r="C73" s="418"/>
      <c r="D73" s="419"/>
      <c r="E73" s="1319" t="str">
        <f>IF(UNJC0070_SQL_NOHIN_DATE_START="","","
    AND V_BUN_LABEL_BAT_LIST.NOHIN_DATE &gt;= "&amp;"''"
&amp;UNJC0070_SQL_NOHIN_DATE_START&amp;"''  ")
&amp;IF(UNJC0070_SQL_NOHIN_DATE_END="","","
    AND V_BUN_LABEL_BAT_LIST.NOHIN_DATE &lt;= "&amp;"''"
&amp;UNJC0070_SQL_NOHIN_DATE_END &amp;"''  ")</f>
        <v/>
      </c>
      <c r="F73" s="1319"/>
      <c r="G73" s="443"/>
      <c r="H73" s="418"/>
      <c r="I73" s="418"/>
      <c r="J73" s="418"/>
      <c r="K73" s="418"/>
    </row>
    <row r="74" spans="1:11" ht="31.5" customHeight="1">
      <c r="A74" s="418"/>
      <c r="B74" s="442" t="s">
        <v>971</v>
      </c>
      <c r="C74" s="418"/>
      <c r="D74" s="419"/>
      <c r="E74" s="1319" t="str">
        <f>IF(AND(UNJC0070_SQL_ATENA_CD="",UNJC0070_SQL_ATENA_MEI=""),"","
    AND (1!=1
"&amp;IF(UNJC0070_SQL_ATENA_CD="","","         OR  V_BUN_LABEL_BAT_LIST.ATENA_CD = "&amp;"''"&amp;UNJC0070_SQL_ATENA_CD&amp;"''")&amp;"
"&amp;IF(UNJC0070_SQL_ATENA_MEI="","","         OR  V_BUN_LABEL_BAT_LIST.ATENA LIKE "&amp;"''%"&amp;UNJC0070_SQL_ATENA_MEI&amp;"%''")&amp;"
    )")</f>
        <v/>
      </c>
      <c r="F74" s="1319"/>
      <c r="G74" s="418"/>
      <c r="H74" s="418"/>
      <c r="I74" s="418"/>
      <c r="J74" s="418"/>
      <c r="K74" s="418"/>
    </row>
    <row r="75" spans="1:11" ht="31.5" customHeight="1">
      <c r="A75" s="418"/>
      <c r="B75" s="421" t="s">
        <v>972</v>
      </c>
      <c r="C75" s="417"/>
      <c r="D75" s="422"/>
      <c r="E75" s="1319" t="str">
        <f>IF(UNJC0070_SQL_SEIKYUSAKI_CD = "","","
AND V_BUN_LABEL_BAT_LIST.SEIKYU_CD = " &amp;"''"
&amp;UNJC0070_SQL_SEIKYUSAKI_CD &amp;"''")</f>
        <v/>
      </c>
      <c r="F75" s="1319"/>
      <c r="G75" s="418"/>
      <c r="H75" s="418"/>
      <c r="I75" s="418"/>
      <c r="J75" s="418"/>
      <c r="K75" s="418"/>
    </row>
    <row r="76" spans="1:11" ht="60.75" customHeight="1">
      <c r="A76" s="418"/>
      <c r="B76" s="442" t="s">
        <v>973</v>
      </c>
      <c r="C76" s="418"/>
      <c r="D76" s="440"/>
      <c r="E76" s="1319" t="str">
        <f>IF(UNJC0070_SQL_SHIRYO_SHURUI = "","","
 AND V_BUN_LABEL_BAT_LIST.JURI_NO = ANY
     (
       SELECT T_BUN_JUCHU_B.JURI_NO
         FROM T_BUN_JUCHU_B
        WHERE T_BUN_JUCHU_B.SHIRYO_SHURUI LIKE ''%"
&amp;UNJC0070_SQL_SHIRYO_SHURUI &amp;"%''
     )  ")</f>
        <v/>
      </c>
      <c r="F76" s="1319"/>
      <c r="G76" s="418"/>
      <c r="H76" s="418"/>
      <c r="I76" s="418"/>
      <c r="J76" s="418"/>
      <c r="K76" s="418"/>
    </row>
    <row r="77" spans="1:11" ht="17.25" customHeight="1">
      <c r="A77" s="418"/>
      <c r="B77" s="445" t="s">
        <v>975</v>
      </c>
      <c r="C77" s="415"/>
      <c r="D77" s="446"/>
      <c r="E77" s="1321" t="str">
        <f>IF(UNJC0070_SQL_SHIRYO_MEI = "","","
 AND V_BUN_LABEL_BAT_LIST.JURI_NO = ANY
     (
       SELECT T_BUN_JUCHU_B.JURI_NO
         FROM T_BUN_JUCHU_B
        WHERE T_BUN_JUCHU_B.SHIRYO_MEI LIKE ''%"
&amp;UNJC0070_SQL_SHIRYO_MEI &amp;"%''
     )  ")</f>
        <v/>
      </c>
      <c r="F77" s="1321"/>
      <c r="G77" s="418"/>
      <c r="H77" s="418"/>
      <c r="I77" s="418"/>
      <c r="J77" s="418"/>
      <c r="K77" s="418"/>
    </row>
    <row r="78" spans="1:11" ht="81" customHeight="1">
      <c r="A78" s="418"/>
      <c r="B78" s="447" t="s">
        <v>976</v>
      </c>
      <c r="C78" s="417"/>
      <c r="D78" s="422"/>
      <c r="E78" s="1322" t="str">
        <f>"
    AND(
        " &amp;IF(AND(UNJC0070_SQL_FREEWD_1="",
                      UNJC0070_SQL_FREEWD_2="",
                      UNJC0070_SQL_FREEWD_3=""), "1=1",
                IF(UNJC0070_SQL_FREEWD_KBN=1,"1=1","1!=1") ) &amp;"
"
                &amp;UNJC0070_SQL_FREEWORD1
                &amp;UNJC0070_SQL_FREEWORD2
                &amp;UNJC0070_SQL_FREEWORD3 &amp;"
     )"</f>
        <v xml:space="preserve">
    AND(
        1=1
     )</v>
      </c>
      <c r="F78" s="1322"/>
      <c r="G78" s="418"/>
      <c r="H78" s="418"/>
      <c r="I78" s="418"/>
      <c r="J78" s="418"/>
      <c r="K78" s="418"/>
    </row>
    <row r="79" spans="1:11" ht="61.5" customHeight="1">
      <c r="A79" s="418"/>
      <c r="B79" s="447" t="s">
        <v>2175</v>
      </c>
      <c r="C79" s="417" t="s">
        <v>2176</v>
      </c>
      <c r="D79" s="422"/>
      <c r="E79" s="450"/>
      <c r="F79" s="451" t="str">
        <f xml:space="preserve">  IF(UNJC0070_SQL_FREEWD_1="", "",
  "      " &amp; $H$80&amp;"   V_BUN_LABEL_BAT_LIST.FREEWD "
 &amp;IF(UNJC0070_SQL_FREEWD_KBN=3," NOT ", "") &amp;" LIKE " &amp;"''%" &amp;UNJC0070_SQL_FREEWD_1 &amp;"%''  
")</f>
        <v/>
      </c>
      <c r="G79" s="418"/>
      <c r="H79" s="418"/>
      <c r="I79" s="418"/>
      <c r="J79" s="418"/>
      <c r="K79" s="418"/>
    </row>
    <row r="80" spans="1:11" ht="62.25" customHeight="1">
      <c r="A80" s="453"/>
      <c r="B80" s="447" t="s">
        <v>980</v>
      </c>
      <c r="C80" s="417" t="s">
        <v>2177</v>
      </c>
      <c r="D80" s="422"/>
      <c r="E80" s="450"/>
      <c r="F80" s="451" t="str">
        <f xml:space="preserve">  IF(UNJC0070_SQL_FREEWD_2="", "",
  "      " &amp; $H$80&amp;"   V_BUN_LABEL_BAT_LIST.FREEWD "
 &amp;IF(UNJC0070_SQL_FREEWD_KBN=3," NOT ", "") &amp;" LIKE " &amp;"''%" &amp;UNJC0070_SQL_FREEWD_2 &amp;"%''  
")</f>
        <v/>
      </c>
      <c r="G80" s="448" t="s">
        <v>977</v>
      </c>
      <c r="H80" s="449" t="str">
        <f>LOOKUP(UNJC0070_SQL_FREEWD_KBN,{1,2,3;"AND","OR","OR"})</f>
        <v>AND</v>
      </c>
      <c r="I80" s="418"/>
      <c r="J80" s="418"/>
      <c r="K80" s="418"/>
    </row>
    <row r="81" spans="1:11" ht="54.75" customHeight="1">
      <c r="A81" s="454"/>
      <c r="B81" s="447" t="s">
        <v>2178</v>
      </c>
      <c r="C81" s="417" t="s">
        <v>2179</v>
      </c>
      <c r="D81" s="422"/>
      <c r="E81" s="450"/>
      <c r="F81" s="451" t="str">
        <f xml:space="preserve">  IF(UNJC0070_SQL_FREEWD_3="", "",
  "      " &amp; $H$80&amp;"   V_BUN_LABEL_BAT_LIST.FREEWD "
 &amp;IF(UNJC0070_SQL_FREEWD_KBN=3," NOT ", "") &amp;" LIKE " &amp;"''%" &amp;UNJC0070_SQL_FREEWD_3 &amp;"%''  
")</f>
        <v/>
      </c>
      <c r="G81" s="448"/>
      <c r="H81" s="660"/>
      <c r="I81" s="418"/>
      <c r="J81" s="418"/>
      <c r="K81" s="418"/>
    </row>
    <row r="82" spans="1:11">
      <c r="A82" s="454"/>
      <c r="G82" s="418"/>
      <c r="H82" s="418"/>
      <c r="I82" s="418"/>
      <c r="J82" s="418"/>
      <c r="K82" s="418"/>
    </row>
    <row r="83" spans="1:11" ht="14.25" thickBot="1">
      <c r="A83" s="456"/>
      <c r="G83" s="459"/>
      <c r="H83" s="418"/>
      <c r="I83" s="418"/>
      <c r="J83" s="418"/>
      <c r="K83" s="418"/>
    </row>
    <row r="84" spans="1:11" s="460" customFormat="1" ht="78" customHeight="1">
      <c r="A84" s="661" t="s">
        <v>2180</v>
      </c>
      <c r="B84" s="662"/>
      <c r="C84" s="663"/>
      <c r="D84" s="664"/>
      <c r="E84" s="664"/>
      <c r="F84" s="664"/>
    </row>
    <row r="85" spans="1:11" s="418" customFormat="1" ht="78" customHeight="1">
      <c r="A85" s="278"/>
      <c r="B85" s="465" t="s">
        <v>994</v>
      </c>
      <c r="C85" s="468" t="s">
        <v>2181</v>
      </c>
      <c r="D85" s="1324" t="s">
        <v>2193</v>
      </c>
      <c r="E85" s="1325"/>
      <c r="F85" s="1325"/>
    </row>
    <row r="86" spans="1:11" ht="21" customHeight="1">
      <c r="B86" s="465"/>
      <c r="C86" s="468"/>
      <c r="D86" s="1717"/>
      <c r="E86" s="1718"/>
      <c r="F86" s="1718"/>
      <c r="G86" s="282"/>
    </row>
    <row r="87" spans="1:11" ht="47.25" customHeight="1"/>
  </sheetData>
  <mergeCells count="33">
    <mergeCell ref="D41:F41"/>
    <mergeCell ref="I41:K41"/>
    <mergeCell ref="D42:F42"/>
    <mergeCell ref="J42:K42"/>
    <mergeCell ref="D43:F43"/>
    <mergeCell ref="J43:K43"/>
    <mergeCell ref="E44:F44"/>
    <mergeCell ref="J44:K44"/>
    <mergeCell ref="E45:F45"/>
    <mergeCell ref="J45:K45"/>
    <mergeCell ref="E46:F46"/>
    <mergeCell ref="I46:K46"/>
    <mergeCell ref="E72:F72"/>
    <mergeCell ref="E47:F47"/>
    <mergeCell ref="I47:K47"/>
    <mergeCell ref="E60:F60"/>
    <mergeCell ref="E61:F61"/>
    <mergeCell ref="E62:F62"/>
    <mergeCell ref="E63:F63"/>
    <mergeCell ref="I49:K49"/>
    <mergeCell ref="E64:F64"/>
    <mergeCell ref="E65:F65"/>
    <mergeCell ref="E66:F66"/>
    <mergeCell ref="E67:F67"/>
    <mergeCell ref="E68:F68"/>
    <mergeCell ref="D85:F85"/>
    <mergeCell ref="D86:F86"/>
    <mergeCell ref="E73:F73"/>
    <mergeCell ref="E74:F74"/>
    <mergeCell ref="E75:F75"/>
    <mergeCell ref="E76:F76"/>
    <mergeCell ref="E77:F77"/>
    <mergeCell ref="E78:F78"/>
  </mergeCells>
  <phoneticPr fontId="2"/>
  <conditionalFormatting sqref="B85:B86">
    <cfRule type="duplicateValues" dxfId="142" priority="1"/>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C000"/>
  </sheetPr>
  <dimension ref="A1:AO30"/>
  <sheetViews>
    <sheetView showGridLines="0" showRowColHeaders="0" topLeftCell="K1" zoomScaleNormal="100" workbookViewId="0">
      <selection activeCell="O3" sqref="O3:R3"/>
    </sheetView>
  </sheetViews>
  <sheetFormatPr defaultColWidth="3.75" defaultRowHeight="18.75"/>
  <cols>
    <col min="1" max="2" width="3.75" style="691" hidden="1" customWidth="1"/>
    <col min="3" max="3" width="30.875" style="691" hidden="1" customWidth="1"/>
    <col min="4" max="4" width="12.75" style="691" hidden="1" customWidth="1"/>
    <col min="5" max="5" width="44.25" style="691" hidden="1" customWidth="1"/>
    <col min="6" max="6" width="2.625" style="691" hidden="1" customWidth="1"/>
    <col min="7" max="7" width="13.25" style="691" hidden="1" customWidth="1"/>
    <col min="8" max="8" width="12" style="691" hidden="1" customWidth="1"/>
    <col min="9" max="9" width="29.5" style="691" hidden="1" customWidth="1"/>
    <col min="10" max="10" width="3.75" style="691" hidden="1" customWidth="1"/>
    <col min="11" max="11" width="4.75" style="700" customWidth="1"/>
    <col min="12" max="12" width="2.75" style="700" customWidth="1"/>
    <col min="13" max="13" width="4.75" style="700" customWidth="1"/>
    <col min="14" max="14" width="2.75" style="700" customWidth="1"/>
    <col min="15" max="28" width="3.875" style="700" customWidth="1"/>
    <col min="29" max="29" width="3.75" style="700"/>
    <col min="30" max="33" width="3.75" style="700" customWidth="1"/>
    <col min="34" max="34" width="3.75" style="700"/>
    <col min="35" max="35" width="2.75" style="700" customWidth="1"/>
    <col min="36" max="36" width="4.75" style="700" customWidth="1"/>
    <col min="37" max="37" width="2.75" style="700" customWidth="1"/>
    <col min="38" max="38" width="4.75" style="700" customWidth="1"/>
    <col min="39" max="39" width="2.625" style="700" customWidth="1"/>
    <col min="40" max="16384" width="3.75" style="700"/>
  </cols>
  <sheetData>
    <row r="1" spans="1:41" s="1181" customFormat="1" ht="19.5">
      <c r="A1" s="691"/>
      <c r="B1" s="691"/>
      <c r="C1" s="691"/>
      <c r="D1" s="691"/>
      <c r="E1" s="691"/>
      <c r="F1" s="691"/>
      <c r="G1" s="691"/>
      <c r="H1" s="691"/>
      <c r="I1" s="691"/>
      <c r="J1" s="691"/>
      <c r="K1" s="73" t="s">
        <v>2218</v>
      </c>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row>
    <row r="2" spans="1:41">
      <c r="C2" s="1739" t="s">
        <v>2219</v>
      </c>
      <c r="D2" s="1739"/>
      <c r="G2" s="692" t="s">
        <v>2220</v>
      </c>
      <c r="H2" s="692" t="s">
        <v>2221</v>
      </c>
      <c r="I2" s="692"/>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row>
    <row r="3" spans="1:41">
      <c r="C3" s="579" t="s">
        <v>2222</v>
      </c>
      <c r="D3" s="579" t="s">
        <v>2223</v>
      </c>
      <c r="E3" s="579" t="s">
        <v>2224</v>
      </c>
      <c r="G3" s="693" t="s">
        <v>1691</v>
      </c>
      <c r="H3" s="693" t="s">
        <v>2225</v>
      </c>
      <c r="I3" s="693" t="s">
        <v>2224</v>
      </c>
      <c r="K3" s="207"/>
      <c r="L3" s="207"/>
      <c r="M3" s="207"/>
      <c r="N3" s="208" t="s">
        <v>82</v>
      </c>
      <c r="O3" s="1711"/>
      <c r="P3" s="1712"/>
      <c r="Q3" s="1712"/>
      <c r="R3" s="1713"/>
      <c r="S3" s="207"/>
      <c r="T3" s="207"/>
      <c r="U3" s="207"/>
      <c r="V3" s="207"/>
      <c r="W3" s="207"/>
      <c r="X3" s="207"/>
      <c r="Y3" s="207"/>
      <c r="Z3" s="207"/>
      <c r="AA3" s="207"/>
      <c r="AB3" s="207"/>
      <c r="AC3" s="208" t="s">
        <v>4429</v>
      </c>
      <c r="AD3" s="1261">
        <f ca="1">TODAY()</f>
        <v>43005</v>
      </c>
      <c r="AE3" s="1262"/>
      <c r="AF3" s="1262"/>
      <c r="AG3" s="1263"/>
      <c r="AH3" s="684" t="s">
        <v>26</v>
      </c>
      <c r="AI3" s="1261">
        <f ca="1">TODAY()</f>
        <v>43005</v>
      </c>
      <c r="AJ3" s="1262"/>
      <c r="AK3" s="1262"/>
      <c r="AL3" s="1263"/>
      <c r="AM3" s="207"/>
      <c r="AN3" s="207"/>
      <c r="AO3" s="207"/>
    </row>
    <row r="4" spans="1:41">
      <c r="C4" s="694" t="s">
        <v>82</v>
      </c>
      <c r="D4" s="694" t="s">
        <v>2226</v>
      </c>
      <c r="E4" s="694" t="s">
        <v>2227</v>
      </c>
      <c r="G4" s="694" t="s">
        <v>2228</v>
      </c>
      <c r="H4" s="695">
        <v>1</v>
      </c>
      <c r="I4" s="694" t="s">
        <v>2229</v>
      </c>
      <c r="K4" s="207"/>
      <c r="L4" s="207"/>
      <c r="M4" s="207"/>
      <c r="N4" s="208" t="s">
        <v>2038</v>
      </c>
      <c r="O4" s="204"/>
      <c r="P4" s="207"/>
      <c r="Q4" s="207"/>
      <c r="R4" s="207"/>
      <c r="S4" s="207"/>
      <c r="T4" s="207"/>
      <c r="U4" s="207"/>
      <c r="V4" s="207"/>
      <c r="W4" s="207"/>
      <c r="X4" s="207"/>
      <c r="Y4" s="207"/>
      <c r="Z4" s="207"/>
      <c r="AA4" s="207"/>
      <c r="AB4" s="207"/>
      <c r="AC4" s="208" t="s">
        <v>4430</v>
      </c>
      <c r="AD4" s="1261"/>
      <c r="AE4" s="1262"/>
      <c r="AF4" s="1262"/>
      <c r="AG4" s="1263"/>
      <c r="AH4" s="684" t="s">
        <v>26</v>
      </c>
      <c r="AI4" s="1261"/>
      <c r="AJ4" s="1262"/>
      <c r="AK4" s="1262"/>
      <c r="AL4" s="1263"/>
      <c r="AM4" s="207"/>
      <c r="AN4" s="207"/>
      <c r="AO4" s="207"/>
    </row>
    <row r="5" spans="1:41">
      <c r="C5" s="694" t="s">
        <v>2230</v>
      </c>
      <c r="D5" s="694"/>
      <c r="E5" s="694" t="s">
        <v>2231</v>
      </c>
      <c r="G5" s="694" t="s">
        <v>2232</v>
      </c>
      <c r="H5" s="696"/>
      <c r="I5" s="697" t="s">
        <v>2233</v>
      </c>
      <c r="K5" s="207"/>
      <c r="L5" s="207"/>
      <c r="M5" s="207"/>
      <c r="N5" s="208" t="s">
        <v>2234</v>
      </c>
      <c r="O5" s="1708"/>
      <c r="P5" s="1740"/>
      <c r="Q5" s="1740"/>
      <c r="R5" s="1741"/>
      <c r="S5" s="207"/>
      <c r="T5" s="207"/>
      <c r="U5" s="207"/>
      <c r="V5" s="207"/>
      <c r="W5" s="207"/>
      <c r="X5" s="207"/>
      <c r="Y5" s="207"/>
      <c r="Z5" s="207"/>
      <c r="AA5" s="207"/>
      <c r="AB5" s="207"/>
      <c r="AC5" s="208" t="s">
        <v>4431</v>
      </c>
      <c r="AD5" s="1261"/>
      <c r="AE5" s="1262"/>
      <c r="AF5" s="1262"/>
      <c r="AG5" s="1263"/>
      <c r="AH5" s="684" t="s">
        <v>26</v>
      </c>
      <c r="AI5" s="1261"/>
      <c r="AJ5" s="1262"/>
      <c r="AK5" s="1262"/>
      <c r="AL5" s="1263"/>
      <c r="AM5" s="207"/>
      <c r="AN5" s="207"/>
      <c r="AO5" s="207"/>
    </row>
    <row r="6" spans="1:41">
      <c r="C6" s="694" t="s">
        <v>2232</v>
      </c>
      <c r="D6" s="694"/>
      <c r="E6" s="694" t="s">
        <v>2235</v>
      </c>
      <c r="G6" s="694" t="s">
        <v>97</v>
      </c>
      <c r="H6" s="696"/>
      <c r="I6" s="697" t="s">
        <v>2240</v>
      </c>
      <c r="K6" s="207"/>
      <c r="L6" s="207"/>
      <c r="M6" s="207"/>
      <c r="N6" s="208" t="s">
        <v>792</v>
      </c>
      <c r="O6" s="1338"/>
      <c r="P6" s="1742"/>
      <c r="Q6" s="1742"/>
      <c r="R6" s="1742"/>
      <c r="S6" s="1742"/>
      <c r="T6" s="1742"/>
      <c r="U6" s="1742"/>
      <c r="V6" s="1743"/>
      <c r="W6" s="207"/>
      <c r="X6" s="207"/>
      <c r="Y6" s="207"/>
      <c r="Z6" s="207"/>
      <c r="AA6" s="207"/>
      <c r="AB6" s="207"/>
      <c r="AC6" s="208" t="s">
        <v>4433</v>
      </c>
      <c r="AD6" s="1261"/>
      <c r="AE6" s="1262"/>
      <c r="AF6" s="1262"/>
      <c r="AG6" s="1263"/>
      <c r="AH6" s="684" t="s">
        <v>26</v>
      </c>
      <c r="AI6" s="1261"/>
      <c r="AJ6" s="1262"/>
      <c r="AK6" s="1262"/>
      <c r="AL6" s="1263"/>
      <c r="AM6" s="207"/>
      <c r="AN6" s="207"/>
      <c r="AO6" s="207"/>
    </row>
    <row r="7" spans="1:41">
      <c r="C7" s="698" t="s">
        <v>2238</v>
      </c>
      <c r="D7" s="698" t="s">
        <v>2237</v>
      </c>
      <c r="E7" s="698" t="s">
        <v>2239</v>
      </c>
      <c r="G7" s="694" t="s">
        <v>3583</v>
      </c>
      <c r="H7" s="958"/>
      <c r="I7" s="694" t="s">
        <v>3584</v>
      </c>
      <c r="K7" s="207"/>
      <c r="L7" s="207"/>
      <c r="M7" s="207"/>
      <c r="N7" s="208" t="s">
        <v>4451</v>
      </c>
      <c r="O7" s="1290"/>
      <c r="P7" s="1746"/>
      <c r="Q7" s="1746"/>
      <c r="R7" s="1747"/>
      <c r="S7" s="1748" t="str">
        <f>IFERROR(IF(UNJC0180_H_BUNSEKI_HOHO="","",INDEX(UNJC_BUNSEKI_HOHO_IF_LIST,MATCH(UNJC0180_H_BUNSEKI_HOHO,UNJC_BUNSEKI_HOHO_IF_LIST2,0),2)),"")</f>
        <v/>
      </c>
      <c r="T7" s="1749"/>
      <c r="U7" s="1749"/>
      <c r="V7" s="1749"/>
      <c r="W7" s="1749"/>
      <c r="X7" s="1749"/>
      <c r="Y7" s="1750"/>
      <c r="Z7" s="207"/>
      <c r="AA7" s="207"/>
      <c r="AB7" s="207"/>
      <c r="AC7" s="208" t="s">
        <v>4411</v>
      </c>
      <c r="AD7" s="1261"/>
      <c r="AE7" s="1262"/>
      <c r="AF7" s="1262"/>
      <c r="AG7" s="1263"/>
      <c r="AH7" s="684" t="s">
        <v>26</v>
      </c>
      <c r="AI7" s="1261"/>
      <c r="AJ7" s="1262"/>
      <c r="AK7" s="1262"/>
      <c r="AL7" s="1263"/>
      <c r="AM7" s="207"/>
      <c r="AN7" s="207"/>
      <c r="AO7" s="207"/>
    </row>
    <row r="8" spans="1:41">
      <c r="C8" s="698" t="s">
        <v>1114</v>
      </c>
      <c r="D8" s="698"/>
      <c r="E8" s="698" t="s">
        <v>2242</v>
      </c>
      <c r="G8" s="694" t="s">
        <v>4</v>
      </c>
      <c r="H8" s="694"/>
      <c r="I8" s="694" t="s">
        <v>2243</v>
      </c>
      <c r="K8" s="207"/>
      <c r="L8" s="207"/>
      <c r="M8" s="207"/>
      <c r="N8" s="207"/>
      <c r="O8" s="207"/>
      <c r="P8" s="207"/>
      <c r="Q8" s="207"/>
      <c r="R8" s="207"/>
      <c r="S8" s="207"/>
      <c r="T8" s="207"/>
      <c r="U8" s="207"/>
      <c r="V8" s="207"/>
      <c r="W8" s="207"/>
      <c r="X8" s="207"/>
      <c r="Y8" s="207"/>
      <c r="Z8" s="207"/>
      <c r="AA8" s="207"/>
      <c r="AB8" s="207"/>
      <c r="AC8" s="207"/>
      <c r="AD8" s="207"/>
      <c r="AE8" s="207"/>
      <c r="AF8" s="207"/>
      <c r="AG8" s="207"/>
      <c r="AH8" s="207"/>
      <c r="AI8" s="207"/>
      <c r="AJ8" s="207"/>
      <c r="AK8" s="207"/>
      <c r="AL8" s="207"/>
      <c r="AM8" s="207"/>
      <c r="AN8" s="207"/>
      <c r="AO8" s="207"/>
    </row>
    <row r="9" spans="1:41">
      <c r="C9" s="694" t="s">
        <v>1187</v>
      </c>
      <c r="D9" s="698" t="s">
        <v>2237</v>
      </c>
      <c r="E9" s="698" t="s">
        <v>2245</v>
      </c>
      <c r="G9" s="955"/>
      <c r="H9" s="955"/>
      <c r="I9" s="798"/>
      <c r="K9" s="207"/>
      <c r="L9" s="207"/>
      <c r="M9" s="207"/>
      <c r="N9" s="208" t="s">
        <v>2236</v>
      </c>
      <c r="O9" s="1701"/>
      <c r="P9" s="1702"/>
      <c r="Q9" s="1702"/>
      <c r="R9" s="1703"/>
      <c r="S9" s="1394" t="str">
        <f>IF(OR(UNJC0180_H_BUNSEKI_KOMOKU_CD="",UNJC0180_H_BUNSEKI_KOMOKU_MEI=""),"",UNJC0180_H_BUNSEKI_KOMOKU_MEI)</f>
        <v/>
      </c>
      <c r="T9" s="1744"/>
      <c r="U9" s="1744"/>
      <c r="V9" s="1744"/>
      <c r="W9" s="1744"/>
      <c r="X9" s="1744"/>
      <c r="Y9" s="1744"/>
      <c r="Z9" s="1744"/>
      <c r="AA9" s="1744"/>
      <c r="AB9" s="1744"/>
      <c r="AC9" s="1744"/>
      <c r="AD9" s="1744"/>
      <c r="AE9" s="1745"/>
      <c r="AF9" s="207"/>
      <c r="AG9" s="207"/>
      <c r="AH9" s="207"/>
      <c r="AI9" s="207"/>
      <c r="AJ9" s="207"/>
      <c r="AK9" s="207"/>
      <c r="AL9" s="207"/>
      <c r="AM9" s="207"/>
      <c r="AN9" s="207"/>
      <c r="AO9" s="207"/>
    </row>
    <row r="10" spans="1:41">
      <c r="C10" s="694" t="s">
        <v>1524</v>
      </c>
      <c r="D10" s="694" t="s">
        <v>2241</v>
      </c>
      <c r="E10" s="694" t="s">
        <v>2246</v>
      </c>
      <c r="K10" s="207"/>
      <c r="L10" s="207"/>
      <c r="M10" s="207"/>
      <c r="N10" s="208" t="s">
        <v>787</v>
      </c>
      <c r="O10" s="1751"/>
      <c r="P10" s="1752"/>
      <c r="Q10" s="1752"/>
      <c r="R10" s="1753"/>
      <c r="S10" s="1344"/>
      <c r="T10" s="1754"/>
      <c r="U10" s="1754"/>
      <c r="V10" s="1754"/>
      <c r="W10" s="1754"/>
      <c r="X10" s="1754"/>
      <c r="Y10" s="1754"/>
      <c r="Z10" s="1754"/>
      <c r="AA10" s="1754"/>
      <c r="AB10" s="1754"/>
      <c r="AC10" s="1754"/>
      <c r="AD10" s="1754"/>
      <c r="AE10" s="1755"/>
      <c r="AF10" s="207"/>
      <c r="AG10" s="207"/>
      <c r="AH10" s="207"/>
      <c r="AI10" s="207"/>
      <c r="AJ10" s="207"/>
      <c r="AK10" s="207"/>
      <c r="AL10" s="207"/>
      <c r="AM10" s="207"/>
      <c r="AN10" s="207"/>
      <c r="AO10" s="207"/>
    </row>
    <row r="11" spans="1:41">
      <c r="C11" s="694" t="s">
        <v>2244</v>
      </c>
      <c r="D11" s="694" t="s">
        <v>2237</v>
      </c>
      <c r="E11" s="694" t="s">
        <v>2248</v>
      </c>
      <c r="K11" s="207"/>
      <c r="L11" s="207"/>
      <c r="M11" s="207"/>
      <c r="N11" s="208" t="s">
        <v>68</v>
      </c>
      <c r="O11" s="1701"/>
      <c r="P11" s="1702"/>
      <c r="Q11" s="1702"/>
      <c r="R11" s="1703"/>
      <c r="S11" s="1394" t="str">
        <f>IF(OR(UNJC0180_H_SEIKYUSAKI_CD="",UNJC0180_H_SEIKYUSAKI_MEI=""),"",UNJC0180_H_SEIKYUSAKI_MEI)</f>
        <v/>
      </c>
      <c r="T11" s="1744"/>
      <c r="U11" s="1744"/>
      <c r="V11" s="1744"/>
      <c r="W11" s="1744"/>
      <c r="X11" s="1744"/>
      <c r="Y11" s="1744"/>
      <c r="Z11" s="1744"/>
      <c r="AA11" s="1744"/>
      <c r="AB11" s="1744"/>
      <c r="AC11" s="1744"/>
      <c r="AD11" s="1744"/>
      <c r="AE11" s="1745"/>
      <c r="AF11" s="207"/>
      <c r="AG11" s="207"/>
      <c r="AH11" s="207"/>
      <c r="AI11" s="207"/>
      <c r="AJ11" s="207"/>
      <c r="AK11" s="207"/>
      <c r="AL11" s="207"/>
      <c r="AM11" s="207"/>
      <c r="AN11" s="207"/>
      <c r="AO11" s="207"/>
    </row>
    <row r="12" spans="1:41">
      <c r="C12" s="694" t="s">
        <v>2249</v>
      </c>
      <c r="D12" s="699"/>
      <c r="E12" s="699" t="s">
        <v>2250</v>
      </c>
      <c r="K12" s="207"/>
      <c r="L12" s="207"/>
      <c r="M12" s="207"/>
      <c r="N12" s="208" t="s">
        <v>85</v>
      </c>
      <c r="O12" s="1708"/>
      <c r="P12" s="1740"/>
      <c r="Q12" s="1740"/>
      <c r="R12" s="1741"/>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row>
    <row r="13" spans="1:41">
      <c r="C13" s="694" t="s">
        <v>2251</v>
      </c>
      <c r="D13" s="699"/>
      <c r="E13" s="699" t="s">
        <v>2252</v>
      </c>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row>
    <row r="14" spans="1:41">
      <c r="C14" s="694" t="s">
        <v>2253</v>
      </c>
      <c r="D14" s="699"/>
      <c r="E14" s="699" t="s">
        <v>2254</v>
      </c>
      <c r="G14" s="694" t="s">
        <v>3197</v>
      </c>
      <c r="H14" s="694"/>
      <c r="I14" s="694" t="s">
        <v>3795</v>
      </c>
      <c r="K14" s="207"/>
      <c r="L14" s="207"/>
      <c r="M14" s="207"/>
      <c r="N14" s="208" t="s">
        <v>39</v>
      </c>
      <c r="O14" s="1695"/>
      <c r="P14" s="1696"/>
      <c r="Q14" s="1696"/>
      <c r="R14" s="1697"/>
      <c r="S14" s="77" t="str">
        <f>IF(UNJC0180_H_FREEWD_KBN=1, "AND",IF(UNJC0180_H_FREEWD_KBN=2,"OR","NAND"))</f>
        <v>AND</v>
      </c>
      <c r="T14" s="1695"/>
      <c r="U14" s="1696"/>
      <c r="V14" s="1696"/>
      <c r="W14" s="1697"/>
      <c r="X14" s="77" t="str">
        <f>IF(UNJC0180_H_FREEWD_KBN=1, "AND",IF(UNJC0180_H_FREEWD_KBN=2,"OR","NAND"))</f>
        <v>AND</v>
      </c>
      <c r="Y14" s="1695"/>
      <c r="Z14" s="1696"/>
      <c r="AA14" s="1696"/>
      <c r="AB14" s="1697"/>
      <c r="AC14" s="207"/>
      <c r="AD14" s="207"/>
      <c r="AE14" s="207"/>
      <c r="AF14" s="207"/>
      <c r="AG14" s="207"/>
      <c r="AH14" s="207"/>
      <c r="AI14" s="207"/>
      <c r="AJ14" s="207"/>
      <c r="AK14" s="207"/>
      <c r="AL14" s="207"/>
      <c r="AM14" s="207"/>
      <c r="AN14" s="207"/>
      <c r="AO14" s="207"/>
    </row>
    <row r="15" spans="1:41">
      <c r="C15" s="694" t="s">
        <v>2255</v>
      </c>
      <c r="D15" s="699"/>
      <c r="E15" s="699" t="s">
        <v>2256</v>
      </c>
      <c r="G15" s="694" t="s">
        <v>2257</v>
      </c>
      <c r="H15" s="694" t="str">
        <f>ADDRESS(ROW(A1),COLUMN(A1))&amp;":"&amp;ADDRESS(ROW(J1),COLUMN(J1))</f>
        <v>$A$1:$J$1</v>
      </c>
      <c r="I15" s="694" t="s">
        <v>2258</v>
      </c>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7"/>
      <c r="AI15" s="207"/>
      <c r="AJ15" s="207"/>
      <c r="AK15" s="207"/>
      <c r="AL15" s="207"/>
      <c r="AM15" s="207"/>
      <c r="AN15" s="207"/>
      <c r="AO15" s="207"/>
    </row>
    <row r="16" spans="1:41">
      <c r="C16" s="694" t="s">
        <v>2259</v>
      </c>
      <c r="D16" s="699"/>
      <c r="E16" s="699" t="s">
        <v>2260</v>
      </c>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7"/>
      <c r="AI16" s="207"/>
      <c r="AJ16" s="207"/>
      <c r="AK16" s="207"/>
      <c r="AL16" s="207"/>
      <c r="AM16" s="207"/>
      <c r="AN16" s="207"/>
      <c r="AO16" s="207"/>
    </row>
    <row r="17" spans="3:41">
      <c r="C17" s="694" t="s">
        <v>2261</v>
      </c>
      <c r="D17" s="699"/>
      <c r="E17" s="699" t="s">
        <v>2262</v>
      </c>
      <c r="K17" s="207"/>
      <c r="L17" s="207"/>
      <c r="M17" s="207"/>
      <c r="N17" s="207"/>
      <c r="O17" s="207"/>
      <c r="P17" s="207"/>
      <c r="Q17" s="207"/>
      <c r="R17" s="207"/>
      <c r="S17" s="207"/>
      <c r="T17" s="207"/>
      <c r="U17" s="207"/>
      <c r="V17" s="207"/>
      <c r="W17" s="207"/>
      <c r="X17" s="207"/>
      <c r="Y17" s="207"/>
      <c r="Z17" s="207"/>
      <c r="AA17" s="207"/>
      <c r="AB17" s="207"/>
      <c r="AC17" s="207"/>
      <c r="AD17" s="207"/>
      <c r="AE17" s="207"/>
      <c r="AF17" s="207"/>
      <c r="AG17" s="207"/>
      <c r="AH17" s="207"/>
      <c r="AI17" s="207"/>
      <c r="AJ17" s="207"/>
      <c r="AK17" s="207"/>
      <c r="AL17" s="207"/>
      <c r="AM17" s="207"/>
      <c r="AN17" s="207"/>
      <c r="AO17" s="207"/>
    </row>
    <row r="18" spans="3:41">
      <c r="C18" s="694" t="s">
        <v>2263</v>
      </c>
      <c r="D18" s="699"/>
      <c r="E18" s="699" t="s">
        <v>2264</v>
      </c>
      <c r="K18" s="207"/>
      <c r="L18" s="207"/>
      <c r="M18" s="207"/>
      <c r="N18" s="207"/>
      <c r="O18" s="207"/>
      <c r="P18" s="207"/>
      <c r="Q18" s="207"/>
      <c r="R18" s="207"/>
      <c r="S18" s="207"/>
      <c r="T18" s="207"/>
      <c r="U18" s="207"/>
      <c r="V18" s="207"/>
      <c r="W18" s="207"/>
      <c r="X18" s="207"/>
      <c r="Y18" s="207"/>
      <c r="Z18" s="207"/>
      <c r="AA18" s="207"/>
      <c r="AB18" s="207"/>
      <c r="AC18" s="207"/>
      <c r="AD18" s="207"/>
      <c r="AE18" s="207"/>
      <c r="AF18" s="207"/>
      <c r="AG18" s="207"/>
      <c r="AH18" s="207"/>
      <c r="AI18" s="207"/>
      <c r="AJ18" s="207"/>
      <c r="AK18" s="207"/>
      <c r="AL18" s="207"/>
      <c r="AM18" s="207"/>
      <c r="AN18" s="207"/>
      <c r="AO18" s="207"/>
    </row>
    <row r="19" spans="3:41">
      <c r="C19" s="694" t="s">
        <v>2265</v>
      </c>
      <c r="D19" s="699"/>
      <c r="E19" s="699" t="s">
        <v>2266</v>
      </c>
      <c r="K19" s="207"/>
      <c r="L19" s="207"/>
      <c r="M19" s="207"/>
      <c r="N19" s="207"/>
      <c r="O19" s="207"/>
      <c r="P19" s="207"/>
      <c r="Q19" s="207"/>
      <c r="R19" s="207"/>
      <c r="S19" s="207"/>
      <c r="T19" s="207"/>
      <c r="U19" s="207"/>
      <c r="V19" s="207"/>
      <c r="W19" s="207"/>
      <c r="X19" s="207"/>
      <c r="Y19" s="207"/>
      <c r="Z19" s="207"/>
      <c r="AA19" s="207"/>
      <c r="AB19" s="207"/>
      <c r="AC19" s="207"/>
      <c r="AD19" s="207"/>
      <c r="AE19" s="207"/>
      <c r="AF19" s="207"/>
      <c r="AG19" s="207"/>
      <c r="AH19" s="207"/>
      <c r="AI19" s="207"/>
      <c r="AJ19" s="207"/>
      <c r="AK19" s="207"/>
      <c r="AL19" s="207"/>
      <c r="AM19" s="207"/>
      <c r="AN19" s="207"/>
      <c r="AO19" s="207"/>
    </row>
    <row r="20" spans="3:41">
      <c r="C20" s="694" t="s">
        <v>2267</v>
      </c>
      <c r="D20" s="699"/>
      <c r="E20" s="699" t="s">
        <v>2268</v>
      </c>
      <c r="K20" s="207"/>
      <c r="L20" s="207"/>
      <c r="M20" s="207"/>
      <c r="N20" s="207"/>
      <c r="O20" s="207"/>
      <c r="P20" s="207"/>
      <c r="Q20" s="207"/>
      <c r="R20" s="207"/>
      <c r="S20" s="207"/>
      <c r="T20" s="207"/>
      <c r="U20" s="207"/>
      <c r="V20" s="207"/>
      <c r="W20" s="207"/>
      <c r="X20" s="207"/>
      <c r="Y20" s="207"/>
      <c r="Z20" s="207"/>
      <c r="AA20" s="207"/>
      <c r="AB20" s="207"/>
      <c r="AC20" s="207"/>
      <c r="AD20" s="207"/>
      <c r="AE20" s="207"/>
      <c r="AF20" s="207"/>
      <c r="AG20" s="207"/>
      <c r="AH20" s="207"/>
      <c r="AI20" s="207"/>
      <c r="AJ20" s="207"/>
      <c r="AK20" s="207"/>
      <c r="AL20" s="207"/>
      <c r="AM20" s="207"/>
      <c r="AN20" s="207"/>
      <c r="AO20" s="207"/>
    </row>
    <row r="21" spans="3:41">
      <c r="C21" s="694" t="s">
        <v>2269</v>
      </c>
      <c r="D21" s="699"/>
      <c r="E21" s="699" t="s">
        <v>2270</v>
      </c>
      <c r="K21" s="207"/>
      <c r="L21" s="207"/>
      <c r="M21" s="207"/>
      <c r="N21" s="207"/>
      <c r="O21" s="207"/>
      <c r="P21" s="207"/>
      <c r="Q21" s="207"/>
      <c r="R21" s="207"/>
      <c r="S21" s="207"/>
      <c r="T21" s="207"/>
      <c r="U21" s="207"/>
      <c r="V21" s="207"/>
      <c r="W21" s="207"/>
      <c r="X21" s="207"/>
      <c r="Y21" s="207"/>
      <c r="Z21" s="207"/>
      <c r="AA21" s="207"/>
      <c r="AB21" s="207"/>
      <c r="AC21" s="207"/>
      <c r="AD21" s="207"/>
      <c r="AE21" s="207"/>
      <c r="AF21" s="207"/>
      <c r="AG21" s="207"/>
      <c r="AH21" s="207"/>
      <c r="AI21" s="207"/>
      <c r="AJ21" s="207"/>
      <c r="AK21" s="207"/>
      <c r="AL21" s="207"/>
      <c r="AM21" s="207"/>
      <c r="AN21" s="207"/>
      <c r="AO21" s="207"/>
    </row>
    <row r="22" spans="3:41">
      <c r="C22" s="694" t="s">
        <v>2271</v>
      </c>
      <c r="D22" s="694" t="s">
        <v>2247</v>
      </c>
      <c r="E22" s="694" t="s">
        <v>2272</v>
      </c>
      <c r="K22" s="207"/>
      <c r="L22" s="207"/>
      <c r="M22" s="207"/>
      <c r="N22" s="207"/>
      <c r="O22" s="207"/>
      <c r="P22" s="207"/>
      <c r="Q22" s="207"/>
      <c r="R22" s="207"/>
      <c r="S22" s="207"/>
      <c r="T22" s="207"/>
      <c r="U22" s="207"/>
      <c r="V22" s="207"/>
      <c r="W22" s="207"/>
      <c r="X22" s="207"/>
      <c r="Y22" s="207"/>
      <c r="Z22" s="207"/>
      <c r="AA22" s="207"/>
      <c r="AB22" s="207"/>
      <c r="AC22" s="207"/>
      <c r="AD22" s="207"/>
      <c r="AE22" s="207"/>
      <c r="AF22" s="207"/>
      <c r="AG22" s="207"/>
      <c r="AH22" s="207"/>
      <c r="AI22" s="207"/>
      <c r="AJ22" s="207"/>
      <c r="AK22" s="207"/>
      <c r="AL22" s="207"/>
      <c r="AM22" s="207"/>
      <c r="AN22" s="207"/>
      <c r="AO22" s="207"/>
    </row>
    <row r="23" spans="3:41">
      <c r="C23" s="694" t="s">
        <v>1747</v>
      </c>
      <c r="D23" s="694" t="s">
        <v>2241</v>
      </c>
      <c r="E23" s="694" t="s">
        <v>2273</v>
      </c>
      <c r="K23" s="207"/>
      <c r="L23" s="207"/>
      <c r="M23" s="207"/>
      <c r="N23" s="207"/>
      <c r="O23" s="207"/>
      <c r="P23" s="207"/>
      <c r="Q23" s="207"/>
      <c r="R23" s="207"/>
      <c r="S23" s="207"/>
      <c r="T23" s="207"/>
      <c r="U23" s="207"/>
      <c r="V23" s="207"/>
      <c r="W23" s="207"/>
      <c r="X23" s="207"/>
      <c r="Y23" s="207"/>
      <c r="Z23" s="207"/>
      <c r="AA23" s="207"/>
      <c r="AB23" s="207"/>
      <c r="AC23" s="207"/>
      <c r="AD23" s="207"/>
      <c r="AE23" s="207"/>
      <c r="AF23" s="207"/>
      <c r="AG23" s="207"/>
      <c r="AH23" s="207"/>
      <c r="AI23" s="207"/>
      <c r="AJ23" s="207"/>
      <c r="AK23" s="207"/>
      <c r="AL23" s="207"/>
      <c r="AM23" s="207"/>
      <c r="AN23" s="207"/>
      <c r="AO23" s="207"/>
    </row>
    <row r="24" spans="3:41">
      <c r="C24" s="694" t="s">
        <v>3</v>
      </c>
      <c r="D24" s="694" t="s">
        <v>2247</v>
      </c>
      <c r="E24" s="694" t="s">
        <v>2274</v>
      </c>
      <c r="K24" s="207"/>
      <c r="L24" s="207"/>
      <c r="M24" s="207"/>
      <c r="N24" s="207"/>
      <c r="O24" s="207"/>
      <c r="P24" s="207"/>
      <c r="Q24" s="207"/>
      <c r="R24" s="207"/>
      <c r="S24" s="207"/>
      <c r="T24" s="207"/>
      <c r="U24" s="207"/>
      <c r="V24" s="207"/>
      <c r="W24" s="207"/>
      <c r="X24" s="207"/>
      <c r="Y24" s="207"/>
      <c r="Z24" s="207"/>
      <c r="AA24" s="207"/>
      <c r="AB24" s="207"/>
      <c r="AC24" s="207"/>
      <c r="AD24" s="207"/>
      <c r="AE24" s="207"/>
      <c r="AF24" s="207"/>
      <c r="AG24" s="207"/>
      <c r="AH24" s="207"/>
      <c r="AI24" s="207"/>
      <c r="AJ24" s="207"/>
      <c r="AK24" s="207"/>
      <c r="AL24" s="207"/>
      <c r="AM24" s="207"/>
      <c r="AN24" s="207"/>
      <c r="AO24" s="207"/>
    </row>
    <row r="25" spans="3:41">
      <c r="C25" s="694" t="s">
        <v>2275</v>
      </c>
      <c r="D25" s="694" t="s">
        <v>2241</v>
      </c>
      <c r="E25" s="694" t="s">
        <v>2276</v>
      </c>
      <c r="K25" s="207"/>
      <c r="L25" s="207"/>
      <c r="M25" s="207"/>
      <c r="N25" s="207"/>
      <c r="O25" s="207"/>
      <c r="P25" s="207"/>
      <c r="Q25" s="207"/>
      <c r="R25" s="207"/>
      <c r="S25" s="207"/>
      <c r="T25" s="207"/>
      <c r="U25" s="207"/>
      <c r="V25" s="207"/>
      <c r="W25" s="207"/>
      <c r="X25" s="207"/>
      <c r="Y25" s="207"/>
      <c r="Z25" s="207"/>
      <c r="AA25" s="207"/>
      <c r="AB25" s="207"/>
      <c r="AC25" s="207"/>
      <c r="AD25" s="207"/>
      <c r="AE25" s="207"/>
      <c r="AF25" s="207"/>
      <c r="AG25" s="207"/>
      <c r="AH25" s="207"/>
      <c r="AI25" s="207"/>
      <c r="AJ25" s="207"/>
      <c r="AK25" s="207"/>
      <c r="AL25" s="207"/>
      <c r="AM25" s="207"/>
      <c r="AN25" s="207"/>
      <c r="AO25" s="207"/>
    </row>
    <row r="26" spans="3:41">
      <c r="C26" s="694" t="s">
        <v>85</v>
      </c>
      <c r="D26" s="694"/>
      <c r="E26" s="694" t="s">
        <v>2277</v>
      </c>
      <c r="K26" s="207"/>
      <c r="L26" s="207"/>
      <c r="M26" s="207"/>
      <c r="N26" s="207"/>
      <c r="O26" s="207"/>
      <c r="P26" s="207"/>
      <c r="Q26" s="207"/>
      <c r="R26" s="207"/>
      <c r="S26" s="207"/>
      <c r="T26" s="207"/>
      <c r="U26" s="207"/>
      <c r="V26" s="207"/>
      <c r="W26" s="207"/>
      <c r="X26" s="207"/>
      <c r="Y26" s="207"/>
      <c r="Z26" s="207"/>
      <c r="AA26" s="207"/>
      <c r="AB26" s="207"/>
      <c r="AC26" s="207"/>
      <c r="AD26" s="207"/>
      <c r="AE26" s="207"/>
      <c r="AF26" s="207"/>
      <c r="AG26" s="207"/>
      <c r="AH26" s="207"/>
      <c r="AI26" s="207"/>
      <c r="AJ26" s="207"/>
      <c r="AK26" s="207"/>
      <c r="AL26" s="207"/>
      <c r="AM26" s="207"/>
      <c r="AN26" s="207"/>
      <c r="AO26" s="207"/>
    </row>
    <row r="27" spans="3:41">
      <c r="C27" s="698" t="s">
        <v>2278</v>
      </c>
      <c r="D27" s="698" t="s">
        <v>2279</v>
      </c>
      <c r="E27" s="698" t="s">
        <v>2280</v>
      </c>
      <c r="K27" s="207"/>
      <c r="L27" s="207"/>
      <c r="M27" s="207"/>
      <c r="N27" s="207"/>
      <c r="O27" s="207"/>
      <c r="P27" s="207"/>
      <c r="Q27" s="207"/>
      <c r="R27" s="207"/>
      <c r="S27" s="207"/>
      <c r="T27" s="207"/>
      <c r="U27" s="207"/>
      <c r="V27" s="207"/>
      <c r="W27" s="207"/>
      <c r="X27" s="207"/>
      <c r="Y27" s="207"/>
      <c r="Z27" s="207"/>
      <c r="AA27" s="207"/>
      <c r="AB27" s="207"/>
      <c r="AC27" s="207"/>
      <c r="AD27" s="207"/>
      <c r="AE27" s="207"/>
      <c r="AF27" s="207"/>
      <c r="AG27" s="207"/>
      <c r="AH27" s="207"/>
      <c r="AI27" s="207"/>
      <c r="AJ27" s="207"/>
      <c r="AK27" s="207"/>
      <c r="AL27" s="207"/>
      <c r="AM27" s="207"/>
      <c r="AN27" s="207"/>
      <c r="AO27" s="207"/>
    </row>
    <row r="28" spans="3:41">
      <c r="C28" s="694" t="s">
        <v>176</v>
      </c>
      <c r="D28" s="694"/>
      <c r="E28" s="694" t="s">
        <v>2281</v>
      </c>
      <c r="K28" s="207"/>
      <c r="L28" s="207"/>
      <c r="M28" s="207"/>
      <c r="N28" s="207"/>
      <c r="O28" s="207"/>
      <c r="P28" s="207"/>
      <c r="Q28" s="207"/>
      <c r="R28" s="207"/>
      <c r="S28" s="207"/>
      <c r="T28" s="207"/>
      <c r="U28" s="207"/>
      <c r="V28" s="207"/>
      <c r="W28" s="207"/>
      <c r="X28" s="207"/>
      <c r="Y28" s="207"/>
      <c r="Z28" s="207"/>
      <c r="AA28" s="207"/>
      <c r="AB28" s="207"/>
      <c r="AC28" s="207"/>
      <c r="AD28" s="207"/>
      <c r="AE28" s="207"/>
      <c r="AF28" s="207"/>
      <c r="AG28" s="207"/>
      <c r="AH28" s="207"/>
      <c r="AI28" s="207"/>
      <c r="AJ28" s="207"/>
      <c r="AK28" s="207"/>
      <c r="AL28" s="207"/>
      <c r="AM28" s="207"/>
      <c r="AN28" s="207"/>
      <c r="AO28" s="207"/>
    </row>
    <row r="29" spans="3:41">
      <c r="C29" s="694" t="s">
        <v>2282</v>
      </c>
      <c r="D29" s="694"/>
      <c r="E29" s="694" t="s">
        <v>2283</v>
      </c>
    </row>
    <row r="30" spans="3:41">
      <c r="C30" s="694" t="s">
        <v>2284</v>
      </c>
      <c r="D30" s="694"/>
      <c r="E30" s="694" t="s">
        <v>2285</v>
      </c>
    </row>
  </sheetData>
  <sheetProtection sheet="1" objects="1" scenarios="1" selectLockedCells="1"/>
  <dataConsolidate/>
  <mergeCells count="26">
    <mergeCell ref="O14:R14"/>
    <mergeCell ref="T14:W14"/>
    <mergeCell ref="Y14:AB14"/>
    <mergeCell ref="O10:R10"/>
    <mergeCell ref="S10:AE10"/>
    <mergeCell ref="O11:R11"/>
    <mergeCell ref="S11:AE11"/>
    <mergeCell ref="O12:R12"/>
    <mergeCell ref="O9:R9"/>
    <mergeCell ref="S9:AE9"/>
    <mergeCell ref="AD7:AG7"/>
    <mergeCell ref="AI7:AL7"/>
    <mergeCell ref="O7:R7"/>
    <mergeCell ref="S7:Y7"/>
    <mergeCell ref="O5:R5"/>
    <mergeCell ref="AD5:AG5"/>
    <mergeCell ref="AI5:AL5"/>
    <mergeCell ref="AD6:AG6"/>
    <mergeCell ref="AI6:AL6"/>
    <mergeCell ref="O6:V6"/>
    <mergeCell ref="C2:D2"/>
    <mergeCell ref="O3:R3"/>
    <mergeCell ref="AD3:AG3"/>
    <mergeCell ref="AI3:AL3"/>
    <mergeCell ref="AD4:AG4"/>
    <mergeCell ref="AI4:AL4"/>
  </mergeCells>
  <phoneticPr fontId="2"/>
  <dataValidations count="6">
    <dataValidation type="custom" allowBlank="1" showInputMessage="1" showErrorMessage="1" sqref="O3:R3">
      <formula1>AND(LEN(UNJC0180_H_JURI_NO)=LENB(UNJC0180_H_JURI_NO),LEN(UNJC0180_H_JURI_NO)=10)</formula1>
    </dataValidation>
    <dataValidation type="whole" allowBlank="1" showInputMessage="1" showErrorMessage="1" sqref="O4">
      <formula1>1</formula1>
      <formula2>99</formula2>
    </dataValidation>
    <dataValidation type="textLength" operator="lessThanOrEqual" allowBlank="1" showInputMessage="1" showErrorMessage="1" sqref="O6:V6">
      <formula1>20</formula1>
    </dataValidation>
    <dataValidation type="custom" allowBlank="1" showInputMessage="1" showErrorMessage="1" sqref="S10">
      <formula1>LEN(UNJC0180_H_ATENA)&lt;=25</formula1>
    </dataValidation>
    <dataValidation type="date" allowBlank="1" showInputMessage="1" showErrorMessage="1" sqref="AD3:AG3 AD4:AG4 AD5:AG5 AD6:AG6 AD7:AG7 AI7:AL7 AI6:AL6 AI5:AL5 AI4:AL4 AI3:AL3">
      <formula1>36526</formula1>
      <formula2>73415</formula2>
    </dataValidation>
    <dataValidation type="custom" allowBlank="1" showInputMessage="1" showErrorMessage="1" sqref="O7:R7">
      <formula1>AND(LEN(O7)=LENB(O7),LEN(O7)&lt;=9)</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049" r:id="rId4" name="UNJC0180_H_FREEWD_AND">
              <controlPr defaultSize="0" autoFill="0" autoLine="0" autoPict="0">
                <anchor moveWithCells="1">
                  <from>
                    <xdr:col>28</xdr:col>
                    <xdr:colOff>66675</xdr:colOff>
                    <xdr:row>12</xdr:row>
                    <xdr:rowOff>219075</xdr:rowOff>
                  </from>
                  <to>
                    <xdr:col>30</xdr:col>
                    <xdr:colOff>9525</xdr:colOff>
                    <xdr:row>13</xdr:row>
                    <xdr:rowOff>228600</xdr:rowOff>
                  </to>
                </anchor>
              </controlPr>
            </control>
          </mc:Choice>
        </mc:AlternateContent>
        <mc:AlternateContent xmlns:mc="http://schemas.openxmlformats.org/markup-compatibility/2006">
          <mc:Choice Requires="x14">
            <control shapeId="2050050" r:id="rId5" name="UNJC0180_H_FREEWD_OR">
              <controlPr defaultSize="0" autoFill="0" autoLine="0" autoPict="0">
                <anchor moveWithCells="1">
                  <from>
                    <xdr:col>29</xdr:col>
                    <xdr:colOff>276225</xdr:colOff>
                    <xdr:row>12</xdr:row>
                    <xdr:rowOff>219075</xdr:rowOff>
                  </from>
                  <to>
                    <xdr:col>31</xdr:col>
                    <xdr:colOff>152400</xdr:colOff>
                    <xdr:row>13</xdr:row>
                    <xdr:rowOff>228600</xdr:rowOff>
                  </to>
                </anchor>
              </controlPr>
            </control>
          </mc:Choice>
        </mc:AlternateContent>
        <mc:AlternateContent xmlns:mc="http://schemas.openxmlformats.org/markup-compatibility/2006">
          <mc:Choice Requires="x14">
            <control shapeId="2050051" r:id="rId6" name="UNJC0180_H_FREEWD_NAND">
              <controlPr defaultSize="0" autoFill="0" autoLine="0" autoPict="0">
                <anchor moveWithCells="1">
                  <from>
                    <xdr:col>31</xdr:col>
                    <xdr:colOff>133350</xdr:colOff>
                    <xdr:row>12</xdr:row>
                    <xdr:rowOff>219075</xdr:rowOff>
                  </from>
                  <to>
                    <xdr:col>33</xdr:col>
                    <xdr:colOff>123825</xdr:colOff>
                    <xdr:row>13</xdr:row>
                    <xdr:rowOff>228600</xdr:rowOff>
                  </to>
                </anchor>
              </controlPr>
            </control>
          </mc:Choice>
        </mc:AlternateContent>
        <mc:AlternateContent xmlns:mc="http://schemas.openxmlformats.org/markup-compatibility/2006">
          <mc:Choice Requires="x14">
            <control shapeId="2050052" r:id="rId7" name="Button 4">
              <controlPr defaultSize="0" print="0" autoFill="0" autoPict="0" macro="[0]!UNJC0180_SearchDataCopy">
                <anchor moveWithCells="1" sizeWithCells="1">
                  <from>
                    <xdr:col>2</xdr:col>
                    <xdr:colOff>85725</xdr:colOff>
                    <xdr:row>0</xdr:row>
                    <xdr:rowOff>57150</xdr:rowOff>
                  </from>
                  <to>
                    <xdr:col>2</xdr:col>
                    <xdr:colOff>1028700</xdr:colOff>
                    <xdr:row>1</xdr:row>
                    <xdr:rowOff>57150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C000"/>
  </sheetPr>
  <dimension ref="A1:AH34"/>
  <sheetViews>
    <sheetView showGridLines="0" showRowColHeaders="0" topLeftCell="F2" workbookViewId="0">
      <selection sqref="A1:E1 H1:P1 AF1"/>
    </sheetView>
  </sheetViews>
  <sheetFormatPr defaultColWidth="20.625" defaultRowHeight="16.5" customHeight="1"/>
  <cols>
    <col min="1" max="1" width="2.375" style="231" hidden="1" customWidth="1"/>
    <col min="2" max="3" width="21.75" style="231" hidden="1" customWidth="1"/>
    <col min="4" max="4" width="17.625" style="231" hidden="1" customWidth="1"/>
    <col min="5" max="5" width="2.625" style="231" hidden="1" customWidth="1"/>
    <col min="6" max="6" width="3.375" style="207" customWidth="1"/>
    <col min="7" max="7" width="4.75" style="927" bestFit="1" customWidth="1"/>
    <col min="8" max="8" width="20.375" style="927" hidden="1" customWidth="1"/>
    <col min="9" max="16" width="5.625" style="927" hidden="1" customWidth="1"/>
    <col min="17" max="21" width="11.625" style="927" customWidth="1"/>
    <col min="22" max="22" width="11.875" style="927" bestFit="1" customWidth="1"/>
    <col min="23" max="23" width="4.75" style="927" bestFit="1" customWidth="1"/>
    <col min="24" max="27" width="20.625" style="927" customWidth="1"/>
    <col min="28" max="28" width="8.75" style="927" customWidth="1"/>
    <col min="29" max="30" width="20.625" style="927" customWidth="1"/>
    <col min="31" max="31" width="21.875" style="927" customWidth="1"/>
    <col min="32" max="32" width="8.75" style="927" hidden="1" customWidth="1"/>
    <col min="33" max="34" width="20.625" style="927"/>
    <col min="35" max="16384" width="20.625" style="915"/>
  </cols>
  <sheetData>
    <row r="1" spans="1:32" s="231" customFormat="1" ht="18.75" hidden="1">
      <c r="G1" s="701" t="s">
        <v>2286</v>
      </c>
      <c r="H1" s="701" t="s">
        <v>2287</v>
      </c>
      <c r="I1" s="701" t="s">
        <v>2288</v>
      </c>
      <c r="J1" s="701" t="s">
        <v>2289</v>
      </c>
      <c r="K1" s="701" t="s">
        <v>2290</v>
      </c>
      <c r="L1" s="701" t="s">
        <v>2291</v>
      </c>
      <c r="M1" s="701" t="s">
        <v>2292</v>
      </c>
      <c r="N1" s="701" t="s">
        <v>2293</v>
      </c>
      <c r="O1" s="701" t="s">
        <v>2294</v>
      </c>
      <c r="P1" s="701" t="s">
        <v>2295</v>
      </c>
      <c r="Q1" s="701"/>
      <c r="R1" s="701"/>
      <c r="S1" s="701"/>
      <c r="T1" s="701"/>
      <c r="U1" s="701"/>
      <c r="V1" s="701"/>
      <c r="W1" s="701"/>
      <c r="X1" s="701"/>
      <c r="Y1" s="701"/>
      <c r="Z1" s="701"/>
      <c r="AA1" s="701"/>
      <c r="AB1" s="701"/>
      <c r="AC1" s="701"/>
      <c r="AD1" s="701"/>
      <c r="AE1" s="701"/>
      <c r="AF1" s="701"/>
    </row>
    <row r="2" spans="1:32" s="207" customFormat="1">
      <c r="A2" s="231"/>
      <c r="B2" s="231"/>
      <c r="C2" s="231"/>
      <c r="D2" s="231"/>
      <c r="E2" s="231"/>
      <c r="F2" s="207" t="str">
        <f>"("&amp;UNJC0180_B_PAGE_NO&amp;"/"&amp;UNJC0180_B_ALL_PAGE_SU&amp;")"</f>
        <v>(1/1)</v>
      </c>
    </row>
    <row r="3" spans="1:32" s="207" customFormat="1">
      <c r="A3" s="231"/>
      <c r="B3" s="231"/>
      <c r="C3" s="231"/>
      <c r="D3" s="231"/>
      <c r="E3" s="231"/>
      <c r="Q3" s="208" t="s">
        <v>2411</v>
      </c>
      <c r="R3" s="702" t="str">
        <f>IF(UNJC0180_B_KENSAKU_KENSU="","",UNJC0180_B_KENSAKU_KENSU)</f>
        <v/>
      </c>
      <c r="S3" s="208" t="s">
        <v>2412</v>
      </c>
      <c r="T3" s="702"/>
      <c r="X3" s="208"/>
    </row>
    <row r="4" spans="1:32" s="207" customFormat="1">
      <c r="A4" s="296" t="s">
        <v>834</v>
      </c>
      <c r="B4" s="231"/>
      <c r="C4" s="21"/>
      <c r="D4" s="231"/>
      <c r="E4" s="231"/>
      <c r="H4" s="703" t="s">
        <v>2413</v>
      </c>
      <c r="I4" s="703"/>
      <c r="J4" s="703"/>
      <c r="K4" s="703"/>
      <c r="L4" s="703"/>
      <c r="M4" s="703"/>
      <c r="N4" s="703"/>
      <c r="O4" s="703"/>
      <c r="P4" s="703"/>
      <c r="AF4" s="703" t="s">
        <v>2413</v>
      </c>
    </row>
    <row r="5" spans="1:32">
      <c r="B5" s="231" t="s">
        <v>835</v>
      </c>
      <c r="C5" s="21" t="s">
        <v>2414</v>
      </c>
      <c r="D5" s="232">
        <v>50</v>
      </c>
      <c r="G5" s="926" t="s">
        <v>17</v>
      </c>
      <c r="H5" s="926" t="s">
        <v>2415</v>
      </c>
      <c r="I5" s="926" t="s">
        <v>1194</v>
      </c>
      <c r="J5" s="926" t="s">
        <v>358</v>
      </c>
      <c r="K5" s="926" t="s">
        <v>359</v>
      </c>
      <c r="L5" s="926" t="s">
        <v>375</v>
      </c>
      <c r="M5" s="926" t="s">
        <v>376</v>
      </c>
      <c r="N5" s="926" t="s">
        <v>377</v>
      </c>
      <c r="O5" s="926" t="s">
        <v>378</v>
      </c>
      <c r="P5" s="926" t="s">
        <v>379</v>
      </c>
      <c r="Q5" s="926" t="s">
        <v>867</v>
      </c>
      <c r="R5" s="926" t="s">
        <v>2417</v>
      </c>
      <c r="S5" s="926" t="s">
        <v>920</v>
      </c>
      <c r="T5" s="926" t="s">
        <v>827</v>
      </c>
      <c r="U5" s="926" t="s">
        <v>29</v>
      </c>
      <c r="V5" s="926" t="s">
        <v>28</v>
      </c>
      <c r="W5" s="926" t="s">
        <v>78</v>
      </c>
      <c r="X5" s="926" t="s">
        <v>1528</v>
      </c>
      <c r="Y5" s="926" t="s">
        <v>829</v>
      </c>
      <c r="Z5" s="926" t="s">
        <v>4</v>
      </c>
      <c r="AA5" s="926" t="s">
        <v>1524</v>
      </c>
      <c r="AB5" s="926" t="s">
        <v>86</v>
      </c>
      <c r="AC5" s="926" t="s">
        <v>62</v>
      </c>
      <c r="AD5" s="926" t="s">
        <v>63</v>
      </c>
      <c r="AE5" s="926" t="s">
        <v>1</v>
      </c>
      <c r="AF5" s="926" t="s">
        <v>2439</v>
      </c>
    </row>
    <row r="6" spans="1:32" ht="16.5" customHeight="1">
      <c r="C6" s="21"/>
    </row>
    <row r="7" spans="1:32" ht="16.5" customHeight="1">
      <c r="A7" s="296" t="s">
        <v>837</v>
      </c>
      <c r="C7" s="21"/>
    </row>
    <row r="8" spans="1:32" ht="16.5" customHeight="1">
      <c r="B8" s="231" t="s">
        <v>259</v>
      </c>
      <c r="C8" s="21" t="s">
        <v>2418</v>
      </c>
      <c r="D8" s="232"/>
    </row>
    <row r="9" spans="1:32" ht="16.5" customHeight="1">
      <c r="B9" s="231" t="s">
        <v>190</v>
      </c>
      <c r="C9" s="21" t="s">
        <v>2419</v>
      </c>
      <c r="D9" s="232">
        <v>1</v>
      </c>
    </row>
    <row r="10" spans="1:32" ht="16.5" customHeight="1">
      <c r="B10" s="231" t="s">
        <v>191</v>
      </c>
      <c r="C10" s="21" t="s">
        <v>2420</v>
      </c>
      <c r="D10" s="232">
        <f>IF(OR(UNJC0180_B_KENSAKU_KENSU=0,UNJC0180_B_CTRL_HYOJI_GYO_SU=0),1,ROUNDUP(UNJC0180_B_KENSAKU_KENSU/UNJC0180_B_CTRL_HYOJI_GYO_SU,0))</f>
        <v>1</v>
      </c>
    </row>
    <row r="11" spans="1:32" ht="16.5" customHeight="1">
      <c r="B11" s="231" t="s">
        <v>126</v>
      </c>
      <c r="C11" s="21" t="s">
        <v>2421</v>
      </c>
      <c r="D11" s="232">
        <v>2</v>
      </c>
    </row>
    <row r="12" spans="1:32" ht="16.5" customHeight="1">
      <c r="C12" s="21"/>
    </row>
    <row r="14" spans="1:32" ht="16.5" customHeight="1">
      <c r="B14" s="231" t="s">
        <v>203</v>
      </c>
      <c r="C14" s="21" t="s">
        <v>2422</v>
      </c>
      <c r="D14" s="232" t="str">
        <f>IF(UNJC0180_B_HYOJI_KENSU=0,"",ADDRESS(ROW(UNJC0180_B_DataListStart),COLUMN(UNJC0180_B_DataListStart))&amp;":"&amp;
ADDRESS(ROW(UNJC0180_B_DataListStart)+UNJC0180_B_HYOJI_KENSU-1,COLUMN(UNJC0180_B_DataListStart)+COLUMNS(UNJC0180_IF_ITEMSCOPY)-1))</f>
        <v>$G$6:$AF$7</v>
      </c>
    </row>
    <row r="16" spans="1:32" ht="16.5" customHeight="1">
      <c r="C16" s="21"/>
      <c r="D16" s="231" t="s">
        <v>845</v>
      </c>
    </row>
    <row r="17" spans="1:4" ht="16.5" customHeight="1">
      <c r="B17" s="231" t="s">
        <v>846</v>
      </c>
      <c r="C17" s="231" t="s">
        <v>2423</v>
      </c>
      <c r="D17" s="81">
        <f>IF(UNJC0180_B_HYOJI_KENSU=0,2,1)</f>
        <v>1</v>
      </c>
    </row>
    <row r="18" spans="1:4" ht="16.5" customHeight="1">
      <c r="C18" s="21"/>
    </row>
    <row r="19" spans="1:4" ht="16.5" customHeight="1">
      <c r="A19" s="296" t="s">
        <v>848</v>
      </c>
      <c r="C19" s="21"/>
      <c r="D19" s="231" t="s">
        <v>849</v>
      </c>
    </row>
    <row r="20" spans="1:4" ht="16.5" customHeight="1">
      <c r="B20" s="231" t="s">
        <v>850</v>
      </c>
      <c r="C20" s="21" t="s">
        <v>2424</v>
      </c>
      <c r="D20" s="232">
        <f>IF(UNJC0180_B_ALL_PAGE_SU&gt;UNJC0180_B_PAGE_NO,1,2)</f>
        <v>2</v>
      </c>
    </row>
    <row r="21" spans="1:4" ht="16.5" customHeight="1">
      <c r="B21" s="231" t="s">
        <v>852</v>
      </c>
      <c r="C21" s="21" t="s">
        <v>2425</v>
      </c>
      <c r="D21" s="232">
        <f>IF(UNJC0180_B_PAGE_NO&gt;1,1,2)</f>
        <v>2</v>
      </c>
    </row>
    <row r="22" spans="1:4" ht="16.5" customHeight="1">
      <c r="C22" s="21"/>
      <c r="D22" s="328"/>
    </row>
    <row r="23" spans="1:4" ht="16.5" customHeight="1">
      <c r="B23" s="231" t="s">
        <v>234</v>
      </c>
      <c r="C23" s="21" t="s">
        <v>2426</v>
      </c>
      <c r="D23" s="232">
        <f>UNJC0180_B_PAGE_NO+1</f>
        <v>2</v>
      </c>
    </row>
    <row r="24" spans="1:4" ht="16.5" customHeight="1">
      <c r="B24" s="231" t="s">
        <v>233</v>
      </c>
      <c r="C24" s="21" t="s">
        <v>2427</v>
      </c>
      <c r="D24" s="232">
        <f>UNJC0180_B_PAGE_NO-1</f>
        <v>0</v>
      </c>
    </row>
    <row r="29" spans="1:4" ht="16.5" customHeight="1">
      <c r="C29" s="21"/>
    </row>
    <row r="30" spans="1:4" ht="16.5" customHeight="1">
      <c r="A30" s="296" t="s">
        <v>809</v>
      </c>
    </row>
    <row r="31" spans="1:4" ht="16.5" customHeight="1">
      <c r="B31" s="187" t="s">
        <v>276</v>
      </c>
      <c r="C31" s="252" t="s">
        <v>2428</v>
      </c>
      <c r="D31" s="81" t="str">
        <f>ROW(A1)&amp;":"&amp;ROW(A1)</f>
        <v>1:1</v>
      </c>
    </row>
    <row r="32" spans="1:4" ht="16.5" customHeight="1">
      <c r="B32" s="187" t="s">
        <v>277</v>
      </c>
      <c r="C32" s="252" t="s">
        <v>2429</v>
      </c>
      <c r="D32" s="81" t="str">
        <f>ADDRESS(ROW(A1),COLUMN(A1))&amp;":"&amp;ADDRESS(ROW(E1),COLUMN(E1))&amp;","&amp;ADDRESS(ROW(H1),COLUMN(H1))&amp;":"&amp;ADDRESS(ROW(P1),COLUMN(P1))&amp;","&amp;ADDRESS(ROW(AF1),COLUMN(AF1))&amp;":"&amp;ADDRESS(ROW(AF1),COLUMN(AF1))</f>
        <v>$A$1:$E$1,$H$1:$P$1,$AF$1:$AF$1</v>
      </c>
    </row>
    <row r="33" spans="2:4" ht="16.5" customHeight="1">
      <c r="B33" s="187"/>
      <c r="C33" s="187"/>
      <c r="D33" s="187"/>
    </row>
    <row r="34" spans="2:4" ht="16.5" customHeight="1">
      <c r="B34" s="187" t="s">
        <v>282</v>
      </c>
      <c r="C34" s="252" t="s">
        <v>2430</v>
      </c>
      <c r="D34" s="81" t="str">
        <f>ADDRESS(ROW(UNJC0180_B_DataListStart),COLUMN(Q5))</f>
        <v>$Q$6</v>
      </c>
    </row>
  </sheetData>
  <sheetProtection sheet="1" objects="1" scenarios="1" selectLockedCells="1"/>
  <phoneticPr fontId="2"/>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KH37"/>
  <sheetViews>
    <sheetView zoomScale="70" zoomScaleNormal="70" workbookViewId="0">
      <selection activeCell="F10" sqref="F10:I10"/>
    </sheetView>
  </sheetViews>
  <sheetFormatPr defaultRowHeight="16.5" customHeight="1"/>
  <cols>
    <col min="1" max="1" width="3.625" style="691" customWidth="1"/>
    <col min="2" max="2" width="1.375" style="691" customWidth="1"/>
    <col min="3" max="4" width="13.625" style="691" customWidth="1"/>
    <col min="5" max="5" width="2.75" style="278" customWidth="1"/>
    <col min="6" max="29" width="9" style="691"/>
    <col min="30" max="30" width="3.625" style="691" customWidth="1"/>
    <col min="31" max="31" width="19.5" style="691" bestFit="1" customWidth="1"/>
    <col min="32" max="32" width="18.75" style="691" customWidth="1"/>
    <col min="33" max="33" width="6.375" style="691" bestFit="1" customWidth="1"/>
    <col min="34" max="34" width="11.125" style="691" bestFit="1" customWidth="1"/>
    <col min="35" max="35" width="2.625" style="691" customWidth="1"/>
    <col min="36" max="36" width="15.125" style="691" bestFit="1" customWidth="1"/>
    <col min="37" max="37" width="9" style="691"/>
    <col min="38" max="38" width="2.625" style="691" customWidth="1"/>
    <col min="39" max="39" width="4.75" style="691" bestFit="1" customWidth="1"/>
    <col min="40" max="40" width="20.375" style="691" bestFit="1" customWidth="1"/>
    <col min="41" max="48" width="5.625" style="691" customWidth="1"/>
    <col min="49" max="53" width="11.625" style="691" customWidth="1"/>
    <col min="54" max="54" width="11.875" style="691" bestFit="1" customWidth="1"/>
    <col min="55" max="55" width="4.75" style="691" bestFit="1" customWidth="1"/>
    <col min="56" max="63" width="20.625" style="691" customWidth="1"/>
    <col min="64" max="64" width="9.625" style="691" bestFit="1" customWidth="1"/>
    <col min="65" max="163" width="20.625" style="691" customWidth="1"/>
    <col min="164" max="165" width="9" style="691"/>
    <col min="166" max="166" width="2" style="278" customWidth="1"/>
    <col min="167" max="167" width="26.875" style="278" customWidth="1"/>
    <col min="168" max="168" width="10" style="278" customWidth="1"/>
    <col min="169" max="169" width="9" style="691"/>
    <col min="170" max="170" width="4.75" style="691" customWidth="1"/>
    <col min="171" max="171" width="20.375" style="691" customWidth="1"/>
    <col min="172" max="179" width="5.625" style="691" customWidth="1"/>
    <col min="180" max="184" width="11.625" style="691" customWidth="1"/>
    <col min="185" max="185" width="11.875" style="691" bestFit="1" customWidth="1"/>
    <col min="186" max="186" width="4.75" style="691" bestFit="1" customWidth="1"/>
    <col min="187" max="194" width="20.625" style="691" customWidth="1"/>
    <col min="195" max="195" width="9.625" style="691" customWidth="1"/>
    <col min="196" max="294" width="20.625" style="691" customWidth="1"/>
    <col min="295" max="16384" width="9" style="691"/>
  </cols>
  <sheetData>
    <row r="1" spans="2:294" ht="18.75">
      <c r="BM1" s="691">
        <f>COLUMN()-COLUMN($BL1)</f>
        <v>1</v>
      </c>
      <c r="BN1" s="691">
        <f>COLUMN()-COLUMN($BL1)</f>
        <v>2</v>
      </c>
      <c r="BO1" s="691">
        <f t="shared" ref="BO1:BV1" si="0">COLUMN()-COLUMN($BL1)</f>
        <v>3</v>
      </c>
      <c r="BP1" s="691">
        <f t="shared" si="0"/>
        <v>4</v>
      </c>
      <c r="BQ1" s="691">
        <f t="shared" si="0"/>
        <v>5</v>
      </c>
      <c r="BR1" s="691">
        <f t="shared" si="0"/>
        <v>6</v>
      </c>
      <c r="BS1" s="691">
        <f t="shared" si="0"/>
        <v>7</v>
      </c>
      <c r="BT1" s="691">
        <f t="shared" si="0"/>
        <v>8</v>
      </c>
      <c r="BU1" s="691">
        <f t="shared" si="0"/>
        <v>9</v>
      </c>
      <c r="BV1" s="691">
        <f t="shared" si="0"/>
        <v>10</v>
      </c>
      <c r="BW1" s="691">
        <f>COLUMN()-COLUMN($BL1)</f>
        <v>11</v>
      </c>
      <c r="BX1" s="691">
        <f>COLUMN()-COLUMN($BL1)</f>
        <v>12</v>
      </c>
      <c r="BY1" s="691">
        <f t="shared" ref="BY1:CF1" si="1">COLUMN()-COLUMN($BL1)</f>
        <v>13</v>
      </c>
      <c r="BZ1" s="691">
        <f t="shared" si="1"/>
        <v>14</v>
      </c>
      <c r="CA1" s="691">
        <f t="shared" si="1"/>
        <v>15</v>
      </c>
      <c r="CB1" s="691">
        <f t="shared" si="1"/>
        <v>16</v>
      </c>
      <c r="CC1" s="691">
        <f t="shared" si="1"/>
        <v>17</v>
      </c>
      <c r="CD1" s="691">
        <f t="shared" si="1"/>
        <v>18</v>
      </c>
      <c r="CE1" s="691">
        <f t="shared" si="1"/>
        <v>19</v>
      </c>
      <c r="CF1" s="691">
        <f t="shared" si="1"/>
        <v>20</v>
      </c>
      <c r="CG1" s="691">
        <f>COLUMN()-COLUMN($BL1)</f>
        <v>21</v>
      </c>
      <c r="CH1" s="691">
        <f>COLUMN()-COLUMN($BL1)</f>
        <v>22</v>
      </c>
      <c r="CI1" s="691">
        <f t="shared" ref="CI1:CP1" si="2">COLUMN()-COLUMN($BL1)</f>
        <v>23</v>
      </c>
      <c r="CJ1" s="691">
        <f t="shared" si="2"/>
        <v>24</v>
      </c>
      <c r="CK1" s="691">
        <f t="shared" si="2"/>
        <v>25</v>
      </c>
      <c r="CL1" s="691">
        <f t="shared" si="2"/>
        <v>26</v>
      </c>
      <c r="CM1" s="691">
        <f t="shared" si="2"/>
        <v>27</v>
      </c>
      <c r="CN1" s="691">
        <f t="shared" si="2"/>
        <v>28</v>
      </c>
      <c r="CO1" s="691">
        <f t="shared" si="2"/>
        <v>29</v>
      </c>
      <c r="CP1" s="691">
        <f t="shared" si="2"/>
        <v>30</v>
      </c>
      <c r="CQ1" s="691">
        <f>COLUMN()-COLUMN($BL1)</f>
        <v>31</v>
      </c>
      <c r="CR1" s="691">
        <f>COLUMN()-COLUMN($BL1)</f>
        <v>32</v>
      </c>
      <c r="CS1" s="691">
        <f t="shared" ref="CS1:CZ1" si="3">COLUMN()-COLUMN($BL1)</f>
        <v>33</v>
      </c>
      <c r="CT1" s="691">
        <f t="shared" si="3"/>
        <v>34</v>
      </c>
      <c r="CU1" s="691">
        <f t="shared" si="3"/>
        <v>35</v>
      </c>
      <c r="CV1" s="691">
        <f t="shared" si="3"/>
        <v>36</v>
      </c>
      <c r="CW1" s="691">
        <f t="shared" si="3"/>
        <v>37</v>
      </c>
      <c r="CX1" s="691">
        <f t="shared" si="3"/>
        <v>38</v>
      </c>
      <c r="CY1" s="691">
        <f t="shared" si="3"/>
        <v>39</v>
      </c>
      <c r="CZ1" s="691">
        <f t="shared" si="3"/>
        <v>40</v>
      </c>
      <c r="DA1" s="691">
        <f>COLUMN()-COLUMN($BL1)</f>
        <v>41</v>
      </c>
      <c r="DB1" s="691">
        <f>COLUMN()-COLUMN($BL1)</f>
        <v>42</v>
      </c>
      <c r="DC1" s="691">
        <f t="shared" ref="DC1:DJ1" si="4">COLUMN()-COLUMN($BL1)</f>
        <v>43</v>
      </c>
      <c r="DD1" s="691">
        <f t="shared" si="4"/>
        <v>44</v>
      </c>
      <c r="DE1" s="691">
        <f t="shared" si="4"/>
        <v>45</v>
      </c>
      <c r="DF1" s="691">
        <f t="shared" si="4"/>
        <v>46</v>
      </c>
      <c r="DG1" s="691">
        <f t="shared" si="4"/>
        <v>47</v>
      </c>
      <c r="DH1" s="691">
        <f t="shared" si="4"/>
        <v>48</v>
      </c>
      <c r="DI1" s="691">
        <f t="shared" si="4"/>
        <v>49</v>
      </c>
      <c r="DJ1" s="691">
        <f t="shared" si="4"/>
        <v>50</v>
      </c>
      <c r="DK1" s="691">
        <f>COLUMN()-COLUMN($BL1)</f>
        <v>51</v>
      </c>
      <c r="DL1" s="691">
        <f>COLUMN()-COLUMN($BL1)</f>
        <v>52</v>
      </c>
      <c r="DM1" s="691">
        <f t="shared" ref="DM1:DT1" si="5">COLUMN()-COLUMN($BL1)</f>
        <v>53</v>
      </c>
      <c r="DN1" s="691">
        <f t="shared" si="5"/>
        <v>54</v>
      </c>
      <c r="DO1" s="691">
        <f t="shared" si="5"/>
        <v>55</v>
      </c>
      <c r="DP1" s="691">
        <f t="shared" si="5"/>
        <v>56</v>
      </c>
      <c r="DQ1" s="691">
        <f t="shared" si="5"/>
        <v>57</v>
      </c>
      <c r="DR1" s="691">
        <f t="shared" si="5"/>
        <v>58</v>
      </c>
      <c r="DS1" s="691">
        <f t="shared" si="5"/>
        <v>59</v>
      </c>
      <c r="DT1" s="691">
        <f t="shared" si="5"/>
        <v>60</v>
      </c>
      <c r="DU1" s="691">
        <f>COLUMN()-COLUMN($BL1)</f>
        <v>61</v>
      </c>
      <c r="DV1" s="691">
        <f>COLUMN()-COLUMN($BL1)</f>
        <v>62</v>
      </c>
      <c r="DW1" s="691">
        <f t="shared" ref="DW1:ED1" si="6">COLUMN()-COLUMN($BL1)</f>
        <v>63</v>
      </c>
      <c r="DX1" s="691">
        <f t="shared" si="6"/>
        <v>64</v>
      </c>
      <c r="DY1" s="691">
        <f t="shared" si="6"/>
        <v>65</v>
      </c>
      <c r="DZ1" s="691">
        <f t="shared" si="6"/>
        <v>66</v>
      </c>
      <c r="EA1" s="691">
        <f t="shared" si="6"/>
        <v>67</v>
      </c>
      <c r="EB1" s="691">
        <f t="shared" si="6"/>
        <v>68</v>
      </c>
      <c r="EC1" s="691">
        <f t="shared" si="6"/>
        <v>69</v>
      </c>
      <c r="ED1" s="691">
        <f t="shared" si="6"/>
        <v>70</v>
      </c>
      <c r="EE1" s="691">
        <f>COLUMN()-COLUMN($BL1)</f>
        <v>71</v>
      </c>
      <c r="EF1" s="691">
        <f>COLUMN()-COLUMN($BL1)</f>
        <v>72</v>
      </c>
      <c r="EG1" s="691">
        <f t="shared" ref="EG1:EN1" si="7">COLUMN()-COLUMN($BL1)</f>
        <v>73</v>
      </c>
      <c r="EH1" s="691">
        <f t="shared" si="7"/>
        <v>74</v>
      </c>
      <c r="EI1" s="691">
        <f t="shared" si="7"/>
        <v>75</v>
      </c>
      <c r="EJ1" s="691">
        <f t="shared" si="7"/>
        <v>76</v>
      </c>
      <c r="EK1" s="691">
        <f t="shared" si="7"/>
        <v>77</v>
      </c>
      <c r="EL1" s="691">
        <f t="shared" si="7"/>
        <v>78</v>
      </c>
      <c r="EM1" s="691">
        <f t="shared" si="7"/>
        <v>79</v>
      </c>
      <c r="EN1" s="691">
        <f t="shared" si="7"/>
        <v>80</v>
      </c>
      <c r="EO1" s="691">
        <f>COLUMN()-COLUMN($BL1)</f>
        <v>81</v>
      </c>
      <c r="EP1" s="691">
        <f>COLUMN()-COLUMN($BL1)</f>
        <v>82</v>
      </c>
      <c r="EQ1" s="691">
        <f t="shared" ref="EQ1:FG1" si="8">COLUMN()-COLUMN($BL1)</f>
        <v>83</v>
      </c>
      <c r="ER1" s="691">
        <f t="shared" si="8"/>
        <v>84</v>
      </c>
      <c r="ES1" s="691">
        <f t="shared" si="8"/>
        <v>85</v>
      </c>
      <c r="ET1" s="691">
        <f t="shared" si="8"/>
        <v>86</v>
      </c>
      <c r="EU1" s="691">
        <f t="shared" si="8"/>
        <v>87</v>
      </c>
      <c r="EV1" s="691">
        <f t="shared" si="8"/>
        <v>88</v>
      </c>
      <c r="EW1" s="691">
        <f t="shared" si="8"/>
        <v>89</v>
      </c>
      <c r="EX1" s="691">
        <f t="shared" si="8"/>
        <v>90</v>
      </c>
      <c r="EY1" s="691">
        <f>COLUMN()-COLUMN($BL1)</f>
        <v>91</v>
      </c>
      <c r="EZ1" s="691">
        <f t="shared" si="8"/>
        <v>92</v>
      </c>
      <c r="FA1" s="691">
        <f t="shared" si="8"/>
        <v>93</v>
      </c>
      <c r="FB1" s="691">
        <f t="shared" si="8"/>
        <v>94</v>
      </c>
      <c r="FC1" s="691">
        <f t="shared" si="8"/>
        <v>95</v>
      </c>
      <c r="FD1" s="691">
        <f t="shared" si="8"/>
        <v>96</v>
      </c>
      <c r="FE1" s="691">
        <f t="shared" si="8"/>
        <v>97</v>
      </c>
      <c r="FF1" s="691">
        <f t="shared" si="8"/>
        <v>98</v>
      </c>
      <c r="FG1" s="691">
        <f t="shared" si="8"/>
        <v>99</v>
      </c>
      <c r="FN1" s="701" t="s">
        <v>2431</v>
      </c>
      <c r="FO1" s="701" t="s">
        <v>2287</v>
      </c>
      <c r="FP1" s="701" t="s">
        <v>2288</v>
      </c>
      <c r="FQ1" s="701" t="s">
        <v>2289</v>
      </c>
      <c r="FR1" s="701" t="s">
        <v>2290</v>
      </c>
      <c r="FS1" s="701" t="s">
        <v>2291</v>
      </c>
      <c r="FT1" s="701" t="s">
        <v>2292</v>
      </c>
      <c r="FU1" s="701" t="s">
        <v>2293</v>
      </c>
      <c r="FV1" s="701" t="s">
        <v>2294</v>
      </c>
      <c r="FW1" s="701" t="s">
        <v>2295</v>
      </c>
      <c r="FX1" s="701" t="s">
        <v>2296</v>
      </c>
      <c r="FY1" s="701" t="s">
        <v>2297</v>
      </c>
      <c r="FZ1" s="701" t="s">
        <v>2298</v>
      </c>
      <c r="GA1" s="701" t="s">
        <v>2299</v>
      </c>
      <c r="GB1" s="701" t="s">
        <v>2300</v>
      </c>
      <c r="GC1" s="701" t="s">
        <v>2301</v>
      </c>
      <c r="GD1" s="701" t="s">
        <v>2302</v>
      </c>
      <c r="GE1" s="701" t="s">
        <v>2303</v>
      </c>
      <c r="GF1" s="701" t="s">
        <v>2304</v>
      </c>
      <c r="GG1" s="701" t="s">
        <v>2305</v>
      </c>
      <c r="GH1" s="701" t="s">
        <v>2306</v>
      </c>
      <c r="GI1" s="701" t="s">
        <v>2307</v>
      </c>
      <c r="GJ1" s="701" t="s">
        <v>2308</v>
      </c>
      <c r="GK1" s="701" t="s">
        <v>2309</v>
      </c>
      <c r="GL1" s="701" t="s">
        <v>2310</v>
      </c>
      <c r="GM1" s="701" t="s">
        <v>2311</v>
      </c>
      <c r="GN1" s="701" t="s">
        <v>2312</v>
      </c>
      <c r="GO1" s="701" t="s">
        <v>2313</v>
      </c>
      <c r="GP1" s="701" t="s">
        <v>2314</v>
      </c>
      <c r="GQ1" s="701" t="s">
        <v>2315</v>
      </c>
      <c r="GR1" s="701" t="s">
        <v>2316</v>
      </c>
      <c r="GS1" s="701" t="s">
        <v>2317</v>
      </c>
      <c r="GT1" s="701" t="s">
        <v>2318</v>
      </c>
      <c r="GU1" s="701" t="s">
        <v>2319</v>
      </c>
      <c r="GV1" s="701" t="s">
        <v>2320</v>
      </c>
      <c r="GW1" s="701" t="s">
        <v>2321</v>
      </c>
      <c r="GX1" s="701" t="s">
        <v>2322</v>
      </c>
      <c r="GY1" s="701" t="s">
        <v>2323</v>
      </c>
      <c r="GZ1" s="701" t="s">
        <v>2324</v>
      </c>
      <c r="HA1" s="701" t="s">
        <v>2325</v>
      </c>
      <c r="HB1" s="701" t="s">
        <v>2326</v>
      </c>
      <c r="HC1" s="701" t="s">
        <v>2327</v>
      </c>
      <c r="HD1" s="701" t="s">
        <v>2328</v>
      </c>
      <c r="HE1" s="701" t="s">
        <v>2329</v>
      </c>
      <c r="HF1" s="701" t="s">
        <v>2330</v>
      </c>
      <c r="HG1" s="701" t="s">
        <v>2331</v>
      </c>
      <c r="HH1" s="701" t="s">
        <v>2332</v>
      </c>
      <c r="HI1" s="701" t="s">
        <v>2333</v>
      </c>
      <c r="HJ1" s="701" t="s">
        <v>2334</v>
      </c>
      <c r="HK1" s="701" t="s">
        <v>2335</v>
      </c>
      <c r="HL1" s="701" t="s">
        <v>2336</v>
      </c>
      <c r="HM1" s="701" t="s">
        <v>2337</v>
      </c>
      <c r="HN1" s="701" t="s">
        <v>2338</v>
      </c>
      <c r="HO1" s="701" t="s">
        <v>2339</v>
      </c>
      <c r="HP1" s="701" t="s">
        <v>2340</v>
      </c>
      <c r="HQ1" s="701" t="s">
        <v>2341</v>
      </c>
      <c r="HR1" s="701" t="s">
        <v>2342</v>
      </c>
      <c r="HS1" s="701" t="s">
        <v>2343</v>
      </c>
      <c r="HT1" s="701" t="s">
        <v>2344</v>
      </c>
      <c r="HU1" s="701" t="s">
        <v>2345</v>
      </c>
      <c r="HV1" s="701" t="s">
        <v>2346</v>
      </c>
      <c r="HW1" s="701" t="s">
        <v>2347</v>
      </c>
      <c r="HX1" s="701" t="s">
        <v>2348</v>
      </c>
      <c r="HY1" s="701" t="s">
        <v>2349</v>
      </c>
      <c r="HZ1" s="701" t="s">
        <v>2350</v>
      </c>
      <c r="IA1" s="701" t="s">
        <v>2351</v>
      </c>
      <c r="IB1" s="701" t="s">
        <v>2352</v>
      </c>
      <c r="IC1" s="701" t="s">
        <v>2353</v>
      </c>
      <c r="ID1" s="701" t="s">
        <v>2354</v>
      </c>
      <c r="IE1" s="701" t="s">
        <v>2355</v>
      </c>
      <c r="IF1" s="701" t="s">
        <v>2356</v>
      </c>
      <c r="IG1" s="701" t="s">
        <v>2357</v>
      </c>
      <c r="IH1" s="701" t="s">
        <v>2358</v>
      </c>
      <c r="II1" s="701" t="s">
        <v>2359</v>
      </c>
      <c r="IJ1" s="701" t="s">
        <v>2360</v>
      </c>
      <c r="IK1" s="701" t="s">
        <v>2361</v>
      </c>
      <c r="IL1" s="701" t="s">
        <v>2362</v>
      </c>
      <c r="IM1" s="701" t="s">
        <v>2363</v>
      </c>
      <c r="IN1" s="701" t="s">
        <v>2364</v>
      </c>
      <c r="IO1" s="701" t="s">
        <v>2365</v>
      </c>
      <c r="IP1" s="701" t="s">
        <v>2366</v>
      </c>
      <c r="IQ1" s="701" t="s">
        <v>2367</v>
      </c>
      <c r="IR1" s="701" t="s">
        <v>2368</v>
      </c>
      <c r="IS1" s="701" t="s">
        <v>2369</v>
      </c>
      <c r="IT1" s="701" t="s">
        <v>2370</v>
      </c>
      <c r="IU1" s="701" t="s">
        <v>2371</v>
      </c>
      <c r="IV1" s="701" t="s">
        <v>2372</v>
      </c>
      <c r="IW1" s="701" t="s">
        <v>2373</v>
      </c>
      <c r="IX1" s="701" t="s">
        <v>2374</v>
      </c>
      <c r="IY1" s="701" t="s">
        <v>2375</v>
      </c>
      <c r="IZ1" s="701" t="s">
        <v>2376</v>
      </c>
      <c r="JA1" s="701" t="s">
        <v>2377</v>
      </c>
      <c r="JB1" s="701" t="s">
        <v>2378</v>
      </c>
      <c r="JC1" s="701" t="s">
        <v>2379</v>
      </c>
      <c r="JD1" s="701" t="s">
        <v>2380</v>
      </c>
      <c r="JE1" s="701" t="s">
        <v>2381</v>
      </c>
      <c r="JF1" s="701" t="s">
        <v>2382</v>
      </c>
      <c r="JG1" s="701" t="s">
        <v>2383</v>
      </c>
      <c r="JH1" s="701" t="s">
        <v>2384</v>
      </c>
      <c r="JI1" s="701" t="s">
        <v>2385</v>
      </c>
      <c r="JJ1" s="701" t="s">
        <v>2386</v>
      </c>
      <c r="JK1" s="701" t="s">
        <v>2387</v>
      </c>
      <c r="JL1" s="701" t="s">
        <v>2388</v>
      </c>
      <c r="JM1" s="701" t="s">
        <v>2389</v>
      </c>
      <c r="JN1" s="701" t="s">
        <v>2390</v>
      </c>
      <c r="JO1" s="701" t="s">
        <v>2391</v>
      </c>
      <c r="JP1" s="701" t="s">
        <v>2392</v>
      </c>
      <c r="JQ1" s="701" t="s">
        <v>2393</v>
      </c>
      <c r="JR1" s="701" t="s">
        <v>2394</v>
      </c>
      <c r="JS1" s="701" t="s">
        <v>2395</v>
      </c>
      <c r="JT1" s="701" t="s">
        <v>2396</v>
      </c>
      <c r="JU1" s="701" t="s">
        <v>2397</v>
      </c>
      <c r="JV1" s="701" t="s">
        <v>2398</v>
      </c>
      <c r="JW1" s="701" t="s">
        <v>2399</v>
      </c>
      <c r="JX1" s="701" t="s">
        <v>2400</v>
      </c>
      <c r="JY1" s="701" t="s">
        <v>2401</v>
      </c>
      <c r="JZ1" s="701" t="s">
        <v>2402</v>
      </c>
      <c r="KA1" s="701" t="s">
        <v>2403</v>
      </c>
      <c r="KB1" s="701" t="s">
        <v>2404</v>
      </c>
      <c r="KC1" s="701" t="s">
        <v>2405</v>
      </c>
      <c r="KD1" s="701" t="s">
        <v>2406</v>
      </c>
      <c r="KE1" s="701" t="s">
        <v>2407</v>
      </c>
      <c r="KF1" s="701" t="s">
        <v>2408</v>
      </c>
      <c r="KG1" s="701" t="s">
        <v>2409</v>
      </c>
      <c r="KH1" s="701" t="s">
        <v>2410</v>
      </c>
    </row>
    <row r="2" spans="2:294" ht="18.75">
      <c r="AE2" s="691" t="s">
        <v>2432</v>
      </c>
      <c r="AJ2" s="691" t="s">
        <v>2433</v>
      </c>
      <c r="AM2" s="692" t="s">
        <v>2434</v>
      </c>
      <c r="AN2" s="692"/>
      <c r="AO2" s="692"/>
      <c r="AP2" s="692"/>
      <c r="AQ2" s="692"/>
      <c r="AR2" s="692"/>
      <c r="AS2" s="692"/>
      <c r="AT2" s="692"/>
      <c r="AU2" s="692"/>
      <c r="AV2" s="692"/>
      <c r="AW2" s="692"/>
      <c r="BM2" s="692" t="s">
        <v>2435</v>
      </c>
      <c r="BN2" s="692"/>
      <c r="FN2" s="704" t="str">
        <f>IF(FO2=TRUE,"✓","")</f>
        <v/>
      </c>
      <c r="FO2" s="705"/>
      <c r="FP2" s="220"/>
      <c r="FQ2" s="220"/>
      <c r="FR2" s="220"/>
      <c r="FS2" s="220"/>
      <c r="FT2" s="220"/>
      <c r="FU2" s="220"/>
      <c r="FV2" s="220"/>
      <c r="FW2" s="220"/>
      <c r="FX2" s="706"/>
      <c r="FY2" s="706"/>
      <c r="FZ2" s="707"/>
      <c r="GA2" s="706"/>
      <c r="GB2" s="706"/>
      <c r="GC2" s="683"/>
      <c r="GD2" s="172"/>
      <c r="GE2" s="13"/>
      <c r="GF2" s="683"/>
      <c r="GG2" s="683"/>
      <c r="GH2" s="10"/>
      <c r="GI2" s="10"/>
      <c r="GJ2" s="10"/>
      <c r="GK2" s="10"/>
      <c r="GL2" s="10"/>
      <c r="GM2" s="10"/>
      <c r="GN2" s="10"/>
      <c r="GO2" s="10"/>
      <c r="GP2" s="10"/>
      <c r="GQ2" s="10"/>
      <c r="GR2" s="10"/>
      <c r="GS2" s="10"/>
      <c r="GT2" s="10"/>
      <c r="GU2" s="10"/>
      <c r="GV2" s="10"/>
      <c r="GW2" s="10"/>
      <c r="GX2" s="10"/>
      <c r="GY2" s="10"/>
      <c r="GZ2" s="10"/>
      <c r="HA2" s="10"/>
      <c r="HB2" s="10"/>
      <c r="HC2" s="10"/>
      <c r="HD2" s="10"/>
      <c r="HE2" s="10"/>
      <c r="HF2" s="10"/>
      <c r="HG2" s="10"/>
      <c r="HH2" s="10"/>
      <c r="HI2" s="10"/>
      <c r="HJ2" s="10"/>
      <c r="HK2" s="10"/>
      <c r="HL2" s="10"/>
      <c r="HM2" s="10"/>
      <c r="HN2" s="10"/>
      <c r="HO2" s="10"/>
      <c r="HP2" s="10"/>
      <c r="HQ2" s="10"/>
      <c r="HR2" s="10"/>
      <c r="HS2" s="10"/>
      <c r="HT2" s="10"/>
      <c r="HU2" s="10"/>
      <c r="HV2" s="10"/>
      <c r="HW2" s="10"/>
      <c r="HX2" s="10"/>
      <c r="HY2" s="10"/>
      <c r="HZ2" s="10"/>
      <c r="IA2" s="10"/>
      <c r="IB2" s="10"/>
      <c r="IC2" s="10"/>
      <c r="ID2" s="10"/>
      <c r="IE2" s="10"/>
      <c r="IF2" s="10"/>
      <c r="IG2" s="10"/>
      <c r="IH2" s="10"/>
      <c r="II2" s="10"/>
      <c r="IJ2" s="10"/>
      <c r="IK2" s="10"/>
      <c r="IL2" s="10"/>
      <c r="IM2" s="10"/>
      <c r="IN2" s="10"/>
      <c r="IO2" s="10"/>
      <c r="IP2" s="10"/>
      <c r="IQ2" s="10"/>
      <c r="IR2" s="10"/>
      <c r="IS2" s="10"/>
      <c r="IT2" s="10"/>
      <c r="IU2" s="10"/>
      <c r="IV2" s="10"/>
      <c r="IW2" s="10"/>
      <c r="IX2" s="10"/>
      <c r="IY2" s="10"/>
      <c r="IZ2" s="10"/>
      <c r="JA2" s="10"/>
      <c r="JB2" s="10"/>
      <c r="JC2" s="10"/>
      <c r="JD2" s="10"/>
      <c r="JE2" s="10"/>
      <c r="JF2" s="10"/>
      <c r="JG2" s="10"/>
      <c r="JH2" s="10"/>
      <c r="JI2" s="10"/>
      <c r="JJ2" s="10"/>
      <c r="JK2" s="10"/>
      <c r="JL2" s="10"/>
      <c r="JM2" s="10"/>
      <c r="JN2" s="10"/>
      <c r="JO2" s="10"/>
      <c r="JP2" s="10"/>
      <c r="JQ2" s="10"/>
      <c r="JR2" s="10"/>
      <c r="JS2" s="10"/>
      <c r="JT2" s="10"/>
      <c r="JU2" s="10"/>
      <c r="JV2" s="10"/>
      <c r="JW2" s="10"/>
      <c r="JX2" s="10"/>
      <c r="JY2" s="10"/>
      <c r="JZ2" s="10"/>
      <c r="KA2" s="10"/>
      <c r="KB2" s="10"/>
      <c r="KC2" s="10"/>
      <c r="KD2" s="10"/>
      <c r="KE2" s="10"/>
      <c r="KF2" s="10"/>
      <c r="KG2" s="10"/>
      <c r="KH2" s="10"/>
    </row>
    <row r="3" spans="2:294" ht="18.75">
      <c r="B3" s="708" t="s">
        <v>865</v>
      </c>
      <c r="AE3" s="694" t="s">
        <v>2436</v>
      </c>
      <c r="AF3" s="709"/>
      <c r="AG3" s="691" t="s">
        <v>105</v>
      </c>
      <c r="AH3" s="691" t="s">
        <v>2437</v>
      </c>
      <c r="AJ3" s="710"/>
      <c r="AM3" s="711"/>
      <c r="AN3" s="712"/>
      <c r="AO3" s="712"/>
      <c r="AP3" s="712"/>
      <c r="AQ3" s="712"/>
      <c r="AR3" s="712"/>
      <c r="AS3" s="712"/>
      <c r="AT3" s="712"/>
      <c r="AU3" s="712"/>
      <c r="AV3" s="712"/>
      <c r="BM3" s="710"/>
      <c r="FJ3" s="279" t="s">
        <v>866</v>
      </c>
      <c r="FN3" s="703" t="s">
        <v>2413</v>
      </c>
      <c r="FO3" s="703" t="s">
        <v>2413</v>
      </c>
      <c r="FP3" s="703"/>
      <c r="FQ3" s="703"/>
      <c r="FR3" s="703"/>
      <c r="FS3" s="703"/>
      <c r="FT3" s="703"/>
      <c r="FU3" s="703"/>
      <c r="FV3" s="703"/>
      <c r="FW3" s="703"/>
      <c r="GM3" s="703" t="s">
        <v>2413</v>
      </c>
    </row>
    <row r="4" spans="2:294" ht="18.75">
      <c r="C4" s="691" t="s">
        <v>868</v>
      </c>
      <c r="F4" s="691" t="s">
        <v>2438</v>
      </c>
      <c r="AJ4" s="693" t="s">
        <v>1691</v>
      </c>
      <c r="AK4" s="693" t="s">
        <v>2225</v>
      </c>
      <c r="AM4" s="682" t="s">
        <v>17</v>
      </c>
      <c r="AN4" s="682" t="s">
        <v>2415</v>
      </c>
      <c r="AO4" s="682" t="s">
        <v>1194</v>
      </c>
      <c r="AP4" s="682" t="s">
        <v>358</v>
      </c>
      <c r="AQ4" s="682" t="s">
        <v>359</v>
      </c>
      <c r="AR4" s="682" t="s">
        <v>375</v>
      </c>
      <c r="AS4" s="682" t="s">
        <v>376</v>
      </c>
      <c r="AT4" s="682" t="s">
        <v>377</v>
      </c>
      <c r="AU4" s="682" t="s">
        <v>378</v>
      </c>
      <c r="AV4" s="682" t="s">
        <v>379</v>
      </c>
      <c r="AW4" s="682" t="s">
        <v>867</v>
      </c>
      <c r="AX4" s="682" t="s">
        <v>2417</v>
      </c>
      <c r="AY4" s="682" t="s">
        <v>920</v>
      </c>
      <c r="AZ4" s="682" t="s">
        <v>827</v>
      </c>
      <c r="BA4" s="682" t="s">
        <v>29</v>
      </c>
      <c r="BB4" s="682" t="s">
        <v>28</v>
      </c>
      <c r="BC4" s="682" t="s">
        <v>78</v>
      </c>
      <c r="BD4" s="682" t="s">
        <v>1528</v>
      </c>
      <c r="BE4" s="682" t="s">
        <v>829</v>
      </c>
      <c r="BF4" s="682" t="s">
        <v>4</v>
      </c>
      <c r="BG4" s="682" t="s">
        <v>1524</v>
      </c>
      <c r="BH4" s="682" t="s">
        <v>86</v>
      </c>
      <c r="BI4" s="682" t="s">
        <v>62</v>
      </c>
      <c r="BJ4" s="682" t="s">
        <v>63</v>
      </c>
      <c r="BK4" s="682" t="s">
        <v>1</v>
      </c>
      <c r="BL4" s="682" t="s">
        <v>2439</v>
      </c>
      <c r="BM4" s="682"/>
      <c r="FK4" s="278" t="s">
        <v>2440</v>
      </c>
      <c r="FL4" s="273"/>
      <c r="FN4" s="682" t="s">
        <v>0</v>
      </c>
      <c r="FO4" s="682" t="s">
        <v>2415</v>
      </c>
      <c r="FP4" s="682" t="s">
        <v>1194</v>
      </c>
      <c r="FQ4" s="682" t="s">
        <v>358</v>
      </c>
      <c r="FR4" s="682" t="s">
        <v>359</v>
      </c>
      <c r="FS4" s="682" t="s">
        <v>375</v>
      </c>
      <c r="FT4" s="682" t="s">
        <v>376</v>
      </c>
      <c r="FU4" s="682" t="s">
        <v>377</v>
      </c>
      <c r="FV4" s="682" t="s">
        <v>378</v>
      </c>
      <c r="FW4" s="682" t="s">
        <v>379</v>
      </c>
      <c r="FX4" s="682" t="s">
        <v>2416</v>
      </c>
      <c r="FY4" s="682" t="s">
        <v>2417</v>
      </c>
      <c r="FZ4" s="682" t="s">
        <v>920</v>
      </c>
      <c r="GA4" s="682" t="s">
        <v>827</v>
      </c>
      <c r="GB4" s="682" t="s">
        <v>29</v>
      </c>
      <c r="GC4" s="682" t="s">
        <v>28</v>
      </c>
      <c r="GD4" s="682" t="s">
        <v>78</v>
      </c>
      <c r="GE4" s="682" t="s">
        <v>1528</v>
      </c>
      <c r="GF4" s="682" t="s">
        <v>829</v>
      </c>
      <c r="GG4" s="682" t="s">
        <v>4</v>
      </c>
      <c r="GH4" s="682" t="s">
        <v>1524</v>
      </c>
      <c r="GI4" s="682" t="s">
        <v>86</v>
      </c>
      <c r="GJ4" s="682" t="s">
        <v>62</v>
      </c>
      <c r="GK4" s="682" t="s">
        <v>63</v>
      </c>
      <c r="GL4" s="682" t="s">
        <v>1</v>
      </c>
      <c r="GM4" s="682" t="s">
        <v>2439</v>
      </c>
      <c r="GN4" s="713" t="s">
        <v>1595</v>
      </c>
      <c r="GO4" s="713"/>
      <c r="GP4" s="713"/>
      <c r="GQ4" s="713"/>
      <c r="GR4" s="713"/>
      <c r="GS4" s="713"/>
      <c r="GT4" s="713"/>
      <c r="GU4" s="713"/>
      <c r="GV4" s="713"/>
      <c r="GW4" s="713"/>
      <c r="GX4" s="713"/>
      <c r="GY4" s="713"/>
      <c r="GZ4" s="713"/>
      <c r="HA4" s="713"/>
      <c r="HB4" s="713"/>
      <c r="HC4" s="713"/>
      <c r="HD4" s="713"/>
      <c r="HE4" s="713"/>
      <c r="HF4" s="713"/>
      <c r="HG4" s="713"/>
      <c r="HH4" s="713"/>
      <c r="HI4" s="713"/>
      <c r="HJ4" s="713"/>
      <c r="HK4" s="713"/>
      <c r="HL4" s="713"/>
      <c r="HM4" s="713"/>
      <c r="HN4" s="713"/>
      <c r="HO4" s="713"/>
      <c r="HP4" s="713"/>
      <c r="HQ4" s="713"/>
      <c r="HR4" s="713"/>
      <c r="HS4" s="713"/>
      <c r="HT4" s="713"/>
      <c r="HU4" s="713"/>
      <c r="HV4" s="713"/>
      <c r="HW4" s="713"/>
      <c r="HX4" s="713"/>
      <c r="HY4" s="713"/>
      <c r="HZ4" s="713"/>
      <c r="IA4" s="713"/>
      <c r="IB4" s="713"/>
      <c r="IC4" s="713"/>
      <c r="ID4" s="713"/>
      <c r="IE4" s="713"/>
      <c r="IF4" s="713"/>
      <c r="IG4" s="713"/>
      <c r="IH4" s="713"/>
      <c r="II4" s="713"/>
      <c r="IJ4" s="713"/>
      <c r="IK4" s="713"/>
      <c r="IL4" s="713"/>
      <c r="IM4" s="713"/>
      <c r="IN4" s="713"/>
      <c r="IO4" s="713"/>
      <c r="IP4" s="713"/>
      <c r="IQ4" s="713"/>
      <c r="IR4" s="713"/>
      <c r="IS4" s="713"/>
      <c r="IT4" s="713"/>
      <c r="IU4" s="713"/>
      <c r="IV4" s="713"/>
      <c r="IW4" s="713"/>
      <c r="IX4" s="713"/>
      <c r="IY4" s="713"/>
      <c r="IZ4" s="713"/>
      <c r="JA4" s="713"/>
      <c r="JB4" s="713"/>
      <c r="JC4" s="713"/>
      <c r="JD4" s="713"/>
      <c r="JE4" s="713"/>
      <c r="JF4" s="713"/>
      <c r="JG4" s="713"/>
      <c r="JH4" s="713"/>
      <c r="JI4" s="713"/>
      <c r="JJ4" s="713"/>
      <c r="JK4" s="713"/>
      <c r="JL4" s="713"/>
      <c r="JM4" s="713"/>
      <c r="JN4" s="713"/>
      <c r="JO4" s="713"/>
      <c r="JP4" s="713"/>
      <c r="JQ4" s="713"/>
      <c r="JR4" s="713"/>
      <c r="JS4" s="713"/>
      <c r="JT4" s="713"/>
      <c r="JU4" s="713"/>
      <c r="JV4" s="713"/>
      <c r="JW4" s="713"/>
      <c r="JX4" s="713"/>
      <c r="JY4" s="713"/>
      <c r="JZ4" s="713"/>
      <c r="KA4" s="713"/>
      <c r="KB4" s="713"/>
      <c r="KC4" s="713"/>
      <c r="KD4" s="713"/>
      <c r="KE4" s="713"/>
      <c r="KF4" s="713"/>
      <c r="KG4" s="713"/>
      <c r="KH4" s="713"/>
    </row>
    <row r="5" spans="2:294" ht="16.5" customHeight="1">
      <c r="D5" s="714" t="s">
        <v>2441</v>
      </c>
      <c r="F5" s="691" t="s">
        <v>2442</v>
      </c>
      <c r="AJ5" s="694" t="s">
        <v>2443</v>
      </c>
      <c r="AK5" s="694">
        <v>0</v>
      </c>
      <c r="AM5" s="209">
        <f>1+ROW(UNJC0180_B_DataListStart)-ROW()</f>
        <v>2</v>
      </c>
      <c r="AN5" s="705"/>
      <c r="AO5" s="220"/>
      <c r="AP5" s="220"/>
      <c r="AQ5" s="220"/>
      <c r="AR5" s="220"/>
      <c r="AS5" s="220"/>
      <c r="AT5" s="220"/>
      <c r="AU5" s="220"/>
      <c r="AV5" s="220"/>
      <c r="AW5" s="964"/>
      <c r="AX5" s="964"/>
      <c r="AY5" s="839"/>
      <c r="AZ5" s="964"/>
      <c r="BA5" s="964"/>
      <c r="BB5" s="759"/>
      <c r="BC5" s="172"/>
      <c r="BD5" s="13"/>
      <c r="BE5" s="683"/>
      <c r="BF5" s="683"/>
      <c r="BG5" s="752"/>
      <c r="BH5" s="172"/>
      <c r="BI5" s="752"/>
      <c r="BJ5" s="752"/>
      <c r="BK5" s="901"/>
      <c r="BL5" s="172"/>
      <c r="BM5" s="752"/>
      <c r="FK5" s="278" t="s">
        <v>2444</v>
      </c>
      <c r="FL5" s="273"/>
    </row>
    <row r="6" spans="2:294" ht="16.5" customHeight="1">
      <c r="C6" s="85" t="s">
        <v>788</v>
      </c>
      <c r="D6" s="715">
        <v>1</v>
      </c>
      <c r="F6" s="1711"/>
      <c r="G6" s="1712"/>
      <c r="H6" s="1712"/>
      <c r="I6" s="1713"/>
      <c r="J6" s="207"/>
      <c r="K6" s="207"/>
      <c r="L6" s="207"/>
      <c r="M6" s="207"/>
      <c r="N6" s="207"/>
      <c r="O6" s="207"/>
      <c r="P6" s="207"/>
      <c r="Q6" s="207"/>
      <c r="R6" s="207"/>
      <c r="S6" s="207"/>
      <c r="T6" s="208" t="s">
        <v>4429</v>
      </c>
      <c r="U6" s="1261">
        <f ca="1">TODAY()</f>
        <v>43005</v>
      </c>
      <c r="V6" s="1262"/>
      <c r="W6" s="1262"/>
      <c r="X6" s="1263"/>
      <c r="Y6" s="953" t="s">
        <v>26</v>
      </c>
      <c r="Z6" s="1261">
        <f ca="1">TODAY()</f>
        <v>43005</v>
      </c>
      <c r="AA6" s="1262"/>
      <c r="AB6" s="1262"/>
      <c r="AC6" s="1263"/>
      <c r="AE6" s="691" t="s">
        <v>2445</v>
      </c>
      <c r="FK6" s="278" t="s">
        <v>2446</v>
      </c>
      <c r="FL6" s="273" t="str">
        <f>ADDRESS(ROW(UNJC0180_IF_SENTAKU)+1,COLUMN(UNJC0180_IF_SENTAKU))</f>
        <v>$FN$5</v>
      </c>
    </row>
    <row r="7" spans="2:294" ht="16.5" customHeight="1">
      <c r="C7" s="716" t="s">
        <v>2232</v>
      </c>
      <c r="D7" s="717"/>
      <c r="F7" s="204"/>
      <c r="G7" s="207"/>
      <c r="H7" s="207"/>
      <c r="I7" s="207"/>
      <c r="J7" s="207"/>
      <c r="K7" s="207"/>
      <c r="L7" s="207"/>
      <c r="M7" s="207"/>
      <c r="N7" s="207"/>
      <c r="O7" s="207"/>
      <c r="P7" s="207"/>
      <c r="Q7" s="207"/>
      <c r="R7" s="207"/>
      <c r="S7" s="207"/>
      <c r="T7" s="208" t="s">
        <v>4430</v>
      </c>
      <c r="U7" s="1261"/>
      <c r="V7" s="1262"/>
      <c r="W7" s="1262"/>
      <c r="X7" s="1263"/>
      <c r="Y7" s="953" t="s">
        <v>26</v>
      </c>
      <c r="Z7" s="1261"/>
      <c r="AA7" s="1262"/>
      <c r="AB7" s="1262"/>
      <c r="AC7" s="1263"/>
      <c r="AE7" s="694" t="s">
        <v>121</v>
      </c>
      <c r="AF7" s="709"/>
      <c r="AM7" s="1756" t="s">
        <v>2447</v>
      </c>
      <c r="AN7" s="1756"/>
      <c r="AO7" s="714"/>
      <c r="AP7" s="714"/>
      <c r="AQ7" s="714"/>
      <c r="AR7" s="714"/>
      <c r="AS7" s="714"/>
      <c r="AT7" s="714"/>
      <c r="AU7" s="714"/>
      <c r="AV7" s="714"/>
      <c r="FK7" s="278" t="s">
        <v>2448</v>
      </c>
      <c r="FL7" s="273" t="str">
        <f>IF(UNJC0180_IF_EXCEL_DATA_CNT=0,"",UNJC0180_IF_EXCEL_LIST_START &amp;":" &amp; ADDRESS(ROW(UNJC0180_IF_EXCEL_LIST_START)+UNJC0180_IF_EXCEL_DATA_CNT-1,COLUMN(UNJC0180_IF_EXCEL_LIST_START)+COLUMNS(UNJC0180_IF_EXCEL_LIST_COPY_MOTO)+1))</f>
        <v/>
      </c>
      <c r="FP7" s="714"/>
      <c r="FQ7" s="714"/>
      <c r="FR7" s="714"/>
      <c r="FS7" s="714"/>
      <c r="FT7" s="714"/>
      <c r="FU7" s="714"/>
      <c r="FV7" s="714"/>
      <c r="FW7" s="714"/>
    </row>
    <row r="8" spans="2:294" ht="16.5" customHeight="1">
      <c r="C8" s="716" t="s">
        <v>97</v>
      </c>
      <c r="D8" s="717"/>
      <c r="F8" s="1708"/>
      <c r="G8" s="1740"/>
      <c r="H8" s="1740"/>
      <c r="I8" s="1741"/>
      <c r="J8" s="207"/>
      <c r="K8" s="207"/>
      <c r="L8" s="207"/>
      <c r="M8" s="207"/>
      <c r="N8" s="207"/>
      <c r="O8" s="207"/>
      <c r="P8" s="207"/>
      <c r="Q8" s="207"/>
      <c r="R8" s="207"/>
      <c r="S8" s="207"/>
      <c r="T8" s="208" t="s">
        <v>4431</v>
      </c>
      <c r="U8" s="1261"/>
      <c r="V8" s="1262"/>
      <c r="W8" s="1262"/>
      <c r="X8" s="1263"/>
      <c r="Y8" s="953" t="s">
        <v>26</v>
      </c>
      <c r="Z8" s="1261"/>
      <c r="AA8" s="1262"/>
      <c r="AB8" s="1262"/>
      <c r="AC8" s="1263"/>
      <c r="AE8" s="694" t="s">
        <v>2449</v>
      </c>
      <c r="AF8" s="709"/>
      <c r="AM8" s="764" t="s">
        <v>17</v>
      </c>
      <c r="AN8" s="764" t="s">
        <v>2415</v>
      </c>
      <c r="AO8" s="764" t="s">
        <v>1194</v>
      </c>
      <c r="AP8" s="764" t="s">
        <v>358</v>
      </c>
      <c r="AQ8" s="764" t="s">
        <v>359</v>
      </c>
      <c r="AR8" s="764" t="s">
        <v>375</v>
      </c>
      <c r="AS8" s="764" t="s">
        <v>376</v>
      </c>
      <c r="AT8" s="764" t="s">
        <v>377</v>
      </c>
      <c r="AU8" s="764" t="s">
        <v>378</v>
      </c>
      <c r="AV8" s="764" t="s">
        <v>379</v>
      </c>
      <c r="AW8" s="764" t="s">
        <v>867</v>
      </c>
      <c r="AX8" s="764" t="s">
        <v>2417</v>
      </c>
      <c r="AY8" s="764" t="s">
        <v>920</v>
      </c>
      <c r="AZ8" s="764" t="s">
        <v>827</v>
      </c>
      <c r="BA8" s="764" t="s">
        <v>29</v>
      </c>
      <c r="BB8" s="764" t="s">
        <v>28</v>
      </c>
      <c r="BC8" s="764" t="s">
        <v>78</v>
      </c>
      <c r="BD8" s="764" t="s">
        <v>1528</v>
      </c>
      <c r="BE8" s="764" t="s">
        <v>829</v>
      </c>
      <c r="BF8" s="764" t="s">
        <v>4</v>
      </c>
      <c r="BG8" s="764" t="s">
        <v>1524</v>
      </c>
      <c r="BH8" s="764" t="s">
        <v>86</v>
      </c>
      <c r="BI8" s="764" t="s">
        <v>62</v>
      </c>
      <c r="BJ8" s="764" t="s">
        <v>63</v>
      </c>
      <c r="BK8" s="764" t="s">
        <v>1</v>
      </c>
      <c r="BL8" s="764" t="s">
        <v>2439</v>
      </c>
      <c r="BM8"/>
      <c r="BN8"/>
      <c r="BO8" s="278"/>
      <c r="BP8" s="278"/>
      <c r="BQ8" s="278"/>
      <c r="BR8" s="278"/>
      <c r="BS8" s="278"/>
      <c r="BT8" s="278"/>
      <c r="BU8" s="278"/>
      <c r="BV8" s="278"/>
      <c r="BW8" s="278"/>
      <c r="BX8" s="278"/>
      <c r="BY8" s="278"/>
      <c r="BZ8" s="278"/>
      <c r="CA8" s="278"/>
      <c r="CB8" s="278"/>
      <c r="CC8" s="278"/>
      <c r="CD8" s="278"/>
      <c r="CE8" s="278"/>
      <c r="CF8" s="278"/>
      <c r="CG8" s="278"/>
      <c r="CH8" s="278"/>
      <c r="CI8" s="278"/>
      <c r="CJ8" s="278"/>
      <c r="CK8" s="278"/>
      <c r="CL8" s="278"/>
      <c r="CM8" s="278"/>
      <c r="CN8" s="278"/>
      <c r="CO8" s="278"/>
      <c r="CP8" s="278"/>
      <c r="CQ8" s="278"/>
      <c r="CR8" s="278"/>
      <c r="CS8" s="278"/>
      <c r="CT8" s="278"/>
      <c r="CU8" s="278"/>
      <c r="CV8" s="278"/>
      <c r="CW8" s="278"/>
      <c r="CX8" s="278"/>
      <c r="CY8" s="278"/>
      <c r="CZ8" s="278"/>
      <c r="DA8" s="278"/>
      <c r="DB8" s="278"/>
      <c r="DC8" s="278"/>
      <c r="DD8" s="278"/>
      <c r="DE8" s="278"/>
      <c r="DF8" s="278"/>
      <c r="DG8" s="278"/>
      <c r="DH8" s="278"/>
      <c r="DI8" s="278"/>
      <c r="DJ8" s="278"/>
      <c r="DK8" s="278"/>
      <c r="DL8" s="278"/>
      <c r="DM8" s="278"/>
      <c r="DN8" s="278"/>
      <c r="DO8" s="278"/>
      <c r="DP8" s="278"/>
      <c r="DQ8" s="278"/>
      <c r="DR8" s="278"/>
      <c r="DS8" s="278"/>
      <c r="DT8" s="278"/>
      <c r="DU8" s="278"/>
      <c r="DV8" s="278"/>
      <c r="DW8" s="278"/>
      <c r="DX8" s="278"/>
      <c r="DY8" s="278"/>
      <c r="DZ8" s="278"/>
      <c r="EA8" s="278"/>
      <c r="EB8" s="278"/>
      <c r="EC8" s="278"/>
      <c r="ED8" s="278"/>
      <c r="EE8" s="278"/>
      <c r="EF8" s="278"/>
      <c r="EG8" s="278"/>
      <c r="EH8" s="278"/>
      <c r="EI8" s="278"/>
      <c r="EJ8" s="278"/>
      <c r="EK8" s="278"/>
      <c r="EL8" s="278"/>
      <c r="EM8" s="278"/>
      <c r="EN8" s="278"/>
      <c r="EO8" s="278"/>
      <c r="EP8" s="278"/>
      <c r="EQ8" s="278"/>
      <c r="ER8" s="278"/>
      <c r="ES8" s="278"/>
      <c r="ET8" s="278"/>
      <c r="EU8" s="278"/>
      <c r="EV8" s="278"/>
      <c r="EW8" s="278"/>
      <c r="EX8" s="278"/>
      <c r="EY8" s="278"/>
      <c r="EZ8" s="278"/>
      <c r="FA8" s="278"/>
      <c r="FB8" s="278"/>
      <c r="FC8" s="278"/>
      <c r="FD8" s="278"/>
      <c r="FE8" s="278"/>
      <c r="FF8" s="278"/>
      <c r="FG8" s="278"/>
      <c r="FK8" s="278" t="s">
        <v>2450</v>
      </c>
      <c r="FL8" s="273" t="str">
        <f ca="1">"分析ノート" &amp;"_"&amp;TEXT(NOW(),"YYYYMMDD!_hhmmss")</f>
        <v>分析ノート_20170927_151616</v>
      </c>
      <c r="FO8" s="278"/>
      <c r="FP8" s="278"/>
      <c r="FQ8" s="278"/>
      <c r="FR8" s="278"/>
      <c r="FS8" s="278"/>
      <c r="FT8" s="278"/>
      <c r="FU8" s="278"/>
      <c r="FV8" s="278"/>
      <c r="FW8" s="278"/>
      <c r="FX8" s="278"/>
      <c r="FY8" s="278"/>
      <c r="FZ8" s="278"/>
      <c r="GA8" s="278"/>
      <c r="GB8" s="278"/>
      <c r="GC8" s="278"/>
      <c r="GD8" s="278"/>
      <c r="GE8" s="278"/>
      <c r="GF8" s="278"/>
      <c r="GG8" s="278"/>
      <c r="GH8" s="278"/>
      <c r="GI8" s="278"/>
      <c r="GJ8" s="278"/>
      <c r="GK8" s="278"/>
      <c r="GL8" s="278"/>
      <c r="GM8" s="278"/>
    </row>
    <row r="9" spans="2:294" ht="16.5" customHeight="1">
      <c r="C9" s="691" t="s">
        <v>3583</v>
      </c>
      <c r="D9" s="717"/>
      <c r="F9" s="1338"/>
      <c r="G9" s="1742"/>
      <c r="H9" s="1742"/>
      <c r="I9" s="1742"/>
      <c r="J9" s="1742"/>
      <c r="K9" s="1742"/>
      <c r="L9" s="1742"/>
      <c r="M9" s="1743"/>
      <c r="N9" s="207"/>
      <c r="O9" s="207"/>
      <c r="P9" s="207"/>
      <c r="Q9" s="207"/>
      <c r="R9" s="207"/>
      <c r="S9" s="207"/>
      <c r="T9" s="208" t="s">
        <v>4433</v>
      </c>
      <c r="U9" s="1261"/>
      <c r="V9" s="1262"/>
      <c r="W9" s="1262"/>
      <c r="X9" s="1263"/>
      <c r="Y9" s="953" t="s">
        <v>26</v>
      </c>
      <c r="Z9" s="1261"/>
      <c r="AA9" s="1262"/>
      <c r="AB9" s="1262"/>
      <c r="AC9" s="1263"/>
      <c r="AE9" s="694" t="s">
        <v>2451</v>
      </c>
      <c r="AF9" s="709"/>
      <c r="AM9" s="209">
        <f>1+ROW(UNJC0180_B_DataListStart)-ROW()</f>
        <v>-2</v>
      </c>
      <c r="AN9" s="705"/>
      <c r="AO9" s="220"/>
      <c r="AP9" s="220"/>
      <c r="AQ9" s="220"/>
      <c r="AR9" s="220"/>
      <c r="AS9" s="220"/>
      <c r="AT9" s="220"/>
      <c r="AU9" s="220"/>
      <c r="AV9" s="220"/>
      <c r="AW9" s="706"/>
      <c r="AX9" s="706"/>
      <c r="AY9" s="707"/>
      <c r="AZ9" s="706"/>
      <c r="BA9" s="706"/>
      <c r="BB9" s="759"/>
      <c r="BC9" s="172"/>
      <c r="BD9" s="13"/>
      <c r="BE9" s="765"/>
      <c r="BF9" s="765"/>
      <c r="BG9" s="765"/>
      <c r="BH9" s="172"/>
      <c r="BI9" s="765"/>
      <c r="BJ9" s="765"/>
      <c r="BK9" s="901"/>
      <c r="BL9" s="172"/>
      <c r="BM9"/>
      <c r="BN9"/>
      <c r="BO9" s="278"/>
      <c r="BP9" s="278"/>
      <c r="BQ9" s="278"/>
      <c r="BR9" s="278"/>
      <c r="BS9" s="278"/>
      <c r="BT9" s="278"/>
      <c r="BU9" s="278"/>
      <c r="BV9" s="278"/>
      <c r="BW9" s="278"/>
      <c r="BX9" s="278"/>
      <c r="BY9" s="278"/>
      <c r="BZ9" s="278"/>
      <c r="CA9" s="278"/>
      <c r="CB9" s="278"/>
      <c r="CC9" s="278"/>
      <c r="CD9" s="278"/>
      <c r="CE9" s="278"/>
      <c r="CF9" s="278"/>
      <c r="CG9" s="278"/>
      <c r="CH9" s="278"/>
      <c r="CI9" s="278"/>
      <c r="CJ9" s="278"/>
      <c r="CK9" s="278"/>
      <c r="CL9" s="278"/>
      <c r="CM9" s="278"/>
      <c r="CN9" s="278"/>
      <c r="CO9" s="278"/>
      <c r="CP9" s="278"/>
      <c r="CQ9" s="278"/>
      <c r="CR9" s="278"/>
      <c r="CS9" s="278"/>
      <c r="CT9" s="278"/>
      <c r="CU9" s="278"/>
      <c r="CV9" s="278"/>
      <c r="CW9" s="278"/>
      <c r="CX9" s="278"/>
      <c r="CY9" s="278"/>
      <c r="CZ9" s="278"/>
      <c r="DA9" s="278"/>
      <c r="DB9" s="278"/>
      <c r="DC9" s="278"/>
      <c r="DD9" s="278"/>
      <c r="DE9" s="278"/>
      <c r="DF9" s="278"/>
      <c r="DG9" s="278"/>
      <c r="DH9" s="278"/>
      <c r="DI9" s="278"/>
      <c r="DJ9" s="278"/>
      <c r="DK9" s="278"/>
      <c r="DL9" s="278"/>
      <c r="DM9" s="278"/>
      <c r="DN9" s="278"/>
      <c r="DO9" s="278"/>
      <c r="DP9" s="278"/>
      <c r="DQ9" s="278"/>
      <c r="DR9" s="278"/>
      <c r="DS9" s="278"/>
      <c r="DT9" s="278"/>
      <c r="DU9" s="278"/>
      <c r="DV9" s="278"/>
      <c r="DW9" s="278"/>
      <c r="DX9" s="278"/>
      <c r="DY9" s="278"/>
      <c r="DZ9" s="278"/>
      <c r="EA9" s="278"/>
      <c r="EB9" s="278"/>
      <c r="EC9" s="278"/>
      <c r="ED9" s="278"/>
      <c r="EE9" s="278"/>
      <c r="EF9" s="278"/>
      <c r="EG9" s="278"/>
      <c r="EH9" s="278"/>
      <c r="EI9" s="278"/>
      <c r="EJ9" s="278"/>
      <c r="EK9" s="278"/>
      <c r="EL9" s="278"/>
      <c r="EM9" s="278"/>
      <c r="EN9" s="278"/>
      <c r="EO9" s="278"/>
      <c r="EP9" s="278"/>
      <c r="EQ9" s="278"/>
      <c r="ER9" s="278"/>
      <c r="ES9" s="278"/>
      <c r="ET9" s="278"/>
      <c r="EU9" s="278"/>
      <c r="EV9" s="278"/>
      <c r="EW9" s="278"/>
      <c r="EX9" s="278"/>
      <c r="EY9" s="278"/>
      <c r="EZ9" s="278"/>
      <c r="FA9" s="278"/>
      <c r="FB9" s="278"/>
      <c r="FC9" s="278"/>
      <c r="FD9" s="278"/>
      <c r="FE9" s="278"/>
      <c r="FF9" s="278"/>
      <c r="FG9" s="278"/>
      <c r="FO9" s="278"/>
      <c r="FP9" s="278"/>
      <c r="FQ9" s="278"/>
      <c r="FR9" s="278"/>
      <c r="FS9" s="278"/>
      <c r="FT9" s="278"/>
      <c r="FU9" s="278"/>
      <c r="FV9" s="278"/>
      <c r="FW9" s="278"/>
      <c r="FX9" s="278"/>
      <c r="FY9" s="278"/>
      <c r="FZ9" s="278"/>
      <c r="GA9" s="278"/>
      <c r="GB9" s="278"/>
      <c r="GC9" s="278"/>
      <c r="GD9" s="278"/>
      <c r="GE9" s="278"/>
      <c r="GF9" s="278"/>
      <c r="GG9" s="278"/>
      <c r="GH9" s="278"/>
      <c r="GI9" s="278"/>
      <c r="GJ9" s="278"/>
      <c r="GK9" s="278"/>
      <c r="GL9" s="278"/>
      <c r="GM9" s="278"/>
    </row>
    <row r="10" spans="2:294" ht="16.5" customHeight="1">
      <c r="C10" s="691" t="s">
        <v>4</v>
      </c>
      <c r="D10" s="717"/>
      <c r="F10" s="1290"/>
      <c r="G10" s="1746"/>
      <c r="H10" s="1746"/>
      <c r="I10" s="1747"/>
      <c r="J10" s="1748" t="str">
        <f>IFERROR(IF(UNJC0180_H_BUNSEKI_HOHO="","",INDEX(UNJC_BUNSEKI_HOHO_IF_LIST,MATCH(UNJC0180_H_BUNSEKI_HOHO,UNJC_BUNSEKI_HOHO_IF_LIST2,0),2)),"")</f>
        <v/>
      </c>
      <c r="K10" s="1749"/>
      <c r="L10" s="1749"/>
      <c r="M10" s="1749"/>
      <c r="N10" s="1749"/>
      <c r="O10" s="1749"/>
      <c r="P10" s="1750"/>
      <c r="Q10" s="207"/>
      <c r="R10" s="207"/>
      <c r="S10" s="207"/>
      <c r="T10" s="208" t="s">
        <v>4411</v>
      </c>
      <c r="U10" s="1261"/>
      <c r="V10" s="1262"/>
      <c r="W10" s="1262"/>
      <c r="X10" s="1263"/>
      <c r="Y10" s="953" t="s">
        <v>26</v>
      </c>
      <c r="Z10" s="1261"/>
      <c r="AA10" s="1262"/>
      <c r="AB10" s="1262"/>
      <c r="AC10" s="1263"/>
      <c r="AE10" s="694" t="s">
        <v>2452</v>
      </c>
      <c r="AF10" s="709"/>
    </row>
    <row r="11" spans="2:294" ht="16.5" customHeight="1">
      <c r="C11" s="956"/>
      <c r="D11" s="798"/>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FJ11" s="187"/>
      <c r="FK11" s="252" t="s">
        <v>2453</v>
      </c>
      <c r="FL11" s="81" t="str">
        <f>ADDRESS(ROW(FN1),COLUMN(FN1))&amp;":"&amp;ADDRESS(ROW(FW1),COLUMN(FW1))&amp;","&amp;ADDRESS(ROW(GM1),COLUMN(GM1))&amp;":"&amp;ADDRESS(ROW(GM1),COLUMN(GM1))</f>
        <v>$FN$1:$FW$1,$GM$1:$GM$1</v>
      </c>
    </row>
    <row r="12" spans="2:294" ht="16.5" customHeight="1">
      <c r="F12" s="1701"/>
      <c r="G12" s="1702"/>
      <c r="H12" s="1702"/>
      <c r="I12" s="1703"/>
      <c r="J12" s="1394" t="str">
        <f>IF(OR(UNJC0180_H_BUNSEKI_KOMOKU_CD="",UNJC0180_H_BUNSEKI_KOMOKU_MEI=""),"",UNJC0180_H_BUNSEKI_KOMOKU_MEI)</f>
        <v/>
      </c>
      <c r="K12" s="1744"/>
      <c r="L12" s="1744"/>
      <c r="M12" s="1744"/>
      <c r="N12" s="1744"/>
      <c r="O12" s="1744"/>
      <c r="P12" s="1744"/>
      <c r="Q12" s="1744"/>
      <c r="R12" s="1744"/>
      <c r="S12" s="1744"/>
      <c r="T12" s="1744"/>
      <c r="U12" s="1744"/>
      <c r="V12" s="1745"/>
      <c r="W12" s="207"/>
      <c r="X12" s="207"/>
      <c r="Y12" s="207"/>
      <c r="Z12" s="207"/>
      <c r="AA12" s="207"/>
      <c r="AB12" s="207"/>
      <c r="AC12" s="207"/>
    </row>
    <row r="13" spans="2:294" ht="16.5" customHeight="1">
      <c r="F13" s="1751"/>
      <c r="G13" s="1752"/>
      <c r="H13" s="1752"/>
      <c r="I13" s="1753"/>
      <c r="J13" s="1344"/>
      <c r="K13" s="1754"/>
      <c r="L13" s="1754"/>
      <c r="M13" s="1754"/>
      <c r="N13" s="1754"/>
      <c r="O13" s="1754"/>
      <c r="P13" s="1754"/>
      <c r="Q13" s="1754"/>
      <c r="R13" s="1754"/>
      <c r="S13" s="1754"/>
      <c r="T13" s="1754"/>
      <c r="U13" s="1754"/>
      <c r="V13" s="1755"/>
      <c r="W13" s="207"/>
      <c r="X13" s="207"/>
      <c r="Y13" s="207"/>
      <c r="Z13" s="207"/>
      <c r="AA13" s="207"/>
      <c r="AB13" s="207"/>
      <c r="AC13" s="207"/>
    </row>
    <row r="14" spans="2:294" ht="16.5" customHeight="1">
      <c r="F14" s="1701"/>
      <c r="G14" s="1702"/>
      <c r="H14" s="1702"/>
      <c r="I14" s="1703"/>
      <c r="J14" s="1394" t="str">
        <f>IF(OR(UNJC0180_H_SEIKYUSAKI_CD="",UNJC0180_H_SEIKYUSAKI_MEI=""),"",UNJC0180_H_SEIKYUSAKI_MEI)</f>
        <v/>
      </c>
      <c r="K14" s="1744"/>
      <c r="L14" s="1744"/>
      <c r="M14" s="1744"/>
      <c r="N14" s="1744"/>
      <c r="O14" s="1744"/>
      <c r="P14" s="1744"/>
      <c r="Q14" s="1744"/>
      <c r="R14" s="1744"/>
      <c r="S14" s="1744"/>
      <c r="T14" s="1744"/>
      <c r="U14" s="1744"/>
      <c r="V14" s="1745"/>
      <c r="W14" s="207"/>
      <c r="X14" s="207"/>
      <c r="Y14" s="207"/>
      <c r="Z14" s="207"/>
      <c r="AA14" s="207"/>
      <c r="AB14" s="207"/>
      <c r="AC14" s="207"/>
    </row>
    <row r="15" spans="2:294" ht="16.5" customHeight="1">
      <c r="F15" s="1708"/>
      <c r="G15" s="1740"/>
      <c r="H15" s="1740"/>
      <c r="I15" s="1741"/>
      <c r="J15" s="207"/>
      <c r="K15" s="207"/>
      <c r="L15" s="207"/>
      <c r="M15" s="207"/>
      <c r="N15" s="207"/>
      <c r="O15" s="207"/>
      <c r="P15" s="207"/>
      <c r="Q15" s="207"/>
      <c r="R15" s="207"/>
      <c r="S15" s="207"/>
      <c r="T15" s="207"/>
      <c r="U15" s="207"/>
      <c r="V15" s="207"/>
      <c r="W15" s="207"/>
      <c r="X15" s="207"/>
      <c r="Y15" s="207"/>
      <c r="Z15" s="207"/>
      <c r="AA15" s="207"/>
      <c r="AB15" s="207"/>
      <c r="AC15" s="207"/>
    </row>
    <row r="16" spans="2:294" ht="16.5" customHeight="1">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row>
    <row r="17" spans="2:167" ht="16.5" customHeight="1">
      <c r="F17" s="1695"/>
      <c r="G17" s="1696"/>
      <c r="H17" s="1696"/>
      <c r="I17" s="1697"/>
      <c r="J17" s="77" t="str">
        <f>IF(UNJC0180_H_FREEWD_KBN=1, "AND",IF(UNJC0180_H_FREEWD_KBN=2,"OR","NAND"))</f>
        <v>AND</v>
      </c>
      <c r="K17" s="1695"/>
      <c r="L17" s="1696"/>
      <c r="M17" s="1696"/>
      <c r="N17" s="1697"/>
      <c r="O17" s="77" t="str">
        <f>IF(UNJC0180_H_FREEWD_KBN=1, "AND",IF(UNJC0180_H_FREEWD_KBN=2,"OR","NAND"))</f>
        <v>AND</v>
      </c>
      <c r="P17" s="1695"/>
      <c r="Q17" s="1696"/>
      <c r="R17" s="1696"/>
      <c r="S17" s="1697"/>
      <c r="T17" s="207"/>
      <c r="U17" s="207"/>
      <c r="V17" s="207"/>
      <c r="W17" s="207"/>
      <c r="X17" s="207"/>
      <c r="Y17" s="207"/>
      <c r="Z17" s="207"/>
      <c r="AA17" s="207"/>
      <c r="AB17" s="207"/>
      <c r="AC17" s="207"/>
    </row>
    <row r="18" spans="2:167" ht="16.5" customHeight="1">
      <c r="FK18" s="339"/>
    </row>
    <row r="20" spans="2:167" ht="16.5" customHeight="1">
      <c r="B20" s="708" t="s">
        <v>111</v>
      </c>
      <c r="C20" s="280"/>
      <c r="D20" s="280"/>
    </row>
    <row r="21" spans="2:167" ht="16.5" customHeight="1">
      <c r="B21" s="280" t="s">
        <v>108</v>
      </c>
      <c r="C21" s="280" t="s">
        <v>2454</v>
      </c>
      <c r="D21" s="281"/>
    </row>
    <row r="22" spans="2:167" ht="16.5" customHeight="1">
      <c r="B22" s="280" t="s">
        <v>110</v>
      </c>
      <c r="C22" s="280" t="s">
        <v>2455</v>
      </c>
      <c r="D22" s="27"/>
      <c r="E22" s="21"/>
    </row>
    <row r="23" spans="2:167" ht="16.5" customHeight="1">
      <c r="B23" s="280" t="s">
        <v>109</v>
      </c>
      <c r="C23" s="280" t="s">
        <v>2456</v>
      </c>
      <c r="D23" s="27">
        <v>0</v>
      </c>
      <c r="E23" s="300"/>
    </row>
    <row r="24" spans="2:167" ht="16.5" customHeight="1">
      <c r="E24" s="300"/>
    </row>
    <row r="25" spans="2:167" ht="16.5" customHeight="1">
      <c r="E25" s="300"/>
    </row>
    <row r="26" spans="2:167" ht="16.5" customHeight="1">
      <c r="E26" s="300"/>
    </row>
    <row r="27" spans="2:167" ht="16.5" customHeight="1">
      <c r="E27" s="300"/>
    </row>
    <row r="28" spans="2:167" ht="16.5" customHeight="1">
      <c r="E28" s="300"/>
    </row>
    <row r="29" spans="2:167" ht="16.5" customHeight="1">
      <c r="E29" s="300"/>
    </row>
    <row r="30" spans="2:167" ht="16.5" customHeight="1">
      <c r="E30" s="300"/>
    </row>
    <row r="31" spans="2:167" ht="16.5" customHeight="1">
      <c r="E31" s="300"/>
    </row>
    <row r="32" spans="2:167" ht="16.5" customHeight="1">
      <c r="E32" s="300"/>
    </row>
    <row r="33" spans="5:5" ht="16.5" customHeight="1">
      <c r="E33" s="300"/>
    </row>
    <row r="34" spans="5:5" ht="16.5" customHeight="1">
      <c r="E34" s="300"/>
    </row>
    <row r="35" spans="5:5" ht="16.5" customHeight="1">
      <c r="E35" s="300"/>
    </row>
    <row r="36" spans="5:5" ht="16.5" customHeight="1">
      <c r="E36" s="85"/>
    </row>
    <row r="37" spans="5:5" ht="16.5" customHeight="1">
      <c r="E37" s="85"/>
    </row>
  </sheetData>
  <mergeCells count="26">
    <mergeCell ref="F14:I14"/>
    <mergeCell ref="J14:V14"/>
    <mergeCell ref="F15:I15"/>
    <mergeCell ref="F17:I17"/>
    <mergeCell ref="K17:N17"/>
    <mergeCell ref="P17:S17"/>
    <mergeCell ref="U10:X10"/>
    <mergeCell ref="Z10:AC10"/>
    <mergeCell ref="F13:I13"/>
    <mergeCell ref="J13:V13"/>
    <mergeCell ref="F12:I12"/>
    <mergeCell ref="J12:V12"/>
    <mergeCell ref="F10:I10"/>
    <mergeCell ref="J10:P10"/>
    <mergeCell ref="F8:I8"/>
    <mergeCell ref="U8:X8"/>
    <mergeCell ref="Z8:AC8"/>
    <mergeCell ref="U9:X9"/>
    <mergeCell ref="Z9:AC9"/>
    <mergeCell ref="F9:M9"/>
    <mergeCell ref="AM7:AN7"/>
    <mergeCell ref="F6:I6"/>
    <mergeCell ref="U6:X6"/>
    <mergeCell ref="Z6:AC6"/>
    <mergeCell ref="U7:X7"/>
    <mergeCell ref="Z7:AC7"/>
  </mergeCells>
  <phoneticPr fontId="2"/>
  <dataValidations count="6">
    <dataValidation type="custom" allowBlank="1" showInputMessage="1" showErrorMessage="1" sqref="J13">
      <formula1>LEN(UNJC0180_H_ATENA)&lt;=25</formula1>
    </dataValidation>
    <dataValidation type="custom" allowBlank="1" showInputMessage="1" showErrorMessage="1" sqref="F6:I6">
      <formula1>AND(LEN(UNJC0180_H_JURI_NO)=LENB(UNJC0180_H_JURI_NO),LEN(UNJC0180_H_JURI_NO)=10)</formula1>
    </dataValidation>
    <dataValidation type="textLength" operator="lessThanOrEqual" allowBlank="1" showInputMessage="1" showErrorMessage="1" sqref="F9:M9">
      <formula1>20</formula1>
    </dataValidation>
    <dataValidation type="whole" allowBlank="1" showInputMessage="1" showErrorMessage="1" sqref="F7">
      <formula1>1</formula1>
      <formula2>99</formula2>
    </dataValidation>
    <dataValidation type="date" allowBlank="1" showInputMessage="1" showErrorMessage="1" sqref="U6:X6 U7:X7 U8:X8 U9:X9 U10:X10 Z10:AC10 Z9:AC9 Z8:AC8 Z7:AC7 Z6:AC6">
      <formula1>36526</formula1>
      <formula2>73415</formula2>
    </dataValidation>
    <dataValidation type="custom" allowBlank="1" showInputMessage="1" showErrorMessage="1" sqref="F10:I10">
      <formula1>AND(LEN(O7)=LENB(O7),LEN(O7)&lt;=9)</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073" r:id="rId4" name="Button 1">
              <controlPr defaultSize="0" print="0" autoFill="0" autoPict="0" macro="[0]!UNJC0180_ListClear">
                <anchor moveWithCells="1" sizeWithCells="1">
                  <from>
                    <xdr:col>35</xdr:col>
                    <xdr:colOff>152400</xdr:colOff>
                    <xdr:row>7</xdr:row>
                    <xdr:rowOff>47625</xdr:rowOff>
                  </from>
                  <to>
                    <xdr:col>35</xdr:col>
                    <xdr:colOff>1047750</xdr:colOff>
                    <xdr:row>8</xdr:row>
                    <xdr:rowOff>114300</xdr:rowOff>
                  </to>
                </anchor>
              </controlPr>
            </control>
          </mc:Choice>
        </mc:AlternateContent>
        <mc:AlternateContent xmlns:mc="http://schemas.openxmlformats.org/markup-compatibility/2006">
          <mc:Choice Requires="x14">
            <control shapeId="2051075" r:id="rId5" name="Button 3">
              <controlPr defaultSize="0" print="0" autoFill="0" autoPict="0" macro="[0]!UNJC0180_LayoutCopy">
                <anchor moveWithCells="1" sizeWithCells="1">
                  <from>
                    <xdr:col>35</xdr:col>
                    <xdr:colOff>152400</xdr:colOff>
                    <xdr:row>5</xdr:row>
                    <xdr:rowOff>123825</xdr:rowOff>
                  </from>
                  <to>
                    <xdr:col>35</xdr:col>
                    <xdr:colOff>1047750</xdr:colOff>
                    <xdr:row>6</xdr:row>
                    <xdr:rowOff>190500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I78"/>
  <sheetViews>
    <sheetView topLeftCell="A37" zoomScale="85" zoomScaleNormal="85" workbookViewId="0">
      <selection activeCell="E40" sqref="E40"/>
    </sheetView>
  </sheetViews>
  <sheetFormatPr defaultRowHeight="13.5"/>
  <cols>
    <col min="1" max="1" width="3.625" style="278" customWidth="1"/>
    <col min="2" max="3" width="2.625" style="278" customWidth="1"/>
    <col min="4" max="4" width="27.75" style="278" bestFit="1" customWidth="1"/>
    <col min="5" max="5" width="62.5" style="278" customWidth="1"/>
    <col min="6" max="6" width="10.625" style="278" customWidth="1"/>
    <col min="7" max="7" width="25.75" style="278" bestFit="1" customWidth="1"/>
    <col min="8" max="8" width="21.375" style="278" bestFit="1" customWidth="1"/>
    <col min="9" max="9" width="38.25" style="278" bestFit="1" customWidth="1"/>
    <col min="10" max="16384" width="9" style="278"/>
  </cols>
  <sheetData>
    <row r="1" spans="2:9">
      <c r="B1" s="278" t="s">
        <v>2457</v>
      </c>
    </row>
    <row r="2" spans="2:9">
      <c r="B2" s="1760" t="s">
        <v>2458</v>
      </c>
      <c r="C2" s="1760"/>
      <c r="D2" s="1760"/>
      <c r="E2" s="718" t="s">
        <v>2459</v>
      </c>
      <c r="F2" s="718" t="s">
        <v>2460</v>
      </c>
      <c r="G2" s="718" t="s">
        <v>2461</v>
      </c>
    </row>
    <row r="3" spans="2:9">
      <c r="B3" s="1761"/>
      <c r="C3" s="1761"/>
      <c r="D3" s="1761"/>
      <c r="E3" s="719"/>
      <c r="F3" s="719"/>
      <c r="G3" s="720" t="s">
        <v>2462</v>
      </c>
    </row>
    <row r="4" spans="2:9">
      <c r="B4" s="721"/>
      <c r="C4" s="1762" t="s">
        <v>2463</v>
      </c>
      <c r="D4" s="1762"/>
      <c r="E4" s="722"/>
      <c r="F4" s="722"/>
      <c r="G4" s="723" t="s">
        <v>484</v>
      </c>
    </row>
    <row r="5" spans="2:9">
      <c r="B5" s="721"/>
      <c r="C5" s="1762" t="s">
        <v>2464</v>
      </c>
      <c r="D5" s="1762"/>
      <c r="E5" s="723"/>
      <c r="F5" s="723"/>
      <c r="G5" s="723" t="s">
        <v>484</v>
      </c>
    </row>
    <row r="6" spans="2:9">
      <c r="B6" s="724"/>
      <c r="C6" s="1762" t="s">
        <v>2465</v>
      </c>
      <c r="D6" s="1762"/>
      <c r="E6" s="723"/>
      <c r="F6" s="723"/>
      <c r="G6" s="723" t="s">
        <v>484</v>
      </c>
    </row>
    <row r="8" spans="2:9" ht="50.1" customHeight="1">
      <c r="B8" s="1763" t="s">
        <v>2466</v>
      </c>
      <c r="C8" s="1764"/>
      <c r="D8" s="1765"/>
      <c r="E8" s="725" t="str">
        <f>"EXEC SP_LOAD_BUN_NOTE "
&amp; "'" &amp; UNJC0180_IF_W_USER_ID &amp; "'"
&amp; ",'" &amp; UNJC0180_IF_W_SERIAL &amp; "'"
&amp; "," &amp; H8
&amp; ",'" &amp; E35 &amp; "'"</f>
        <v>EXEC SP_LOAD_BUN_NOTE '','',0,' WHERE 1=1 AND JURI_NO = ''JYY-MM9999''     AND BUNSEKI_HOHO_CD = ''Ｘ（２５）ＸＸＸＸＸＸＸＸＸＸＸＸＸＸＸＸＸＸＸＸ''  AND SHIRYO_SHURUI LIKE ''%Ｘ（２０）ＸＸＸＸＸＸＸＸＸＸＸＸＸＸＸ%''            AND ATENA_CD = ''X(10)XXXXX''  AND ATENA LIKE ''%Ｘ（２５）ＸＸＸＸＸＸＸＸＸＸＸＸＸＸＸＸＸＸＸＸ%''  AND SEIKYU_CD = ''X(10)XXXXX''   '</v>
      </c>
      <c r="F8" s="725"/>
      <c r="G8" s="719" t="s">
        <v>2467</v>
      </c>
      <c r="H8" s="726">
        <v>0</v>
      </c>
      <c r="I8" s="278" t="s">
        <v>2468</v>
      </c>
    </row>
    <row r="9" spans="2:9">
      <c r="B9" s="727"/>
      <c r="C9" s="1762" t="s">
        <v>2464</v>
      </c>
      <c r="D9" s="1762"/>
      <c r="E9" s="723" t="s">
        <v>2469</v>
      </c>
      <c r="F9" s="723"/>
      <c r="G9" s="723"/>
    </row>
    <row r="10" spans="2:9" ht="27" customHeight="1">
      <c r="B10" s="1763" t="s">
        <v>2470</v>
      </c>
      <c r="C10" s="1764"/>
      <c r="D10" s="1765"/>
      <c r="E10" s="725" t="str">
        <f>E20&amp;E23&amp;E14</f>
        <v xml:space="preserve">SELECT COUNT(*) AS CNT
  FROM W_BUN_NOTE
 WHERE W_USER_ID  = ''
   AND W_SERIAL   = ''
</v>
      </c>
      <c r="F10" s="725"/>
      <c r="G10" s="719" t="s">
        <v>2471</v>
      </c>
    </row>
    <row r="11" spans="2:9" ht="27" customHeight="1">
      <c r="B11" s="1763" t="s">
        <v>2472</v>
      </c>
      <c r="C11" s="1764"/>
      <c r="D11" s="1765"/>
      <c r="E11" s="725" t="str">
        <f>E21&amp;E23&amp;E14</f>
        <v xml:space="preserve">SELECT ISNULL(SUM(W_BUN_NOTE.BUNSEKI_CNT),0) AS CNT
  FROM W_BUN_NOTE
 WHERE W_USER_ID  = ''
   AND W_SERIAL   = ''
</v>
      </c>
      <c r="F11" s="725"/>
      <c r="G11" s="719" t="s">
        <v>2473</v>
      </c>
    </row>
    <row r="12" spans="2:9" ht="50.1" customHeight="1">
      <c r="B12" s="1763" t="s">
        <v>2474</v>
      </c>
      <c r="C12" s="1764"/>
      <c r="D12" s="1765"/>
      <c r="E12" s="725" t="str">
        <f>"SELECT MAX(BUNSEKI_CNT) FROM (
"&amp;UNJC0180_SQL_DataSearch_PageView&amp;"
) TBL_A"</f>
        <v>SELECT MAX(BUNSEKI_CNT) FROM (
SELECT ROW_NUMBER() OVER ( ORDER BY JURI_NO ASC,JURI_EDA_NO ASC)AS SEL
,SELECT_FLG
,W_USER_ID
,W_SERIAL
,W_ROW
,DBS_STATUS
,DBS_CREATE_USER
,DBS_CREATE_DATE
,DBS_UPDATE_USER
,DBS_UPDATE_DATE
,CONVERT(NVARCHAR, NYURYOKU_DATETIME, 111) AS NYURYOKU_DATETIME
,KANRYO_DATE
,CHUKAN_DATE_1
,KANSEI_DATE
,NOHIN_DATE
,JURI_NO
,JURI_EDA_NO
,BUSHO_MEI
,ATENA
,SEIKYU_MEI
,BUNSEKI_HOHO
,EIGYO_TANTO_MEI
,SHIRYO_SHURUI
,SHIRYO_MEI
,H_BIKO
,BUNSEKI_CNT,BUNSEKI_MEI_01 ,BUNSEKI_MEI_02 ,BUNSEKI_MEI_03 ,BUNSEKI_MEI_04 ,BUNSEKI_MEI_05
,BUNSEKI_MEI_06 ,BUNSEKI_MEI_07 ,BUNSEKI_MEI_08 ,BUNSEKI_MEI_09 ,BUNSEKI_MEI_10,BUNSEKI_MEI_11 ,BUNSEKI_MEI_12 ,BUNSEKI_MEI_13 ,BUNSEKI_MEI_14 ,BUNSEKI_MEI_15
,BUNSEKI_MEI_16 ,BUNSEKI_MEI_17 ,BUNSEKI_MEI_18 ,BUNSEKI_MEI_19 ,BUNSEKI_MEI_20,BUNSEKI_MEI_21 ,BUNSEKI_MEI_22 ,BUNSEKI_MEI_23 ,BUNSEKI_MEI_24 ,BUNSEKI_MEI_25
,BUNSEKI_MEI_26 ,BUNSEKI_MEI_27 ,BUNSEKI_MEI_28 ,BUNSEKI_MEI_29 ,BUNSEKI_MEI_30,BUNSEKI_MEI_31 ,BUNSEKI_MEI_32 ,BUNSEKI_MEI_33 ,BUNSEKI_MEI_34 ,BUNSEKI_MEI_35
,BUNSEKI_MEI_36 ,BUNSEKI_MEI_37 ,BUNSEKI_MEI_38 ,BUNSEKI_MEI_39 ,BUNSEKI_MEI_40,BUNSEKI_MEI_41 ,BUNSEKI_MEI_42 ,BUNSEKI_MEI_43 ,BUNSEKI_MEI_44 ,BUNSEKI_MEI_45
,BUNSEKI_MEI_46 ,BUNSEKI_MEI_47 ,BUNSEKI_MEI_48 ,BUNSEKI_MEI_49 ,BUNSEKI_MEI_50,BUNSEKI_MEI_51 ,BUNSEKI_MEI_52 ,BUNSEKI_MEI_53 ,BUNSEKI_MEI_54 ,BUNSEKI_MEI_55
,BUNSEKI_MEI_56 ,BUNSEKI_MEI_57 ,BUNSEKI_MEI_58 ,BUNSEKI_MEI_59 ,BUNSEKI_MEI_60,BUNSEKI_MEI_61 ,BUNSEKI_MEI_62 ,BUNSEKI_MEI_63 ,BUNSEKI_MEI_64 ,BUNSEKI_MEI_65
,BUNSEKI_MEI_66 ,BUNSEKI_MEI_67 ,BUNSEKI_MEI_68 ,BUNSEKI_MEI_69 ,BUNSEKI_MEI_70,BUNSEKI_MEI_71 ,BUNSEKI_MEI_72 ,BUNSEKI_MEI_73 ,BUNSEKI_MEI_74 ,BUNSEKI_MEI_75
,BUNSEKI_MEI_76 ,BUNSEKI_MEI_77 ,BUNSEKI_MEI_78 ,BUNSEKI_MEI_79 ,BUNSEKI_MEI_80,BUNSEKI_MEI_81 ,BUNSEKI_MEI_82 ,BUNSEKI_MEI_83 ,BUNSEKI_MEI_84 ,BUNSEKI_MEI_85
,BUNSEKI_MEI_86 ,BUNSEKI_MEI_87 ,BUNSEKI_MEI_88 ,BUNSEKI_MEI_89 ,BUNSEKI_MEI_90,BUNSEKI_MEI_91 ,BUNSEKI_MEI_92 ,BUNSEKI_MEI_93 ,BUNSEKI_MEI_94 ,BUNSEKI_MEI_95
,BUNSEKI_MEI_96 ,BUNSEKI_MEI_97 ,BUNSEKI_MEI_98 ,BUNSEKI_MEI_99  FROM W_BUN_NOTE
 WHERE W_USER_ID  = ''
   AND W_SERIAL   = ''
 ORDER BY JURI_NO ASC,JURI_EDA_NO ASC
  OFFSET 0*50 ROWS
 FETCH NEXT 50 ROWS ONLY
) TBL_A</v>
      </c>
      <c r="F12" s="725"/>
      <c r="G12" s="719" t="s">
        <v>2475</v>
      </c>
    </row>
    <row r="13" spans="2:9" ht="50.1" customHeight="1">
      <c r="B13" s="1757" t="s">
        <v>2476</v>
      </c>
      <c r="C13" s="1758"/>
      <c r="D13" s="1759"/>
      <c r="E13" s="725" t="str">
        <f>E22&amp;E23&amp;E14&amp;UNJC0180_SQL_SORT&amp;E17</f>
        <v>SELECT ROW_NUMBER() OVER ( ORDER BY JURI_NO ASC,JURI_EDA_NO ASC)AS SEL
,SELECT_FLG
,W_USER_ID
,W_SERIAL
,W_ROW
,DBS_STATUS
,DBS_CREATE_USER
,DBS_CREATE_DATE
,DBS_UPDATE_USER
,DBS_UPDATE_DATE
,CONVERT(NVARCHAR, NYURYOKU_DATETIME, 111) AS NYURYOKU_DATETIME
,KANRYO_DATE
,CHUKAN_DATE_1
,KANSEI_DATE
,NOHIN_DATE
,JURI_NO
,JURI_EDA_NO
,BUSHO_MEI
,ATENA
,SEIKYU_MEI
,BUNSEKI_HOHO
,EIGYO_TANTO_MEI
,SHIRYO_SHURUI
,SHIRYO_MEI
,H_BIKO
,BUNSEKI_CNT,BUNSEKI_MEI_01 ,BUNSEKI_MEI_02 ,BUNSEKI_MEI_03 ,BUNSEKI_MEI_04 ,BUNSEKI_MEI_05
,BUNSEKI_MEI_06 ,BUNSEKI_MEI_07 ,BUNSEKI_MEI_08 ,BUNSEKI_MEI_09 ,BUNSEKI_MEI_10,BUNSEKI_MEI_11 ,BUNSEKI_MEI_12 ,BUNSEKI_MEI_13 ,BUNSEKI_MEI_14 ,BUNSEKI_MEI_15
,BUNSEKI_MEI_16 ,BUNSEKI_MEI_17 ,BUNSEKI_MEI_18 ,BUNSEKI_MEI_19 ,BUNSEKI_MEI_20,BUNSEKI_MEI_21 ,BUNSEKI_MEI_22 ,BUNSEKI_MEI_23 ,BUNSEKI_MEI_24 ,BUNSEKI_MEI_25
,BUNSEKI_MEI_26 ,BUNSEKI_MEI_27 ,BUNSEKI_MEI_28 ,BUNSEKI_MEI_29 ,BUNSEKI_MEI_30,BUNSEKI_MEI_31 ,BUNSEKI_MEI_32 ,BUNSEKI_MEI_33 ,BUNSEKI_MEI_34 ,BUNSEKI_MEI_35
,BUNSEKI_MEI_36 ,BUNSEKI_MEI_37 ,BUNSEKI_MEI_38 ,BUNSEKI_MEI_39 ,BUNSEKI_MEI_40,BUNSEKI_MEI_41 ,BUNSEKI_MEI_42 ,BUNSEKI_MEI_43 ,BUNSEKI_MEI_44 ,BUNSEKI_MEI_45
,BUNSEKI_MEI_46 ,BUNSEKI_MEI_47 ,BUNSEKI_MEI_48 ,BUNSEKI_MEI_49 ,BUNSEKI_MEI_50,BUNSEKI_MEI_51 ,BUNSEKI_MEI_52 ,BUNSEKI_MEI_53 ,BUNSEKI_MEI_54 ,BUNSEKI_MEI_55
,BUNSEKI_MEI_56 ,BUNSEKI_MEI_57 ,BUNSEKI_MEI_58 ,BUNSEKI_MEI_59 ,BUNSEKI_MEI_60,BUNSEKI_MEI_61 ,BUNSEKI_MEI_62 ,BUNSEKI_MEI_63 ,BUNSEKI_MEI_64 ,BUNSEKI_MEI_65
,BUNSEKI_MEI_66 ,BUNSEKI_MEI_67 ,BUNSEKI_MEI_68 ,BUNSEKI_MEI_69 ,BUNSEKI_MEI_70,BUNSEKI_MEI_71 ,BUNSEKI_MEI_72 ,BUNSEKI_MEI_73 ,BUNSEKI_MEI_74 ,BUNSEKI_MEI_75
,BUNSEKI_MEI_76 ,BUNSEKI_MEI_77 ,BUNSEKI_MEI_78 ,BUNSEKI_MEI_79 ,BUNSEKI_MEI_80,BUNSEKI_MEI_81 ,BUNSEKI_MEI_82 ,BUNSEKI_MEI_83 ,BUNSEKI_MEI_84 ,BUNSEKI_MEI_85
,BUNSEKI_MEI_86 ,BUNSEKI_MEI_87 ,BUNSEKI_MEI_88 ,BUNSEKI_MEI_89 ,BUNSEKI_MEI_90,BUNSEKI_MEI_91 ,BUNSEKI_MEI_92 ,BUNSEKI_MEI_93 ,BUNSEKI_MEI_94 ,BUNSEKI_MEI_95
,BUNSEKI_MEI_96 ,BUNSEKI_MEI_97 ,BUNSEKI_MEI_98 ,BUNSEKI_MEI_99  FROM W_BUN_NOTE
 WHERE W_USER_ID  = ''
   AND W_SERIAL   = ''
 ORDER BY JURI_NO ASC,JURI_EDA_NO ASC
  OFFSET 0*50 ROWS
 FETCH NEXT 50 ROWS ONLY</v>
      </c>
      <c r="F13" s="725"/>
      <c r="G13" s="719" t="s">
        <v>2477</v>
      </c>
    </row>
    <row r="14" spans="2:9">
      <c r="B14" s="1757" t="s">
        <v>2478</v>
      </c>
      <c r="C14" s="1758" t="s">
        <v>2465</v>
      </c>
      <c r="D14" s="1759"/>
      <c r="E14" s="720" t="str">
        <f xml:space="preserve"> " WHERE W_USER_ID  = '"&amp;UNJC0180_IF_W_USER_ID&amp;"'
   AND W_SERIAL   = '"&amp;UNJC0180_IF_W_SERIAL&amp;"'
"</f>
        <v xml:space="preserve"> WHERE W_USER_ID  = ''
   AND W_SERIAL   = ''
</v>
      </c>
      <c r="F14" s="720"/>
      <c r="G14" s="720"/>
    </row>
    <row r="15" spans="2:9">
      <c r="B15" s="1757" t="s">
        <v>2479</v>
      </c>
      <c r="C15" s="1758" t="s">
        <v>2480</v>
      </c>
      <c r="D15" s="1759"/>
      <c r="E15" s="720" t="s">
        <v>2481</v>
      </c>
      <c r="F15" s="720"/>
      <c r="G15" s="720" t="s">
        <v>2482</v>
      </c>
    </row>
    <row r="16" spans="2:9">
      <c r="B16" s="1757" t="s">
        <v>2483</v>
      </c>
      <c r="C16" s="1758"/>
      <c r="D16" s="1759"/>
      <c r="E16" s="720" t="s">
        <v>2484</v>
      </c>
      <c r="F16" s="720"/>
      <c r="G16" s="720" t="s">
        <v>2485</v>
      </c>
    </row>
    <row r="17" spans="2:7">
      <c r="B17" s="1757" t="s">
        <v>2486</v>
      </c>
      <c r="C17" s="1758"/>
      <c r="D17" s="1759"/>
      <c r="E17" s="720" t="str">
        <f xml:space="preserve"> "
  OFFSET "&amp;(UNJC0180_B_PAGE_NO-1)&amp;"*"&amp;UNJC0180_B_CTRL_HYOJI_GYO_SU&amp;" ROWS
 FETCH NEXT "&amp;UNJC0180_B_CTRL_HYOJI_GYO_SU&amp;" ROWS ONLY"</f>
        <v xml:space="preserve">
  OFFSET 0*50 ROWS
 FETCH NEXT 50 ROWS ONLY</v>
      </c>
      <c r="F17" s="720"/>
      <c r="G17" s="720"/>
    </row>
    <row r="18" spans="2:7" ht="54">
      <c r="B18" s="1757" t="s">
        <v>2487</v>
      </c>
      <c r="C18" s="1758"/>
      <c r="D18" s="1759"/>
      <c r="E18" s="719" t="s">
        <v>2488</v>
      </c>
      <c r="F18" s="720"/>
      <c r="G18" s="720" t="s">
        <v>2489</v>
      </c>
    </row>
    <row r="19" spans="2:7" ht="94.5">
      <c r="B19" s="1757" t="s">
        <v>2490</v>
      </c>
      <c r="C19" s="1758"/>
      <c r="D19" s="1759"/>
      <c r="E19" s="719" t="s">
        <v>2491</v>
      </c>
      <c r="F19" s="720"/>
      <c r="G19" s="720" t="s">
        <v>2492</v>
      </c>
    </row>
    <row r="20" spans="2:7" ht="27">
      <c r="B20" s="727"/>
      <c r="C20" s="1766" t="s">
        <v>2463</v>
      </c>
      <c r="D20" s="1766"/>
      <c r="E20" s="722" t="s">
        <v>2493</v>
      </c>
      <c r="F20" s="723"/>
      <c r="G20" s="723" t="s">
        <v>100</v>
      </c>
    </row>
    <row r="21" spans="2:7" ht="27">
      <c r="B21" s="727"/>
      <c r="C21" s="1766" t="s">
        <v>2463</v>
      </c>
      <c r="D21" s="1766"/>
      <c r="E21" s="722" t="s">
        <v>2494</v>
      </c>
      <c r="F21" s="723"/>
      <c r="G21" s="723" t="s">
        <v>2495</v>
      </c>
    </row>
    <row r="22" spans="2:7" ht="50.1" customHeight="1">
      <c r="B22" s="721"/>
      <c r="C22" s="1766" t="s">
        <v>2463</v>
      </c>
      <c r="D22" s="1766"/>
      <c r="E22" s="728" t="str">
        <f>"SELECT "&amp;E24&amp;E25&amp;E26&amp;E27&amp;E28&amp;E29&amp;E30&amp;E31&amp;E32&amp;E33&amp;E34</f>
        <v>SELECT ROW_NUMBER() OVER ( ORDER BY JURI_NO ASC,JURI_EDA_NO ASC)AS SEL
,SELECT_FLG
,W_USER_ID
,W_SERIAL
,W_ROW
,DBS_STATUS
,DBS_CREATE_USER
,DBS_CREATE_DATE
,DBS_UPDATE_USER
,DBS_UPDATE_DATE
,CONVERT(NVARCHAR, NYURYOKU_DATETIME, 111) AS NYURYOKU_DATETIME
,KANRYO_DATE
,CHUKAN_DATE_1
,KANSEI_DATE
,NOHIN_DATE
,JURI_NO
,JURI_EDA_NO
,BUSHO_MEI
,ATENA
,SEIKYU_MEI
,BUNSEKI_HOHO
,EIGYO_TANTO_MEI
,SHIRYO_SHURUI
,SHIRYO_MEI
,H_BIKO
,BUNSEKI_CNT,BUNSEKI_MEI_01 ,BUNSEKI_MEI_02 ,BUNSEKI_MEI_03 ,BUNSEKI_MEI_04 ,BUNSEKI_MEI_05
,BUNSEKI_MEI_06 ,BUNSEKI_MEI_07 ,BUNSEKI_MEI_08 ,BUNSEKI_MEI_09 ,BUNSEKI_MEI_10,BUNSEKI_MEI_11 ,BUNSEKI_MEI_12 ,BUNSEKI_MEI_13 ,BUNSEKI_MEI_14 ,BUNSEKI_MEI_15
,BUNSEKI_MEI_16 ,BUNSEKI_MEI_17 ,BUNSEKI_MEI_18 ,BUNSEKI_MEI_19 ,BUNSEKI_MEI_20,BUNSEKI_MEI_21 ,BUNSEKI_MEI_22 ,BUNSEKI_MEI_23 ,BUNSEKI_MEI_24 ,BUNSEKI_MEI_25
,BUNSEKI_MEI_26 ,BUNSEKI_MEI_27 ,BUNSEKI_MEI_28 ,BUNSEKI_MEI_29 ,BUNSEKI_MEI_30,BUNSEKI_MEI_31 ,BUNSEKI_MEI_32 ,BUNSEKI_MEI_33 ,BUNSEKI_MEI_34 ,BUNSEKI_MEI_35
,BUNSEKI_MEI_36 ,BUNSEKI_MEI_37 ,BUNSEKI_MEI_38 ,BUNSEKI_MEI_39 ,BUNSEKI_MEI_40,BUNSEKI_MEI_41 ,BUNSEKI_MEI_42 ,BUNSEKI_MEI_43 ,BUNSEKI_MEI_44 ,BUNSEKI_MEI_45
,BUNSEKI_MEI_46 ,BUNSEKI_MEI_47 ,BUNSEKI_MEI_48 ,BUNSEKI_MEI_49 ,BUNSEKI_MEI_50,BUNSEKI_MEI_51 ,BUNSEKI_MEI_52 ,BUNSEKI_MEI_53 ,BUNSEKI_MEI_54 ,BUNSEKI_MEI_55
,BUNSEKI_MEI_56 ,BUNSEKI_MEI_57 ,BUNSEKI_MEI_58 ,BUNSEKI_MEI_59 ,BUNSEKI_MEI_60,BUNSEKI_MEI_61 ,BUNSEKI_MEI_62 ,BUNSEKI_MEI_63 ,BUNSEKI_MEI_64 ,BUNSEKI_MEI_65
,BUNSEKI_MEI_66 ,BUNSEKI_MEI_67 ,BUNSEKI_MEI_68 ,BUNSEKI_MEI_69 ,BUNSEKI_MEI_70,BUNSEKI_MEI_71 ,BUNSEKI_MEI_72 ,BUNSEKI_MEI_73 ,BUNSEKI_MEI_74 ,BUNSEKI_MEI_75
,BUNSEKI_MEI_76 ,BUNSEKI_MEI_77 ,BUNSEKI_MEI_78 ,BUNSEKI_MEI_79 ,BUNSEKI_MEI_80,BUNSEKI_MEI_81 ,BUNSEKI_MEI_82 ,BUNSEKI_MEI_83 ,BUNSEKI_MEI_84 ,BUNSEKI_MEI_85
,BUNSEKI_MEI_86 ,BUNSEKI_MEI_87 ,BUNSEKI_MEI_88 ,BUNSEKI_MEI_89 ,BUNSEKI_MEI_90,BUNSEKI_MEI_91 ,BUNSEKI_MEI_92 ,BUNSEKI_MEI_93 ,BUNSEKI_MEI_94 ,BUNSEKI_MEI_95
,BUNSEKI_MEI_96 ,BUNSEKI_MEI_97 ,BUNSEKI_MEI_98 ,BUNSEKI_MEI_99</v>
      </c>
      <c r="F22" s="728"/>
      <c r="G22" s="729" t="s">
        <v>2496</v>
      </c>
    </row>
    <row r="23" spans="2:7" ht="27">
      <c r="B23" s="727"/>
      <c r="C23" s="1762" t="s">
        <v>2464</v>
      </c>
      <c r="D23" s="1762"/>
      <c r="E23" s="722" t="s">
        <v>2497</v>
      </c>
      <c r="F23" s="723"/>
      <c r="G23" s="723"/>
    </row>
    <row r="24" spans="2:7" ht="50.1" customHeight="1">
      <c r="B24" s="727"/>
      <c r="C24" s="1762" t="s">
        <v>2498</v>
      </c>
      <c r="D24" s="1762"/>
      <c r="E24" s="722" t="str">
        <f>"ROW_NUMBER() OVER ("&amp;UNJC0180_SQL_SORT&amp;")AS SEL
,SELECT_FLG
,W_USER_ID
,W_SERIAL
,W_ROW"&amp;"
,DBS_STATUS
,DBS_CREATE_USER
,DBS_CREATE_DATE
,DBS_UPDATE_USER
,DBS_UPDATE_DATE
,CONVERT(NVARCHAR, NYURYOKU_DATETIME, 111) AS NYURYOKU_DATETIME
,KANRYO_DATE
,CHUKAN_DATE_1
,KANSEI_DATE
,NOHIN_DATE
,JURI_NO"&amp;"
,JURI_EDA_NO
,BUSHO_MEI
,ATENA
,SEIKYU_MEI
,BUNSEKI_HOHO
,EIGYO_TANTO_MEI
,SHIRYO_SHURUI
,SHIRYO_MEI
,H_BIKO
,BUNSEKI_CNT"</f>
        <v>ROW_NUMBER() OVER ( ORDER BY JURI_NO ASC,JURI_EDA_NO ASC)AS SEL
,SELECT_FLG
,W_USER_ID
,W_SERIAL
,W_ROW
,DBS_STATUS
,DBS_CREATE_USER
,DBS_CREATE_DATE
,DBS_UPDATE_USER
,DBS_UPDATE_DATE
,CONVERT(NVARCHAR, NYURYOKU_DATETIME, 111) AS NYURYOKU_DATETIME
,KANRYO_DATE
,CHUKAN_DATE_1
,KANSEI_DATE
,NOHIN_DATE
,JURI_NO
,JURI_EDA_NO
,BUSHO_MEI
,ATENA
,SEIKYU_MEI
,BUNSEKI_HOHO
,EIGYO_TANTO_MEI
,SHIRYO_SHURUI
,SHIRYO_MEI
,H_BIKO
,BUNSEKI_CNT</v>
      </c>
      <c r="F24" s="722"/>
      <c r="G24" s="723"/>
    </row>
    <row r="25" spans="2:7" ht="54">
      <c r="B25" s="727"/>
      <c r="C25" s="1762" t="s">
        <v>2499</v>
      </c>
      <c r="D25" s="1762"/>
      <c r="E25" s="722" t="s">
        <v>2500</v>
      </c>
      <c r="F25" s="722"/>
      <c r="G25" s="723"/>
    </row>
    <row r="26" spans="2:7" ht="54">
      <c r="B26" s="727"/>
      <c r="C26" s="1762" t="s">
        <v>2501</v>
      </c>
      <c r="D26" s="1762"/>
      <c r="E26" s="722" t="s">
        <v>2502</v>
      </c>
      <c r="F26" s="722"/>
      <c r="G26" s="723"/>
    </row>
    <row r="27" spans="2:7" ht="54">
      <c r="B27" s="727"/>
      <c r="C27" s="1762" t="s">
        <v>2503</v>
      </c>
      <c r="D27" s="1762"/>
      <c r="E27" s="722" t="s">
        <v>2504</v>
      </c>
      <c r="F27" s="722"/>
      <c r="G27" s="723"/>
    </row>
    <row r="28" spans="2:7" ht="54">
      <c r="B28" s="727"/>
      <c r="C28" s="1762" t="s">
        <v>2505</v>
      </c>
      <c r="D28" s="1762"/>
      <c r="E28" s="722" t="s">
        <v>2506</v>
      </c>
      <c r="F28" s="722"/>
      <c r="G28" s="723"/>
    </row>
    <row r="29" spans="2:7" ht="54">
      <c r="B29" s="727"/>
      <c r="C29" s="1762" t="s">
        <v>2507</v>
      </c>
      <c r="D29" s="1762"/>
      <c r="E29" s="722" t="s">
        <v>2508</v>
      </c>
      <c r="F29" s="722"/>
      <c r="G29" s="723"/>
    </row>
    <row r="30" spans="2:7" ht="54">
      <c r="B30" s="727"/>
      <c r="C30" s="1762" t="s">
        <v>2509</v>
      </c>
      <c r="D30" s="1762"/>
      <c r="E30" s="722" t="s">
        <v>2510</v>
      </c>
      <c r="F30" s="722"/>
      <c r="G30" s="723"/>
    </row>
    <row r="31" spans="2:7" ht="54">
      <c r="B31" s="727"/>
      <c r="C31" s="1762" t="s">
        <v>2511</v>
      </c>
      <c r="D31" s="1762"/>
      <c r="E31" s="722" t="s">
        <v>2512</v>
      </c>
      <c r="F31" s="722"/>
      <c r="G31" s="723"/>
    </row>
    <row r="32" spans="2:7" ht="54">
      <c r="B32" s="727"/>
      <c r="C32" s="1762" t="s">
        <v>2513</v>
      </c>
      <c r="D32" s="1762"/>
      <c r="E32" s="722" t="s">
        <v>2514</v>
      </c>
      <c r="F32" s="722"/>
      <c r="G32" s="723"/>
    </row>
    <row r="33" spans="2:9" ht="54">
      <c r="B33" s="727"/>
      <c r="C33" s="1762" t="s">
        <v>2515</v>
      </c>
      <c r="D33" s="1762"/>
      <c r="E33" s="722" t="s">
        <v>2516</v>
      </c>
      <c r="F33" s="722"/>
      <c r="G33" s="723"/>
    </row>
    <row r="34" spans="2:9" ht="40.5">
      <c r="B34" s="727"/>
      <c r="C34" s="1762" t="s">
        <v>2517</v>
      </c>
      <c r="D34" s="1762"/>
      <c r="E34" s="722" t="s">
        <v>2518</v>
      </c>
      <c r="F34" s="722"/>
      <c r="G34" s="723"/>
    </row>
    <row r="35" spans="2:9" ht="50.1" customHeight="1">
      <c r="B35" s="727"/>
      <c r="C35" s="1767" t="s">
        <v>2465</v>
      </c>
      <c r="D35" s="1767"/>
      <c r="E35" s="730" t="str">
        <f>" WHERE 1=1"
&amp; IF(F36,E36,"") &amp; " "
&amp; IF(F37,E37,"") &amp; " "
&amp; IF(F38,E38,"") &amp; " "
&amp; IF(F39,E39,"") &amp; " "
&amp; IF(F40,E40,"") &amp; " "
&amp; IF(F41,E41,"") &amp; " "
&amp; IF(F42,E42,"") &amp; " "
&amp; IF(F43,E43,"") &amp; " "
&amp; IF(F44,E44,"") &amp; " "
&amp; IF(F45,E45,"") &amp; " "
&amp; IF(F46,E46,"") &amp; " "
&amp; IF(F47,E47,"") &amp; " "
&amp; IF(F48,E48,"") &amp; " "
&amp; IF(F49,E49,"") &amp; " "
&amp; IF(F50,E50,"") &amp; " "
&amp; IF(F51,E51,"") &amp; " "
&amp; IF(F52,E52,"") &amp; " "
&amp; IF(F53,E53,"") &amp; " "
&amp; IF(F54,E54,"") &amp; " "
&amp; IF(F56,E56,"") &amp; " "
&amp; IF(F57,E57,"") &amp; " "</f>
        <v xml:space="preserve"> WHERE 1=1 AND JURI_NO = ''JYY-MM9999''     AND BUNSEKI_HOHO_CD = ''Ｘ（２５）ＸＸＸＸＸＸＸＸＸＸＸＸＸＸＸＸＸＸＸＸ''  AND SHIRYO_SHURUI LIKE ''%Ｘ（２０）ＸＸＸＸＸＸＸＸＸＸＸＸＸＸＸ%''            AND ATENA_CD = ''X(10)XXXXX''  AND ATENA LIKE ''%Ｘ（２５）ＸＸＸＸＸＸＸＸＸＸＸＸＸＸＸＸＸＸＸＸ%''  AND SEIKYU_CD = ''X(10)XXXXX''   </v>
      </c>
      <c r="F35" s="731"/>
      <c r="G35" s="723" t="s">
        <v>484</v>
      </c>
      <c r="H35" s="278" t="s">
        <v>2519</v>
      </c>
    </row>
    <row r="36" spans="2:9">
      <c r="B36" s="727"/>
      <c r="C36" s="732"/>
      <c r="D36" s="733" t="s">
        <v>82</v>
      </c>
      <c r="E36" s="731" t="str">
        <f>" AND JURI_NO = ''"&amp; UNJC0180_H_JURI_NO_S &amp; "''"</f>
        <v xml:space="preserve"> AND JURI_NO = ''JYY-MM9999''</v>
      </c>
      <c r="F36" s="731" t="b">
        <f>NOT(ISBLANK(UNJC0180_H_JURI_NO_S))</f>
        <v>1</v>
      </c>
      <c r="G36" s="723"/>
      <c r="I36" s="278" t="s">
        <v>2520</v>
      </c>
    </row>
    <row r="37" spans="2:9">
      <c r="B37" s="727"/>
      <c r="C37" s="732"/>
      <c r="D37" s="733" t="s">
        <v>2230</v>
      </c>
      <c r="E37" s="731" t="str">
        <f>" AND JURI_EDA_NO = "&amp; UNJC0180_H_EDA_S</f>
        <v xml:space="preserve"> AND JURI_EDA_NO = </v>
      </c>
      <c r="F37" s="731" t="b">
        <f>NOT(ISBLANK(UNJC0180_H_EDA_S))</f>
        <v>0</v>
      </c>
      <c r="G37" s="723"/>
      <c r="I37" s="278" t="s">
        <v>2521</v>
      </c>
    </row>
    <row r="38" spans="2:9">
      <c r="B38" s="727"/>
      <c r="C38" s="732"/>
      <c r="D38" s="733" t="s">
        <v>2232</v>
      </c>
      <c r="E38" s="731" t="str">
        <f>" AND BUSHO_CD = ''"&amp; UNJC0180_H_BUSHO_CD_S &amp; "''"</f>
        <v xml:space="preserve"> AND BUSHO_CD = ''''</v>
      </c>
      <c r="F38" s="731" t="b">
        <f>AND(NOT(ISBLANK(UNJC0180_H_BUSHO_CD_S)),NOT(ISBLANK(UNJC0180_H_BUSHO_MEI_S)))</f>
        <v>0</v>
      </c>
      <c r="G38" s="723"/>
      <c r="I38" s="278" t="s">
        <v>2522</v>
      </c>
    </row>
    <row r="39" spans="2:9">
      <c r="B39" s="727"/>
      <c r="C39" s="732"/>
      <c r="D39" s="733" t="s">
        <v>1114</v>
      </c>
      <c r="E39" s="731" t="str">
        <f>" AND FREEWD LIKE ''%"&amp; UNJC0180_H_BUNSEKI_KOMOKU_CD_S &amp; "%''"</f>
        <v xml:space="preserve"> AND FREEWD LIKE ''%%''</v>
      </c>
      <c r="F39" s="731" t="b">
        <f>NOT(ISBLANK(UNJC0180_H_BUNSEKI_KOMOKU_CD_S))</f>
        <v>0</v>
      </c>
      <c r="G39" s="723"/>
      <c r="I39" s="278" t="s">
        <v>3585</v>
      </c>
    </row>
    <row r="40" spans="2:9">
      <c r="B40" s="727"/>
      <c r="C40" s="732"/>
      <c r="D40" s="733" t="s">
        <v>1524</v>
      </c>
      <c r="E40" s="731" t="str">
        <f>" AND BUNSEKI_HOHO_CD = ''"&amp; UNJC0180_H_BUNSEKI_HOHO_S &amp; "''"</f>
        <v xml:space="preserve"> AND BUNSEKI_HOHO_CD = ''Ｘ（２５）ＸＸＸＸＸＸＸＸＸＸＸＸＸＸＸＸＸＸＸＸ''</v>
      </c>
      <c r="F40" s="731" t="b">
        <f>NOT(ISBLANK(UNJC0180_H_BUNSEKI_HOHO_S))</f>
        <v>1</v>
      </c>
      <c r="G40" s="723"/>
      <c r="I40" s="278" t="s">
        <v>2523</v>
      </c>
    </row>
    <row r="41" spans="2:9">
      <c r="B41" s="727"/>
      <c r="C41" s="732"/>
      <c r="D41" s="733" t="s">
        <v>2244</v>
      </c>
      <c r="E41" s="731" t="str">
        <f>" AND SHIRYO_SHURUI LIKE ''%"&amp; UNJC0180_H_SIRYO_SHURUI_S &amp; "%''"</f>
        <v xml:space="preserve"> AND SHIRYO_SHURUI LIKE ''%Ｘ（２０）ＸＸＸＸＸＸＸＸＸＸＸＸＸＸＸ%''</v>
      </c>
      <c r="F41" s="731" t="b">
        <f>NOT(ISBLANK(UNJC0180_H_SIRYO_SHURUI_S))</f>
        <v>1</v>
      </c>
      <c r="G41" s="723"/>
      <c r="I41" s="278" t="s">
        <v>2524</v>
      </c>
    </row>
    <row r="42" spans="2:9">
      <c r="B42" s="727"/>
      <c r="C42" s="732"/>
      <c r="D42" s="733" t="s">
        <v>2249</v>
      </c>
      <c r="E42" s="734" t="str">
        <f>" AND REPLACE(CONVERT(date,NYURYOKU_DATETIME),''-'',''/'') &gt;= ''"&amp;TEXT(UNJC0180_H_NYURYOKU_DATE_START_S,"YYYY/MM/DD")&amp;"''"</f>
        <v xml:space="preserve"> AND REPLACE(CONVERT(date,NYURYOKU_DATETIME),''-'',''/'') &gt;= ''1900/01/00''</v>
      </c>
      <c r="F42" s="731" t="b">
        <f>NOT(ISBLANK(UNJC0180_H_NYURYOKU_DATE_START_S))</f>
        <v>0</v>
      </c>
      <c r="G42" s="723"/>
      <c r="I42" s="278" t="s">
        <v>2525</v>
      </c>
    </row>
    <row r="43" spans="2:9">
      <c r="B43" s="727"/>
      <c r="C43" s="732"/>
      <c r="D43" s="733" t="s">
        <v>2251</v>
      </c>
      <c r="E43" s="734" t="str">
        <f>" AND REPLACE(CONVERT(date,NYURYOKU_DATETIME),''-'',''/'') &lt;= ''"&amp;TEXT(UNJC0180_H_NYURYOKU_DATE_END_S,"YYYY/MM/DD")&amp;"''"</f>
        <v xml:space="preserve"> AND REPLACE(CONVERT(date,NYURYOKU_DATETIME),''-'',''/'') &lt;= ''1900/01/00''</v>
      </c>
      <c r="F43" s="731" t="b">
        <f>NOT(ISBLANK(UNJC0180_H_NYURYOKU_DATE_END_S))</f>
        <v>0</v>
      </c>
      <c r="G43" s="723"/>
      <c r="I43" s="278" t="s">
        <v>2526</v>
      </c>
    </row>
    <row r="44" spans="2:9">
      <c r="B44" s="727"/>
      <c r="C44" s="732"/>
      <c r="D44" s="733" t="s">
        <v>2253</v>
      </c>
      <c r="E44" s="734" t="str">
        <f>" AND IRAI_DATE &gt;= ''"&amp;TEXT(UNJC0180_H_IRAI_DATE_START_S,"YYYY/MM/DD")&amp;"''"</f>
        <v xml:space="preserve"> AND IRAI_DATE &gt;= ''1900/01/00''</v>
      </c>
      <c r="F44" s="731" t="b">
        <f>NOT(ISBLANK(UNJC0180_H_IRAI_DATE_START_S))</f>
        <v>0</v>
      </c>
      <c r="G44" s="723"/>
      <c r="I44" s="278" t="s">
        <v>2527</v>
      </c>
    </row>
    <row r="45" spans="2:9">
      <c r="B45" s="727"/>
      <c r="C45" s="732"/>
      <c r="D45" s="733" t="s">
        <v>2528</v>
      </c>
      <c r="E45" s="734" t="str">
        <f>" AND IRAI_DATE &lt;= ''"&amp;TEXT(UNJC0180_H_IRAI_DATE_END_S,"YYYY/MM/DD")&amp;"''"</f>
        <v xml:space="preserve"> AND IRAI_DATE &lt;= ''1900/01/00''</v>
      </c>
      <c r="F45" s="731" t="b">
        <f>NOT(ISBLANK(UNJC0180_H_IRAI_DATE_END_S))</f>
        <v>0</v>
      </c>
      <c r="G45" s="723"/>
      <c r="I45" s="278" t="s">
        <v>2256</v>
      </c>
    </row>
    <row r="46" spans="2:9">
      <c r="B46" s="727"/>
      <c r="C46" s="732"/>
      <c r="D46" s="733" t="s">
        <v>2259</v>
      </c>
      <c r="E46" s="734" t="str">
        <f>" AND KANRYO_DATE &gt;= ''"&amp;TEXT(UNJC0180_H_KANRYO_DATE_START_S,"YYYY/MM/DD")&amp;"''"</f>
        <v xml:space="preserve"> AND KANRYO_DATE &gt;= ''1900/01/00''</v>
      </c>
      <c r="F46" s="731" t="b">
        <f>NOT(ISBLANK(UNJC0180_H_KANRYO_DATE_START_S))</f>
        <v>0</v>
      </c>
      <c r="G46" s="723"/>
      <c r="I46" s="278" t="s">
        <v>2529</v>
      </c>
    </row>
    <row r="47" spans="2:9">
      <c r="B47" s="727"/>
      <c r="C47" s="732"/>
      <c r="D47" s="733" t="s">
        <v>2530</v>
      </c>
      <c r="E47" s="734" t="str">
        <f>" AND KANRYO_DATE &lt;= ''"&amp;TEXT(UNJC0180_H_KANRYO_DATE_END_S,"YYYY/MM/DD")&amp;"''"</f>
        <v xml:space="preserve"> AND KANRYO_DATE &lt;= ''1900/01/00''</v>
      </c>
      <c r="F47" s="731" t="b">
        <f>NOT(ISBLANK(UNJC0180_H_KANRYO_DATE_END_S))</f>
        <v>0</v>
      </c>
      <c r="G47" s="723"/>
      <c r="I47" s="278" t="s">
        <v>2531</v>
      </c>
    </row>
    <row r="48" spans="2:9">
      <c r="B48" s="727"/>
      <c r="C48" s="732"/>
      <c r="D48" s="733" t="s">
        <v>2263</v>
      </c>
      <c r="E48" s="734" t="str">
        <f>" AND KANSEI_DATE &gt;= ''"&amp;TEXT(UNJC0180_H_KANSEI_DATE_START_S,"YYYY/MM/DD")&amp;"''"</f>
        <v xml:space="preserve"> AND KANSEI_DATE &gt;= ''1900/01/00''</v>
      </c>
      <c r="F48" s="731" t="b">
        <f>NOT(ISBLANK(UNJC0180_H_KANSEI_DATE_START_S))</f>
        <v>0</v>
      </c>
      <c r="G48" s="723"/>
      <c r="I48" s="278" t="s">
        <v>2532</v>
      </c>
    </row>
    <row r="49" spans="2:9">
      <c r="B49" s="727"/>
      <c r="C49" s="732"/>
      <c r="D49" s="733" t="s">
        <v>2533</v>
      </c>
      <c r="E49" s="734" t="str">
        <f>" AND KANSEI_DATE &lt;= ''"&amp;TEXT(UNJC0180_H_KANSEI_DATE_END_S,"YYYY/MM/DD")&amp;"''"</f>
        <v xml:space="preserve"> AND KANSEI_DATE &lt;= ''1900/01/00''</v>
      </c>
      <c r="F49" s="731" t="b">
        <f>NOT(ISBLANK(UNJC0180_H_KANSEI_DATE_END_S))</f>
        <v>0</v>
      </c>
      <c r="G49" s="723"/>
      <c r="I49" s="278" t="s">
        <v>2534</v>
      </c>
    </row>
    <row r="50" spans="2:9">
      <c r="B50" s="727"/>
      <c r="C50" s="732"/>
      <c r="D50" s="733" t="s">
        <v>2535</v>
      </c>
      <c r="E50" s="734" t="str">
        <f>" AND NOHIN_DATE &gt;= ''"&amp;TEXT(UNJC0180_H_NOHIN_DATE_START_S,"YYYY/MM/DD")&amp;"''"</f>
        <v xml:space="preserve"> AND NOHIN_DATE &gt;= ''1900/01/00''</v>
      </c>
      <c r="F50" s="731" t="b">
        <f>NOT(ISBLANK(UNJC0180_H_NOHIN_DATE_START_S))</f>
        <v>0</v>
      </c>
      <c r="G50" s="723"/>
      <c r="I50" s="278" t="s">
        <v>2536</v>
      </c>
    </row>
    <row r="51" spans="2:9">
      <c r="B51" s="727"/>
      <c r="C51" s="732"/>
      <c r="D51" s="733" t="s">
        <v>2269</v>
      </c>
      <c r="E51" s="734" t="str">
        <f>" AND NOHIN_DATE &lt;= ''"&amp;TEXT(UNJC0180_H_NOHIN_DATE_END_S,"YYYY/MM/DD")&amp;"''"</f>
        <v xml:space="preserve"> AND NOHIN_DATE &lt;= ''1900/01/00''</v>
      </c>
      <c r="F51" s="731" t="b">
        <f>NOT(ISBLANK(UNJC0180_H_NOHIN_DATE_END_S))</f>
        <v>0</v>
      </c>
      <c r="G51" s="723"/>
      <c r="I51" s="278" t="s">
        <v>2537</v>
      </c>
    </row>
    <row r="52" spans="2:9">
      <c r="B52" s="727"/>
      <c r="C52" s="732"/>
      <c r="D52" s="733" t="s">
        <v>2271</v>
      </c>
      <c r="E52" s="731" t="str">
        <f>" AND ATENA_CD = ''"&amp; UNJC0180_H_ATENA_CD_S &amp; "''"</f>
        <v xml:space="preserve"> AND ATENA_CD = ''X(10)XXXXX''</v>
      </c>
      <c r="F52" s="731" t="b">
        <f>NOT(ISBLANK(UNJC0180_H_ATENA_CD_S))</f>
        <v>1</v>
      </c>
      <c r="G52" s="723"/>
      <c r="I52" s="278" t="s">
        <v>2538</v>
      </c>
    </row>
    <row r="53" spans="2:9">
      <c r="B53" s="727"/>
      <c r="C53" s="732"/>
      <c r="D53" s="733" t="s">
        <v>1200</v>
      </c>
      <c r="E53" s="731" t="str">
        <f>" AND ATENA LIKE ''%"&amp; UNJC0180_H_ATENA_S &amp;"%''"</f>
        <v xml:space="preserve"> AND ATENA LIKE ''%Ｘ（２５）ＸＸＸＸＸＸＸＸＸＸＸＸＸＸＸＸＸＸＸＸ%''</v>
      </c>
      <c r="F53" s="731" t="b">
        <f>NOT(ISBLANK(UNJC0180_H_ATENA_S))</f>
        <v>1</v>
      </c>
      <c r="G53" s="723"/>
      <c r="I53" s="278" t="s">
        <v>2539</v>
      </c>
    </row>
    <row r="54" spans="2:9">
      <c r="B54" s="727"/>
      <c r="C54" s="732"/>
      <c r="D54" s="733" t="s">
        <v>3</v>
      </c>
      <c r="E54" s="731" t="str">
        <f>" AND SEIKYU_CD = ''"&amp; UNJC0180_H_SEIKYUSAKI_CD_S &amp; "''"</f>
        <v xml:space="preserve"> AND SEIKYU_CD = ''X(10)XXXXX''</v>
      </c>
      <c r="F54" s="731" t="b">
        <f>NOT(ISBLANK(UNJC0180_H_SEIKYUSAKI_CD_S))</f>
        <v>1</v>
      </c>
      <c r="G54" s="723"/>
      <c r="I54" s="278" t="s">
        <v>2274</v>
      </c>
    </row>
    <row r="55" spans="2:9">
      <c r="B55" s="727"/>
      <c r="C55" s="732"/>
      <c r="D55" s="735" t="s">
        <v>1613</v>
      </c>
      <c r="E55" s="736" t="str">
        <f>" AND SEIKYU_MEI = ''"&amp; UNJC0180_H_SEIKYUSAKI_MEI_S &amp; "''"</f>
        <v xml:space="preserve"> AND SEIKYU_MEI = ''Ｘ（２５）ＸＸＸＸＸＸＸＸＸＸＸＸＸＸＸＸＸＸＸＸ''</v>
      </c>
      <c r="F55" s="736" t="b">
        <f>NOT(ISBLANK(UNJC0180_H_SEIKYUSAKI_MEI_S))</f>
        <v>1</v>
      </c>
      <c r="G55" s="737" t="s">
        <v>2540</v>
      </c>
      <c r="I55" s="278" t="s">
        <v>2541</v>
      </c>
    </row>
    <row r="56" spans="2:9">
      <c r="B56" s="727"/>
      <c r="C56" s="732"/>
      <c r="D56" s="733" t="s">
        <v>2542</v>
      </c>
      <c r="E56" s="731" t="str">
        <f>" AND EIGYO_TANTO_CD = ''"&amp; UNJC0180_H_EIGYO_TANTOSHA_CD_S &amp; "''"</f>
        <v xml:space="preserve"> AND EIGYO_TANTO_CD = ''''</v>
      </c>
      <c r="F56" s="731" t="b">
        <f>AND(NOT(ISBLANK(UNJC0180_H_EIGYO_TANTOSHA_CD_S)),NOT(ISBLANK(UNJC0180_H_EIGYO_TANTOSHA_MEI_S)))</f>
        <v>0</v>
      </c>
      <c r="G56" s="723"/>
      <c r="I56" s="278" t="s">
        <v>2543</v>
      </c>
    </row>
    <row r="57" spans="2:9">
      <c r="B57" s="727"/>
      <c r="C57" s="732"/>
      <c r="D57" s="733" t="s">
        <v>2544</v>
      </c>
      <c r="E57" s="731" t="str">
        <f>" AND "&amp; IF(UNJC0180_H_FREEWD_KBN=3,"NOT","") &amp;"("&amp; IF(F58,E58,"") &amp; IF(F59,E59,"") &amp;IF(F60,E60,"") &amp;" )"</f>
        <v xml:space="preserve"> AND ( )</v>
      </c>
      <c r="F57" s="731" t="b">
        <f>OR(F58,F59,F60)</f>
        <v>0</v>
      </c>
      <c r="G57" s="723"/>
    </row>
    <row r="58" spans="2:9">
      <c r="B58" s="727"/>
      <c r="C58" s="732"/>
      <c r="D58" s="733" t="s">
        <v>2545</v>
      </c>
      <c r="E58" s="731" t="str">
        <f>" FREEWD LIKE ''%"&amp; UNJC0180_H_FREEWD_1_S &amp; "%''"</f>
        <v xml:space="preserve"> FREEWD LIKE ''%%''</v>
      </c>
      <c r="F58" s="731" t="b">
        <f>NOT(ISBLANK(UNJC0180_H_FREEWD_1_S))</f>
        <v>0</v>
      </c>
      <c r="G58" s="723"/>
      <c r="I58" s="278" t="s">
        <v>2546</v>
      </c>
    </row>
    <row r="59" spans="2:9">
      <c r="B59" s="727"/>
      <c r="C59" s="732"/>
      <c r="D59" s="733" t="s">
        <v>2282</v>
      </c>
      <c r="E59" s="731" t="str">
        <f>" "&amp;IF(F58, E61, "") &amp; " FREEWD LIKE  ''%"&amp; UNJC0180_H_FREEWD_2_S &amp; "%''"</f>
        <v xml:space="preserve">  FREEWD LIKE  ''%%''</v>
      </c>
      <c r="F59" s="731" t="b">
        <f>NOT(ISBLANK(UNJC0180_H_FREEWD_2_S))</f>
        <v>0</v>
      </c>
      <c r="G59" s="723"/>
      <c r="I59" s="278" t="s">
        <v>2547</v>
      </c>
    </row>
    <row r="60" spans="2:9">
      <c r="B60" s="727"/>
      <c r="C60" s="732"/>
      <c r="D60" s="733" t="s">
        <v>2284</v>
      </c>
      <c r="E60" s="731" t="str">
        <f>" "&amp;IF(OR(F58,F59),E61,"") &amp; " FREEWD LIKE  ''%"&amp; UNJC0180_H_FREEWD_3_S &amp; "%''"</f>
        <v xml:space="preserve">  FREEWD LIKE  ''%%''</v>
      </c>
      <c r="F60" s="731" t="b">
        <f>NOT(ISBLANK(UNJC0180_H_FREEWD_3_S))</f>
        <v>0</v>
      </c>
      <c r="G60" s="723"/>
      <c r="I60" s="278" t="s">
        <v>2548</v>
      </c>
    </row>
    <row r="61" spans="2:9">
      <c r="B61" s="738"/>
      <c r="C61" s="739"/>
      <c r="D61" s="733"/>
      <c r="E61" s="723" t="str">
        <f>IF(UNJC0180_H_FREEWD_KBN=1, "AND",IF(UNJC0180_H_FREEWD_KBN=2,"OR","AND"))</f>
        <v>AND</v>
      </c>
      <c r="F61" s="723"/>
      <c r="G61" s="723"/>
    </row>
    <row r="63" spans="2:9">
      <c r="B63" s="1760" t="s">
        <v>2458</v>
      </c>
      <c r="C63" s="1760"/>
      <c r="D63" s="1760"/>
      <c r="E63" s="718" t="s">
        <v>2459</v>
      </c>
      <c r="F63" s="718" t="s">
        <v>2460</v>
      </c>
      <c r="G63" s="718" t="s">
        <v>2461</v>
      </c>
    </row>
    <row r="64" spans="2:9" ht="27" customHeight="1">
      <c r="B64" s="1763" t="s">
        <v>2549</v>
      </c>
      <c r="C64" s="1764"/>
      <c r="D64" s="1765"/>
      <c r="E64" s="725" t="str">
        <f>E20&amp;E23&amp;E14&amp;E15</f>
        <v>SELECT COUNT(*) AS CNT
  FROM W_BUN_NOTE
 WHERE W_USER_ID  = ''
   AND W_SERIAL   = ''
   AND SELECT_FLG = 'True'</v>
      </c>
      <c r="F64" s="725"/>
      <c r="G64" s="719" t="s">
        <v>2550</v>
      </c>
    </row>
    <row r="65" spans="2:7" ht="27" customHeight="1">
      <c r="B65" s="1763" t="s">
        <v>2551</v>
      </c>
      <c r="C65" s="1764"/>
      <c r="D65" s="1765"/>
      <c r="E65" s="725" t="str">
        <f>E21&amp;E23&amp;E14&amp;E15</f>
        <v>SELECT ISNULL(SUM(W_BUN_NOTE.BUNSEKI_CNT),0) AS CNT
  FROM W_BUN_NOTE
 WHERE W_USER_ID  = ''
   AND W_SERIAL   = ''
   AND SELECT_FLG = 'True'</v>
      </c>
      <c r="F65" s="725"/>
      <c r="G65" s="719" t="s">
        <v>2552</v>
      </c>
    </row>
    <row r="66" spans="2:7" ht="99.95" customHeight="1">
      <c r="B66" s="1761" t="s">
        <v>2553</v>
      </c>
      <c r="C66" s="1761"/>
      <c r="D66" s="1761"/>
      <c r="E66" s="719" t="str">
        <f>E67&amp;E68&amp;E69&amp;E70</f>
        <v>SELECT ROW_NUMBER() OVER(ORDER BY W_BUN_NOTE.JURI_NO) AS ROWNUM, CONVERT(NVARCHAR, NYURYOKU_DATETIME, 111) AS NYURYOKU_DATETIME
 ,KANRYO_DATE ,CHUKAN_DATE_1
 ,KANSEI_DATE ,NOHIN_DATE  ,W_BUN_NOTE.JURI_NO+'-'+RIGHT('00' + convert(varchar,W_BUN_NOTE.JURI_EDA_NO), 2) ,BUSHO_MEI
 ,ATENA ,SEIKYU_MEI
 ,BUNSEKI_HOHO ,EIGYO_TANTO_MEI
 ,W_BUN_NOTE.SHIRYO_SHURUI 
 ,CASE W_BUN_NOTE.SHIRYO_MEI
       WHEN '一括記載' THEN
            CONCAT(IKKATSU_M,' × ',IKKATSU_N ,' ＝ ',(IKKATSU_M * IKKATSU_N))
       ELSE W_BUN_NOTE.SHIRYO_MEI
  END
 ,H_BIKO ,BUNSEKI_CNT ,BUNSEKI_MEI_01 ,BUNSEKI_MEI_02 ,BUNSEKI_MEI_03 ,BUNSEKI_MEI_04 ,BUNSEKI_MEI_05
,BUNSEKI_MEI_06 ,BUNSEKI_MEI_07 ,BUNSEKI_MEI_08 ,BUNSEKI_MEI_09 ,BUNSEKI_MEI_10,BUNSEKI_MEI_11 ,BUNSEKI_MEI_12 ,BUNSEKI_MEI_13 ,BUNSEKI_MEI_14 ,BUNSEKI_MEI_15
,BUNSEKI_MEI_16 ,BUNSEKI_MEI_17 ,BUNSEKI_MEI_18 ,BUNSEKI_MEI_19 ,BUNSEKI_MEI_20,BUNSEKI_MEI_21 ,BUNSEKI_MEI_22 ,BUNSEKI_MEI_23 ,BUNSEKI_MEI_24 ,BUNSEKI_MEI_25
,BUNSEKI_MEI_26 ,BUNSEKI_MEI_27 ,BUNSEKI_MEI_28 ,BUNSEKI_MEI_29 ,BUNSEKI_MEI_30,BUNSEKI_MEI_31 ,BUNSEKI_MEI_32 ,BUNSEKI_MEI_33 ,BUNSEKI_MEI_34 ,BUNSEKI_MEI_35
,BUNSEKI_MEI_36 ,BUNSEKI_MEI_37 ,BUNSEKI_MEI_38 ,BUNSEKI_MEI_39 ,BUNSEKI_MEI_40,BUNSEKI_MEI_41 ,BUNSEKI_MEI_42 ,BUNSEKI_MEI_43 ,BUNSEKI_MEI_44 ,BUNSEKI_MEI_45
,BUNSEKI_MEI_46 ,BUNSEKI_MEI_47 ,BUNSEKI_MEI_48 ,BUNSEKI_MEI_49 ,BUNSEKI_MEI_50,BUNSEKI_MEI_51 ,BUNSEKI_MEI_52 ,BUNSEKI_MEI_53 ,BUNSEKI_MEI_54 ,BUNSEKI_MEI_55
,BUNSEKI_MEI_56 ,BUNSEKI_MEI_57 ,BUNSEKI_MEI_58 ,BUNSEKI_MEI_59 ,BUNSEKI_MEI_60,BUNSEKI_MEI_61 ,BUNSEKI_MEI_62 ,BUNSEKI_MEI_63 ,BUNSEKI_MEI_64 ,BUNSEKI_MEI_65
,BUNSEKI_MEI_66 ,BUNSEKI_MEI_67 ,BUNSEKI_MEI_68 ,BUNSEKI_MEI_69 ,BUNSEKI_MEI_70,BUNSEKI_MEI_71 ,BUNSEKI_MEI_72 ,BUNSEKI_MEI_73 ,BUNSEKI_MEI_74 ,BUNSEKI_MEI_75
,BUNSEKI_MEI_76 ,BUNSEKI_MEI_77 ,BUNSEKI_MEI_78 ,BUNSEKI_MEI_79 ,BUNSEKI_MEI_80,BUNSEKI_MEI_81 ,BUNSEKI_MEI_82 ,BUNSEKI_MEI_83 ,BUNSEKI_MEI_84 ,BUNSEKI_MEI_85
,BUNSEKI_MEI_86 ,BUNSEKI_MEI_87 ,BUNSEKI_MEI_88 ,BUNSEKI_MEI_89 ,BUNSEKI_MEI_90,BUNSEKI_MEI_91 ,BUNSEKI_MEI_92 ,BUNSEKI_MEI_93 ,BUNSEKI_MEI_94 ,BUNSEKI_MEI_95
,BUNSEKI_MEI_96 ,BUNSEKI_MEI_97 ,BUNSEKI_MEI_98 ,BUNSEKI_MEI_99 FROM W_BUN_NOTE
  LEFT JOIN
       T_BUN_JUCHU_B
    ON T_BUN_JUCHU_B.JURI_NO     = W_BUN_NOTE.JURI_NO
   AND T_BUN_JUCHU_B.JURI_EDA_NO = W_BUN_NOTE.JURI_EDA_NO
 WHERE W_USER_ID  = ''
   AND W_SERIAL   = ''
   AND SELECT_FLG = 'True'</v>
      </c>
      <c r="F66" s="719"/>
      <c r="G66" s="719" t="s">
        <v>2554</v>
      </c>
    </row>
    <row r="67" spans="2:7" ht="67.5">
      <c r="B67" s="721"/>
      <c r="C67" s="1762" t="s">
        <v>2463</v>
      </c>
      <c r="D67" s="1762"/>
      <c r="E67" s="722" t="str">
        <f>"SELECT ROW_NUMBER() OVER(ORDER BY W_BUN_NOTE.JURI_NO) AS ROWNUM, CONVERT(NVARCHAR, NYURYOKU_DATETIME, 111) AS NYURYOKU_DATETIME
 ,KANRYO_DATE ,CHUKAN_DATE_1
 ,KANSEI_DATE ,NOHIN_DATE "</f>
        <v xml:space="preserve">SELECT ROW_NUMBER() OVER(ORDER BY W_BUN_NOTE.JURI_NO) AS ROWNUM, CONVERT(NVARCHAR, NYURYOKU_DATETIME, 111) AS NYURYOKU_DATETIME
 ,KANRYO_DATE ,CHUKAN_DATE_1
 ,KANSEI_DATE ,NOHIN_DATE </v>
      </c>
      <c r="F67" s="722"/>
      <c r="G67" s="723" t="s">
        <v>484</v>
      </c>
    </row>
    <row r="68" spans="2:7" ht="50.1" customHeight="1">
      <c r="B68" s="721"/>
      <c r="C68" s="1768" t="s">
        <v>2555</v>
      </c>
      <c r="D68" s="1769"/>
      <c r="E68" s="722" t="str">
        <f>" ,W_BUN_NOTE.JURI_NO+'-'+RIGHT('00' + convert(varchar,W_BUN_NOTE.JURI_EDA_NO), 2) ,BUSHO_MEI
 ,ATENA ,SEIKYU_MEI
 ,BUNSEKI_HOHO ,EIGYO_TANTO_MEI"&amp;"
 ,W_BUN_NOTE.SHIRYO_SHURUI 
 ,CASE W_BUN_NOTE.SHIRYO_MEI
       WHEN '一括記載' THEN"&amp;"
            CONCAT(IKKATSU_M,' × ',IKKATSU_N ,' ＝ ',(IKKATSU_M * IKKATSU_N))
       ELSE W_BUN_NOTE.SHIRYO_MEI
  END
 ,H_BIKO ,BUNSEKI_CNT "&amp;E25&amp;E26&amp;E27&amp;E28&amp;E29&amp;E30&amp;E31&amp;E32&amp;E33&amp;E34</f>
        <v xml:space="preserve"> ,W_BUN_NOTE.JURI_NO+'-'+RIGHT('00' + convert(varchar,W_BUN_NOTE.JURI_EDA_NO), 2) ,BUSHO_MEI
 ,ATENA ,SEIKYU_MEI
 ,BUNSEKI_HOHO ,EIGYO_TANTO_MEI
 ,W_BUN_NOTE.SHIRYO_SHURUI 
 ,CASE W_BUN_NOTE.SHIRYO_MEI
       WHEN '一括記載' THEN
            CONCAT(IKKATSU_M,' × ',IKKATSU_N ,' ＝ ',(IKKATSU_M * IKKATSU_N))
       ELSE W_BUN_NOTE.SHIRYO_MEI
  END
 ,H_BIKO ,BUNSEKI_CNT ,BUNSEKI_MEI_01 ,BUNSEKI_MEI_02 ,BUNSEKI_MEI_03 ,BUNSEKI_MEI_04 ,BUNSEKI_MEI_05
,BUNSEKI_MEI_06 ,BUNSEKI_MEI_07 ,BUNSEKI_MEI_08 ,BUNSEKI_MEI_09 ,BUNSEKI_MEI_10,BUNSEKI_MEI_11 ,BUNSEKI_MEI_12 ,BUNSEKI_MEI_13 ,BUNSEKI_MEI_14 ,BUNSEKI_MEI_15
,BUNSEKI_MEI_16 ,BUNSEKI_MEI_17 ,BUNSEKI_MEI_18 ,BUNSEKI_MEI_19 ,BUNSEKI_MEI_20,BUNSEKI_MEI_21 ,BUNSEKI_MEI_22 ,BUNSEKI_MEI_23 ,BUNSEKI_MEI_24 ,BUNSEKI_MEI_25
,BUNSEKI_MEI_26 ,BUNSEKI_MEI_27 ,BUNSEKI_MEI_28 ,BUNSEKI_MEI_29 ,BUNSEKI_MEI_30,BUNSEKI_MEI_31 ,BUNSEKI_MEI_32 ,BUNSEKI_MEI_33 ,BUNSEKI_MEI_34 ,BUNSEKI_MEI_35
,BUNSEKI_MEI_36 ,BUNSEKI_MEI_37 ,BUNSEKI_MEI_38 ,BUNSEKI_MEI_39 ,BUNSEKI_MEI_40,BUNSEKI_MEI_41 ,BUNSEKI_MEI_42 ,BUNSEKI_MEI_43 ,BUNSEKI_MEI_44 ,BUNSEKI_MEI_45
,BUNSEKI_MEI_46 ,BUNSEKI_MEI_47 ,BUNSEKI_MEI_48 ,BUNSEKI_MEI_49 ,BUNSEKI_MEI_50,BUNSEKI_MEI_51 ,BUNSEKI_MEI_52 ,BUNSEKI_MEI_53 ,BUNSEKI_MEI_54 ,BUNSEKI_MEI_55
,BUNSEKI_MEI_56 ,BUNSEKI_MEI_57 ,BUNSEKI_MEI_58 ,BUNSEKI_MEI_59 ,BUNSEKI_MEI_60,BUNSEKI_MEI_61 ,BUNSEKI_MEI_62 ,BUNSEKI_MEI_63 ,BUNSEKI_MEI_64 ,BUNSEKI_MEI_65
,BUNSEKI_MEI_66 ,BUNSEKI_MEI_67 ,BUNSEKI_MEI_68 ,BUNSEKI_MEI_69 ,BUNSEKI_MEI_70,BUNSEKI_MEI_71 ,BUNSEKI_MEI_72 ,BUNSEKI_MEI_73 ,BUNSEKI_MEI_74 ,BUNSEKI_MEI_75
,BUNSEKI_MEI_76 ,BUNSEKI_MEI_77 ,BUNSEKI_MEI_78 ,BUNSEKI_MEI_79 ,BUNSEKI_MEI_80,BUNSEKI_MEI_81 ,BUNSEKI_MEI_82 ,BUNSEKI_MEI_83 ,BUNSEKI_MEI_84 ,BUNSEKI_MEI_85
,BUNSEKI_MEI_86 ,BUNSEKI_MEI_87 ,BUNSEKI_MEI_88 ,BUNSEKI_MEI_89 ,BUNSEKI_MEI_90,BUNSEKI_MEI_91 ,BUNSEKI_MEI_92 ,BUNSEKI_MEI_93 ,BUNSEKI_MEI_94 ,BUNSEKI_MEI_95
,BUNSEKI_MEI_96 ,BUNSEKI_MEI_97 ,BUNSEKI_MEI_98 ,BUNSEKI_MEI_99</v>
      </c>
      <c r="F68" s="722"/>
      <c r="G68" s="723"/>
    </row>
    <row r="69" spans="2:7" ht="81">
      <c r="B69" s="721"/>
      <c r="C69" s="1762" t="s">
        <v>2464</v>
      </c>
      <c r="D69" s="1762"/>
      <c r="E69" s="722" t="s">
        <v>3601</v>
      </c>
      <c r="F69" s="723"/>
      <c r="G69" s="723" t="s">
        <v>484</v>
      </c>
    </row>
    <row r="70" spans="2:7">
      <c r="B70" s="724"/>
      <c r="C70" s="1762" t="s">
        <v>2465</v>
      </c>
      <c r="D70" s="1762"/>
      <c r="E70" s="723" t="str">
        <f>E14&amp;E15</f>
        <v xml:space="preserve"> WHERE W_USER_ID  = ''
   AND W_SERIAL   = ''
   AND SELECT_FLG = 'True'</v>
      </c>
      <c r="F70" s="723"/>
      <c r="G70" s="723" t="s">
        <v>484</v>
      </c>
    </row>
    <row r="72" spans="2:7">
      <c r="B72" s="1760" t="s">
        <v>2458</v>
      </c>
      <c r="C72" s="1760"/>
      <c r="D72" s="1760"/>
      <c r="E72" s="718" t="s">
        <v>2459</v>
      </c>
      <c r="F72" s="718" t="s">
        <v>2460</v>
      </c>
      <c r="G72" s="718" t="s">
        <v>2461</v>
      </c>
    </row>
    <row r="73" spans="2:7" ht="50.1" customHeight="1">
      <c r="B73" s="1763" t="s">
        <v>2556</v>
      </c>
      <c r="C73" s="1764"/>
      <c r="D73" s="1765"/>
      <c r="E73" s="725" t="str">
        <f>"SELECT MAX(BUNSEKI_CNT)
"&amp;E23&amp;E14</f>
        <v xml:space="preserve">SELECT MAX(BUNSEKI_CNT)
  FROM W_BUN_NOTE
 WHERE W_USER_ID  = ''
   AND W_SERIAL   = ''
</v>
      </c>
      <c r="F73" s="725"/>
      <c r="G73" s="719" t="s">
        <v>2557</v>
      </c>
    </row>
    <row r="74" spans="2:7" ht="50.1" customHeight="1">
      <c r="B74" s="1757" t="s">
        <v>2558</v>
      </c>
      <c r="C74" s="1758"/>
      <c r="D74" s="1759"/>
      <c r="E74" s="725" t="str">
        <f>E22&amp;E23&amp;E14&amp;UNJC0180_SQL_SORT</f>
        <v>SELECT ROW_NUMBER() OVER ( ORDER BY JURI_NO ASC,JURI_EDA_NO ASC)AS SEL
,SELECT_FLG
,W_USER_ID
,W_SERIAL
,W_ROW
,DBS_STATUS
,DBS_CREATE_USER
,DBS_CREATE_DATE
,DBS_UPDATE_USER
,DBS_UPDATE_DATE
,CONVERT(NVARCHAR, NYURYOKU_DATETIME, 111) AS NYURYOKU_DATETIME
,KANRYO_DATE
,CHUKAN_DATE_1
,KANSEI_DATE
,NOHIN_DATE
,JURI_NO
,JURI_EDA_NO
,BUSHO_MEI
,ATENA
,SEIKYU_MEI
,BUNSEKI_HOHO
,EIGYO_TANTO_MEI
,SHIRYO_SHURUI
,SHIRYO_MEI
,H_BIKO
,BUNSEKI_CNT,BUNSEKI_MEI_01 ,BUNSEKI_MEI_02 ,BUNSEKI_MEI_03 ,BUNSEKI_MEI_04 ,BUNSEKI_MEI_05
,BUNSEKI_MEI_06 ,BUNSEKI_MEI_07 ,BUNSEKI_MEI_08 ,BUNSEKI_MEI_09 ,BUNSEKI_MEI_10,BUNSEKI_MEI_11 ,BUNSEKI_MEI_12 ,BUNSEKI_MEI_13 ,BUNSEKI_MEI_14 ,BUNSEKI_MEI_15
,BUNSEKI_MEI_16 ,BUNSEKI_MEI_17 ,BUNSEKI_MEI_18 ,BUNSEKI_MEI_19 ,BUNSEKI_MEI_20,BUNSEKI_MEI_21 ,BUNSEKI_MEI_22 ,BUNSEKI_MEI_23 ,BUNSEKI_MEI_24 ,BUNSEKI_MEI_25
,BUNSEKI_MEI_26 ,BUNSEKI_MEI_27 ,BUNSEKI_MEI_28 ,BUNSEKI_MEI_29 ,BUNSEKI_MEI_30,BUNSEKI_MEI_31 ,BUNSEKI_MEI_32 ,BUNSEKI_MEI_33 ,BUNSEKI_MEI_34 ,BUNSEKI_MEI_35
,BUNSEKI_MEI_36 ,BUNSEKI_MEI_37 ,BUNSEKI_MEI_38 ,BUNSEKI_MEI_39 ,BUNSEKI_MEI_40,BUNSEKI_MEI_41 ,BUNSEKI_MEI_42 ,BUNSEKI_MEI_43 ,BUNSEKI_MEI_44 ,BUNSEKI_MEI_45
,BUNSEKI_MEI_46 ,BUNSEKI_MEI_47 ,BUNSEKI_MEI_48 ,BUNSEKI_MEI_49 ,BUNSEKI_MEI_50,BUNSEKI_MEI_51 ,BUNSEKI_MEI_52 ,BUNSEKI_MEI_53 ,BUNSEKI_MEI_54 ,BUNSEKI_MEI_55
,BUNSEKI_MEI_56 ,BUNSEKI_MEI_57 ,BUNSEKI_MEI_58 ,BUNSEKI_MEI_59 ,BUNSEKI_MEI_60,BUNSEKI_MEI_61 ,BUNSEKI_MEI_62 ,BUNSEKI_MEI_63 ,BUNSEKI_MEI_64 ,BUNSEKI_MEI_65
,BUNSEKI_MEI_66 ,BUNSEKI_MEI_67 ,BUNSEKI_MEI_68 ,BUNSEKI_MEI_69 ,BUNSEKI_MEI_70,BUNSEKI_MEI_71 ,BUNSEKI_MEI_72 ,BUNSEKI_MEI_73 ,BUNSEKI_MEI_74 ,BUNSEKI_MEI_75
,BUNSEKI_MEI_76 ,BUNSEKI_MEI_77 ,BUNSEKI_MEI_78 ,BUNSEKI_MEI_79 ,BUNSEKI_MEI_80,BUNSEKI_MEI_81 ,BUNSEKI_MEI_82 ,BUNSEKI_MEI_83 ,BUNSEKI_MEI_84 ,BUNSEKI_MEI_85
,BUNSEKI_MEI_86 ,BUNSEKI_MEI_87 ,BUNSEKI_MEI_88 ,BUNSEKI_MEI_89 ,BUNSEKI_MEI_90,BUNSEKI_MEI_91 ,BUNSEKI_MEI_92 ,BUNSEKI_MEI_93 ,BUNSEKI_MEI_94 ,BUNSEKI_MEI_95
,BUNSEKI_MEI_96 ,BUNSEKI_MEI_97 ,BUNSEKI_MEI_98 ,BUNSEKI_MEI_99  FROM W_BUN_NOTE
 WHERE W_USER_ID  = ''
   AND W_SERIAL   = ''
 ORDER BY JURI_NO ASC,JURI_EDA_NO ASC</v>
      </c>
      <c r="F74" s="725"/>
      <c r="G74" s="719" t="s">
        <v>2559</v>
      </c>
    </row>
    <row r="78" spans="2:7" ht="21">
      <c r="D78" s="278" ph="1"/>
    </row>
  </sheetData>
  <mergeCells count="44">
    <mergeCell ref="B73:D73"/>
    <mergeCell ref="B74:D74"/>
    <mergeCell ref="B66:D66"/>
    <mergeCell ref="C67:D67"/>
    <mergeCell ref="C68:D68"/>
    <mergeCell ref="C69:D69"/>
    <mergeCell ref="C70:D70"/>
    <mergeCell ref="B72:D72"/>
    <mergeCell ref="B65:D65"/>
    <mergeCell ref="C27:D27"/>
    <mergeCell ref="C28:D28"/>
    <mergeCell ref="C29:D29"/>
    <mergeCell ref="C30:D30"/>
    <mergeCell ref="C31:D31"/>
    <mergeCell ref="C32:D32"/>
    <mergeCell ref="C33:D33"/>
    <mergeCell ref="C34:D34"/>
    <mergeCell ref="C35:D35"/>
    <mergeCell ref="B63:D63"/>
    <mergeCell ref="B64:D64"/>
    <mergeCell ref="C26:D26"/>
    <mergeCell ref="B15:D15"/>
    <mergeCell ref="B16:D16"/>
    <mergeCell ref="B17:D17"/>
    <mergeCell ref="B18:D18"/>
    <mergeCell ref="B19:D19"/>
    <mergeCell ref="C20:D20"/>
    <mergeCell ref="C21:D21"/>
    <mergeCell ref="C22:D22"/>
    <mergeCell ref="C23:D23"/>
    <mergeCell ref="C24:D24"/>
    <mergeCell ref="C25:D25"/>
    <mergeCell ref="B14:D14"/>
    <mergeCell ref="B2:D2"/>
    <mergeCell ref="B3:D3"/>
    <mergeCell ref="C4:D4"/>
    <mergeCell ref="C5:D5"/>
    <mergeCell ref="C6:D6"/>
    <mergeCell ref="B8:D8"/>
    <mergeCell ref="C9:D9"/>
    <mergeCell ref="B10:D10"/>
    <mergeCell ref="B11:D11"/>
    <mergeCell ref="B12:D12"/>
    <mergeCell ref="B13:D13"/>
  </mergeCells>
  <phoneticPr fontId="2"/>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9" tint="0.39997558519241921"/>
    <pageSetUpPr fitToPage="1"/>
  </sheetPr>
  <dimension ref="B1:Z11"/>
  <sheetViews>
    <sheetView zoomScaleNormal="100" zoomScaleSheetLayoutView="85" workbookViewId="0">
      <selection activeCell="J19" sqref="J19"/>
    </sheetView>
  </sheetViews>
  <sheetFormatPr defaultRowHeight="16.5"/>
  <cols>
    <col min="1" max="1" width="2.375" style="231" customWidth="1"/>
    <col min="2" max="2" width="3.75" style="230" customWidth="1"/>
    <col min="3" max="7" width="6.375" style="230" customWidth="1"/>
    <col min="8" max="8" width="8" style="230" bestFit="1" customWidth="1"/>
    <col min="9" max="9" width="10.625" style="230" customWidth="1"/>
    <col min="10" max="12" width="15.625" style="230" customWidth="1"/>
    <col min="13" max="14" width="10.625" style="230" customWidth="1"/>
    <col min="15" max="15" width="10.625" style="231" customWidth="1"/>
    <col min="16" max="16" width="29.5" style="231" customWidth="1"/>
    <col min="17" max="26" width="10.625" style="231" customWidth="1"/>
    <col min="27" max="99" width="2.75" style="231" customWidth="1"/>
    <col min="100" max="16384" width="9" style="231"/>
  </cols>
  <sheetData>
    <row r="1" spans="2:26">
      <c r="Z1" s="251"/>
    </row>
    <row r="2" spans="2:26" ht="16.5" customHeight="1">
      <c r="B2" s="231"/>
      <c r="C2" s="740"/>
      <c r="D2" s="544"/>
      <c r="E2" s="1770"/>
      <c r="F2" s="1770"/>
      <c r="G2" s="1770"/>
      <c r="H2" s="1770"/>
      <c r="I2" s="1770"/>
      <c r="J2" s="1770"/>
      <c r="K2" s="741"/>
      <c r="L2" s="544" t="s">
        <v>2560</v>
      </c>
      <c r="M2" s="1771" t="str">
        <f>IF(UNJC0180_H_NYURYOKU_DATE_START_S="","",TEXT(UNJC0180_H_NYURYOKU_DATE_START_S,"yyyy/mm/dd"))</f>
        <v/>
      </c>
      <c r="N2" s="1771"/>
      <c r="O2" s="742" t="s">
        <v>2561</v>
      </c>
      <c r="P2" s="1772" t="str">
        <f>IF(UNJC0180_H_NYURYOKU_DATE_END_S="","",TEXT(UNJC0180_H_NYURYOKU_DATE_END_S,"yyyy/mm/dd"))</f>
        <v/>
      </c>
      <c r="Q2" s="1773"/>
      <c r="S2" s="743"/>
    </row>
    <row r="3" spans="2:26" ht="16.5" hidden="1" customHeight="1">
      <c r="B3" s="231"/>
      <c r="C3" s="740"/>
      <c r="D3" s="544" t="s">
        <v>2562</v>
      </c>
      <c r="E3" s="1774" t="str">
        <f>IF(UNJC0180_H_BUSHO_MEI_S="","",UNJC0180_H_BUSHO_MEI_S)</f>
        <v>Ｘ（２０）ＸＸＸＸＸＸＸＸＸＸＸＸＸＸＸ</v>
      </c>
      <c r="F3" s="1774"/>
      <c r="G3" s="1774"/>
      <c r="H3" s="1774"/>
      <c r="I3" s="1774"/>
      <c r="J3" s="1774"/>
      <c r="K3" s="741"/>
      <c r="L3" s="544" t="s">
        <v>2563</v>
      </c>
      <c r="M3" s="1775" t="str">
        <f>IF(UNJC0180_H_IRAI_DATE_START_S="","",TEXT(UNJC0180_H_IRAI_DATE_START_S,"yyyy/mm/dd"))</f>
        <v/>
      </c>
      <c r="N3" s="1775"/>
      <c r="O3" s="742" t="s">
        <v>2561</v>
      </c>
      <c r="P3" s="1772" t="str">
        <f>IF(UNJC0180_H_IRAI_DATE_END_S="","",TEXT(UNJC0180_H_IRAI_DATE_END_S,"yyyy/mm/dd"))</f>
        <v/>
      </c>
      <c r="Q3" s="1773"/>
      <c r="S3" s="743"/>
    </row>
    <row r="4" spans="2:26" ht="16.5" hidden="1" customHeight="1">
      <c r="B4" s="231"/>
      <c r="C4" s="740"/>
      <c r="D4" s="544" t="s">
        <v>2564</v>
      </c>
      <c r="E4" s="1776" t="str">
        <f>IF(UNJC0180_H_BUNSEKI_KOMOKU_MEI_S="","",UNJC0180_H_BUNSEKI_KOMOKU_MEI_S)</f>
        <v>Ｘ（２０）ＸＸＸＸＸＸＸＸＸＸＸＸＸＸＸ</v>
      </c>
      <c r="F4" s="1776"/>
      <c r="G4" s="1776"/>
      <c r="H4" s="1776"/>
      <c r="I4" s="1776"/>
      <c r="J4" s="1776"/>
      <c r="K4" s="741"/>
      <c r="L4" s="544" t="s">
        <v>2565</v>
      </c>
      <c r="M4" s="1775" t="str">
        <f>IF(UNJC0180_H_KANRYO_DATE_START_S="","",TEXT(UNJC0180_H_KANRYO_DATE_START_S,"yyyy/mm/dd"))</f>
        <v/>
      </c>
      <c r="N4" s="1775"/>
      <c r="O4" s="742" t="s">
        <v>2561</v>
      </c>
      <c r="P4" s="1772" t="str">
        <f>IF(UNJC0180_H_KANRYO_DATE_END_S="","",TEXT(UNJC0180_H_KANRYO_DATE_END_S,"yyyy/mm/dd"))</f>
        <v/>
      </c>
      <c r="Q4" s="1773"/>
      <c r="S4" s="743"/>
      <c r="W4" s="744"/>
      <c r="X4" s="744"/>
    </row>
    <row r="5" spans="2:26" ht="16.5" hidden="1" customHeight="1">
      <c r="B5" s="231"/>
      <c r="C5" s="740"/>
      <c r="D5" s="544" t="s">
        <v>2566</v>
      </c>
      <c r="E5" s="1776" t="str">
        <f>IF(UNJC0180_H_BUNSEKI_HOHO_S="","",UNJC0180_H_BUNSEKI_HOHO_S)</f>
        <v>Ｘ（２５）ＸＸＸＸＸＸＸＸＸＸＸＸＸＸＸＸＸＸＸＸ</v>
      </c>
      <c r="F5" s="1776"/>
      <c r="G5" s="1776"/>
      <c r="H5" s="1776"/>
      <c r="I5" s="1776"/>
      <c r="J5" s="1776"/>
      <c r="K5" s="741"/>
      <c r="L5" s="544" t="s">
        <v>2567</v>
      </c>
      <c r="M5" s="1775" t="str">
        <f>IF(UNJC0180_H_KANSEI_DATE_START_S="","",TEXT(UNJC0180_H_KANSEI_DATE_START_S,"yyyy/mm/dd"))</f>
        <v/>
      </c>
      <c r="N5" s="1775"/>
      <c r="O5" s="742" t="s">
        <v>2561</v>
      </c>
      <c r="P5" s="1772" t="str">
        <f>IF(UNJC0180_H_KANSEI_DATE_END_S="","",TEXT(UNJC0180_H_KANSEI_DATE_END_S,"yyyy/mm/dd"))</f>
        <v/>
      </c>
      <c r="Q5" s="1773"/>
      <c r="S5" s="743"/>
      <c r="W5" s="744"/>
      <c r="X5" s="744"/>
    </row>
    <row r="6" spans="2:26" ht="16.5" hidden="1" customHeight="1">
      <c r="B6" s="231"/>
      <c r="C6" s="740"/>
      <c r="D6" s="544" t="s">
        <v>2568</v>
      </c>
      <c r="E6" s="1776" t="str">
        <f>IF(UNJC0180_H_SIRYO_SHURUI_S="","",UNJC0180_H_SIRYO_SHURUI_S)</f>
        <v>Ｘ（２０）ＸＸＸＸＸＸＸＸＸＸＸＸＸＸＸ</v>
      </c>
      <c r="F6" s="1776"/>
      <c r="G6" s="1776"/>
      <c r="H6" s="1776"/>
      <c r="I6" s="1776"/>
      <c r="J6" s="1776"/>
      <c r="K6" s="741"/>
      <c r="L6" s="544" t="s">
        <v>2569</v>
      </c>
      <c r="M6" s="1775" t="str">
        <f>IF(UNJC0180_H_NOHIN_DATE_START_S="","",TEXT(UNJC0180_H_NOHIN_DATE_START_S,"yyyy/mm/dd"))</f>
        <v/>
      </c>
      <c r="N6" s="1775"/>
      <c r="O6" s="742" t="s">
        <v>2561</v>
      </c>
      <c r="P6" s="1772" t="str">
        <f>IF(UNJC0180_H_NOHIN_DATE_END_S="","",TEXT(UNJC0180_H_NOHIN_DATE_END_S,"yyyy/mm/dd"))</f>
        <v/>
      </c>
      <c r="Q6" s="1773"/>
      <c r="S6" s="743"/>
      <c r="W6" s="744"/>
      <c r="X6" s="744"/>
    </row>
    <row r="7" spans="2:26" ht="16.5" hidden="1" customHeight="1">
      <c r="B7" s="231"/>
      <c r="C7" s="740"/>
      <c r="D7" s="544" t="s">
        <v>2570</v>
      </c>
      <c r="E7" s="1776" t="str">
        <f>IF(UNJC0180_H_ATENA_S="","",UNJC0180_H_ATENA_S)</f>
        <v>Ｘ（２５）ＸＸＸＸＸＸＸＸＸＸＸＸＸＸＸＸＸＸＸＸ</v>
      </c>
      <c r="F7" s="1776"/>
      <c r="G7" s="1776"/>
      <c r="H7" s="1776"/>
      <c r="I7" s="1776"/>
      <c r="J7" s="1776"/>
      <c r="K7" s="741"/>
      <c r="N7" s="231"/>
      <c r="S7" s="746"/>
      <c r="W7" s="744"/>
      <c r="X7" s="744"/>
    </row>
    <row r="8" spans="2:26" ht="16.5" hidden="1" customHeight="1">
      <c r="B8" s="747"/>
      <c r="C8" s="740"/>
      <c r="D8" s="745" t="s">
        <v>2571</v>
      </c>
      <c r="E8" s="1776" t="str">
        <f>IF(UNJC0180_H_SEIKYUSAKI_MEI_S="","",UNJC0180_H_SEIKYUSAKI_MEI_S)</f>
        <v>Ｘ（２５）ＸＸＸＸＸＸＸＸＸＸＸＸＸＸＸＸＸＸＸＸ</v>
      </c>
      <c r="F8" s="1776"/>
      <c r="G8" s="1776"/>
      <c r="H8" s="1776"/>
      <c r="I8" s="1776"/>
      <c r="J8" s="1776"/>
      <c r="K8" s="741"/>
      <c r="L8" s="745" t="s">
        <v>263</v>
      </c>
      <c r="M8" s="1776" t="str">
        <f>UNJC0180_H_FREEWD_1_S &amp; " " &amp; UNJC0180_H_FREEWD_2_S &amp; " " &amp; UNJC0180_H_FREEWD_3_S</f>
        <v xml:space="preserve">  </v>
      </c>
      <c r="N8" s="1777"/>
      <c r="O8" s="1777"/>
      <c r="P8" s="1777"/>
      <c r="Q8" s="1777"/>
      <c r="W8" s="744"/>
      <c r="X8" s="744"/>
    </row>
    <row r="9" spans="2:26" ht="16.5" hidden="1" customHeight="1">
      <c r="B9" s="747"/>
      <c r="C9" s="740"/>
      <c r="D9" s="745" t="s">
        <v>2572</v>
      </c>
      <c r="E9" s="1776" t="str">
        <f>IF(UNJC0180_H_EIGYO_TANTOSHA_MEI_S="","",UNJC0180_H_EIGYO_TANTOSHA_MEI_S)</f>
        <v>Ｘ（２０）ＸＸＸＸＸＸＸＸＸＸＸＸＸＸＸＸＸＸＸＸ</v>
      </c>
      <c r="F9" s="1776"/>
      <c r="G9" s="1776"/>
      <c r="H9" s="1776"/>
      <c r="I9" s="1776"/>
      <c r="J9" s="1776"/>
      <c r="K9" s="741"/>
      <c r="L9" s="741"/>
      <c r="M9" s="741"/>
      <c r="N9" s="748"/>
      <c r="O9" s="748"/>
      <c r="P9" s="748"/>
      <c r="Q9" s="748"/>
      <c r="R9" s="748"/>
      <c r="S9" s="748"/>
      <c r="W9" s="744"/>
      <c r="X9" s="744"/>
    </row>
    <row r="10" spans="2:26" ht="18.75">
      <c r="B10" s="740" t="str">
        <f>"サンプル数：" &amp; TEXT(UNJC0180_PRINT_IF_SAMPLE_NUM,"#,##0")</f>
        <v>サンプル数：17</v>
      </c>
      <c r="C10" s="740"/>
      <c r="D10" s="740"/>
      <c r="E10" s="749" t="str">
        <f>"分析項目数：" &amp; TEXT(UNJC0180_PRINT_IF_ITEMS_NUM,"#,##0")</f>
        <v>分析項目数：0</v>
      </c>
      <c r="F10" s="748"/>
      <c r="G10" s="748"/>
      <c r="H10" s="748"/>
      <c r="I10" s="748"/>
      <c r="J10" s="740"/>
      <c r="K10" s="741"/>
      <c r="L10" s="741"/>
      <c r="M10" s="741"/>
      <c r="N10" s="740"/>
      <c r="O10" s="741"/>
      <c r="W10" s="744"/>
      <c r="X10" s="744"/>
    </row>
    <row r="11" spans="2:26" ht="39.950000000000003" customHeight="1">
      <c r="B11" s="1039" t="s">
        <v>2573</v>
      </c>
      <c r="C11" s="1039" t="s">
        <v>2574</v>
      </c>
      <c r="D11" s="1040" t="s">
        <v>2575</v>
      </c>
      <c r="E11" s="1040" t="s">
        <v>1067</v>
      </c>
      <c r="F11" s="1040" t="s">
        <v>2576</v>
      </c>
      <c r="G11" s="1039" t="s">
        <v>270</v>
      </c>
      <c r="H11" s="1039" t="s">
        <v>266</v>
      </c>
      <c r="I11" s="1039" t="s">
        <v>2577</v>
      </c>
      <c r="J11" s="1039" t="s">
        <v>1200</v>
      </c>
      <c r="K11" s="1039" t="s">
        <v>1613</v>
      </c>
      <c r="L11" s="1039" t="s">
        <v>1201</v>
      </c>
      <c r="M11" s="1039" t="s">
        <v>2578</v>
      </c>
      <c r="N11" s="1039" t="s">
        <v>1281</v>
      </c>
      <c r="O11" s="1040" t="s">
        <v>3600</v>
      </c>
      <c r="P11" s="1040" t="s">
        <v>675</v>
      </c>
      <c r="Q11" s="1045" t="s">
        <v>2579</v>
      </c>
      <c r="R11" s="1046"/>
      <c r="S11" s="1046"/>
      <c r="T11" s="1046"/>
      <c r="U11" s="1046"/>
      <c r="V11" s="1046"/>
      <c r="W11" s="1046"/>
      <c r="X11" s="1046"/>
      <c r="Y11" s="1046"/>
      <c r="Z11" s="1047"/>
    </row>
  </sheetData>
  <mergeCells count="19">
    <mergeCell ref="E9:J9"/>
    <mergeCell ref="E6:J6"/>
    <mergeCell ref="M6:N6"/>
    <mergeCell ref="P6:Q6"/>
    <mergeCell ref="E7:J7"/>
    <mergeCell ref="M8:Q8"/>
    <mergeCell ref="E8:J8"/>
    <mergeCell ref="E4:J4"/>
    <mergeCell ref="M4:N4"/>
    <mergeCell ref="P4:Q4"/>
    <mergeCell ref="E5:J5"/>
    <mergeCell ref="M5:N5"/>
    <mergeCell ref="P5:Q5"/>
    <mergeCell ref="E2:J2"/>
    <mergeCell ref="M2:N2"/>
    <mergeCell ref="P2:Q2"/>
    <mergeCell ref="E3:J3"/>
    <mergeCell ref="M3:N3"/>
    <mergeCell ref="P3:Q3"/>
  </mergeCells>
  <phoneticPr fontId="2"/>
  <pageMargins left="0.19685039370078741" right="0.19685039370078741" top="0.47244094488188981" bottom="0.19685039370078741" header="0.19685039370078741" footer="0.19685039370078741"/>
  <pageSetup paperSize="9" scale="54" fitToHeight="0" orientation="landscape" r:id="rId1"/>
  <headerFooter>
    <oddHeader>&amp;L&amp;"メイリオ,レギュラー"&amp;16&amp;U分析ノート&amp;R&amp;"メイリオ,レギュラー"&amp;P / &amp;N</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DL22"/>
  <sheetViews>
    <sheetView workbookViewId="0">
      <selection activeCell="V31" sqref="A31:V33"/>
    </sheetView>
  </sheetViews>
  <sheetFormatPr defaultRowHeight="13.5"/>
  <cols>
    <col min="1" max="1" width="2.625" style="278" customWidth="1"/>
    <col min="2" max="16" width="8.625" style="278" customWidth="1"/>
    <col min="17" max="26" width="10.625" style="278" customWidth="1"/>
    <col min="27" max="31" width="8.625" style="278" customWidth="1"/>
    <col min="32" max="116" width="2.625" style="278" customWidth="1"/>
    <col min="117" max="16384" width="9" style="278"/>
  </cols>
  <sheetData>
    <row r="1" spans="1:116">
      <c r="AC1" s="255" t="s">
        <v>417</v>
      </c>
      <c r="AD1" s="255" t="str">
        <f>ADDRESS(ROW(UNJC0180_PRINT_IF_DataListStart),COLUMN(UNJC0180_PRINT_IF_DataListStart))&amp;":"&amp;ADDRESS(ROW(UNJC0180_PRINT_IF_DataListStart)+UNJC0180_PRINT_IF_SAMPLE_NUM,COLUMN(DL5))</f>
        <v>$B$6:$DL$23</v>
      </c>
      <c r="AE1" s="278" t="s">
        <v>2580</v>
      </c>
    </row>
    <row r="2" spans="1:116" ht="24">
      <c r="B2" s="1039" t="s">
        <v>2573</v>
      </c>
      <c r="C2" s="1039" t="s">
        <v>2574</v>
      </c>
      <c r="D2" s="1040" t="s">
        <v>2575</v>
      </c>
      <c r="E2" s="1040" t="s">
        <v>1067</v>
      </c>
      <c r="F2" s="1040" t="s">
        <v>2576</v>
      </c>
      <c r="G2" s="1039" t="s">
        <v>270</v>
      </c>
      <c r="H2" s="1039" t="s">
        <v>266</v>
      </c>
      <c r="I2" s="1039" t="s">
        <v>2577</v>
      </c>
      <c r="J2" s="1039" t="s">
        <v>1200</v>
      </c>
      <c r="K2" s="1039" t="s">
        <v>1613</v>
      </c>
      <c r="L2" s="1039" t="s">
        <v>1201</v>
      </c>
      <c r="M2" s="1039" t="s">
        <v>2578</v>
      </c>
      <c r="N2" s="1039" t="s">
        <v>1281</v>
      </c>
      <c r="O2" s="1040" t="s">
        <v>1282</v>
      </c>
      <c r="P2" s="1040" t="s">
        <v>675</v>
      </c>
      <c r="Q2" s="1778" t="s">
        <v>2579</v>
      </c>
      <c r="R2" s="1779"/>
      <c r="S2" s="1779"/>
      <c r="T2" s="1779"/>
      <c r="U2" s="1779"/>
      <c r="V2" s="1779"/>
      <c r="W2" s="1779"/>
      <c r="X2" s="1779"/>
      <c r="Y2" s="1779"/>
      <c r="Z2" s="1779"/>
      <c r="AC2" s="101" t="s">
        <v>2581</v>
      </c>
      <c r="AD2" s="255">
        <v>17</v>
      </c>
      <c r="AE2" s="278" t="s">
        <v>2582</v>
      </c>
    </row>
    <row r="3" spans="1:116">
      <c r="B3" s="1041"/>
      <c r="C3" s="1042"/>
      <c r="D3" s="1042"/>
      <c r="E3" s="1042"/>
      <c r="F3" s="1042"/>
      <c r="G3" s="1042"/>
      <c r="H3" s="1043"/>
      <c r="I3" s="1043"/>
      <c r="J3" s="1043"/>
      <c r="K3" s="1043"/>
      <c r="L3" s="1043"/>
      <c r="M3" s="1043"/>
      <c r="N3" s="1043"/>
      <c r="O3" s="1044"/>
      <c r="P3" s="1044"/>
      <c r="Q3" s="1044"/>
      <c r="R3" s="1044"/>
      <c r="S3" s="1044"/>
      <c r="T3" s="1044"/>
      <c r="U3" s="1044"/>
      <c r="V3" s="1044"/>
      <c r="W3" s="1044"/>
      <c r="X3" s="1044"/>
      <c r="Y3" s="1044"/>
      <c r="Z3" s="1044"/>
      <c r="AC3" s="101" t="s">
        <v>2583</v>
      </c>
      <c r="AD3" s="255"/>
      <c r="AE3" s="278" t="s">
        <v>2584</v>
      </c>
    </row>
    <row r="4" spans="1:116" ht="16.5">
      <c r="A4" s="230"/>
      <c r="B4" s="230"/>
      <c r="C4" s="230"/>
      <c r="D4" s="230"/>
      <c r="E4" s="230"/>
      <c r="F4" s="230"/>
      <c r="G4" s="230"/>
      <c r="H4" s="230"/>
      <c r="I4" s="230"/>
      <c r="J4" s="230"/>
      <c r="K4" s="230"/>
      <c r="L4" s="230"/>
      <c r="M4" s="230"/>
      <c r="N4" s="231"/>
      <c r="O4" s="231"/>
      <c r="P4" s="231"/>
      <c r="Q4" s="231"/>
      <c r="R4" s="231"/>
      <c r="S4" s="231"/>
      <c r="T4" s="231"/>
      <c r="U4" s="231"/>
      <c r="V4" s="231"/>
      <c r="W4" s="231"/>
      <c r="X4" s="231"/>
      <c r="Y4" s="231"/>
    </row>
    <row r="5" spans="1:116">
      <c r="B5" s="718" t="s">
        <v>2585</v>
      </c>
      <c r="C5" s="718" t="s">
        <v>2586</v>
      </c>
      <c r="D5" s="718" t="s">
        <v>2575</v>
      </c>
      <c r="E5" s="718" t="s">
        <v>1067</v>
      </c>
      <c r="F5" s="718" t="s">
        <v>2576</v>
      </c>
      <c r="G5" s="718" t="s">
        <v>270</v>
      </c>
      <c r="H5" s="718" t="s">
        <v>266</v>
      </c>
      <c r="I5" s="718" t="s">
        <v>2577</v>
      </c>
      <c r="J5" s="718" t="s">
        <v>1200</v>
      </c>
      <c r="K5" s="718" t="s">
        <v>1613</v>
      </c>
      <c r="L5" s="718" t="s">
        <v>1201</v>
      </c>
      <c r="M5" s="718" t="s">
        <v>2578</v>
      </c>
      <c r="N5" s="718" t="s">
        <v>1281</v>
      </c>
      <c r="O5" s="718" t="s">
        <v>1282</v>
      </c>
      <c r="P5" s="718" t="s">
        <v>675</v>
      </c>
      <c r="Q5" s="718" t="s">
        <v>2583</v>
      </c>
      <c r="R5" s="718" t="s">
        <v>1691</v>
      </c>
      <c r="S5" s="750"/>
      <c r="T5" s="750"/>
      <c r="U5" s="750"/>
      <c r="V5" s="750"/>
      <c r="W5" s="750"/>
      <c r="X5" s="750"/>
      <c r="Y5" s="750"/>
      <c r="Z5" s="750"/>
      <c r="AA5" s="750"/>
      <c r="AB5" s="750"/>
      <c r="AC5" s="750"/>
      <c r="AD5" s="750"/>
      <c r="AE5" s="750"/>
      <c r="AF5" s="750"/>
      <c r="AG5" s="750"/>
      <c r="AH5" s="750"/>
      <c r="AI5" s="750"/>
      <c r="AJ5" s="750"/>
      <c r="AK5" s="750"/>
      <c r="AL5" s="750"/>
      <c r="AM5" s="750"/>
      <c r="AN5" s="750"/>
      <c r="AO5" s="750"/>
      <c r="AP5" s="750"/>
      <c r="AQ5" s="750"/>
      <c r="AR5" s="750"/>
      <c r="AS5" s="750"/>
      <c r="AT5" s="750"/>
      <c r="AU5" s="750"/>
      <c r="AV5" s="750"/>
      <c r="AW5" s="750"/>
      <c r="AX5" s="750"/>
      <c r="AY5" s="750"/>
      <c r="AZ5" s="750"/>
      <c r="BA5" s="750"/>
      <c r="BB5" s="750"/>
      <c r="BC5" s="750"/>
      <c r="BD5" s="750"/>
      <c r="BE5" s="750"/>
      <c r="BF5" s="750"/>
      <c r="BG5" s="750"/>
      <c r="BH5" s="750"/>
      <c r="BI5" s="750"/>
      <c r="BJ5" s="750"/>
      <c r="BK5" s="750"/>
      <c r="BL5" s="750"/>
      <c r="BM5" s="750"/>
      <c r="BN5" s="750"/>
      <c r="BO5" s="750"/>
      <c r="BP5" s="750"/>
      <c r="BQ5" s="750"/>
      <c r="BR5" s="750"/>
      <c r="BS5" s="750"/>
      <c r="BT5" s="750"/>
      <c r="BU5" s="750"/>
      <c r="BV5" s="750"/>
      <c r="BW5" s="750"/>
      <c r="BX5" s="750"/>
      <c r="BY5" s="750"/>
      <c r="BZ5" s="750"/>
      <c r="CA5" s="750"/>
      <c r="CB5" s="750"/>
      <c r="CC5" s="750"/>
      <c r="CD5" s="750"/>
      <c r="CE5" s="750"/>
      <c r="CF5" s="750"/>
      <c r="CG5" s="750"/>
      <c r="CH5" s="750"/>
      <c r="CI5" s="750"/>
      <c r="CJ5" s="750"/>
      <c r="CK5" s="750"/>
      <c r="CL5" s="750"/>
      <c r="CM5" s="750"/>
      <c r="CN5" s="750"/>
      <c r="CO5" s="750"/>
      <c r="CP5" s="750"/>
      <c r="CQ5" s="750"/>
      <c r="CR5" s="750"/>
      <c r="CS5" s="750"/>
      <c r="CT5" s="750"/>
      <c r="CU5" s="750"/>
      <c r="CV5" s="750"/>
      <c r="CW5" s="750"/>
      <c r="CX5" s="750"/>
      <c r="CY5" s="750"/>
      <c r="CZ5" s="750"/>
      <c r="DA5" s="750"/>
      <c r="DB5" s="750"/>
      <c r="DC5" s="750"/>
      <c r="DD5" s="750"/>
      <c r="DE5" s="750"/>
      <c r="DF5" s="750"/>
      <c r="DG5" s="750"/>
      <c r="DH5" s="750"/>
      <c r="DI5" s="750"/>
      <c r="DJ5" s="750"/>
      <c r="DK5" s="750"/>
      <c r="DL5" s="750" t="s">
        <v>2587</v>
      </c>
    </row>
    <row r="6" spans="1:116">
      <c r="B6" s="726">
        <v>1</v>
      </c>
      <c r="C6" s="751" t="s">
        <v>2588</v>
      </c>
      <c r="E6" s="278" t="s">
        <v>2589</v>
      </c>
      <c r="H6" s="278" t="s">
        <v>2590</v>
      </c>
      <c r="I6" s="278" t="s">
        <v>2591</v>
      </c>
      <c r="J6" s="278" t="s">
        <v>2592</v>
      </c>
      <c r="K6" s="278" t="s">
        <v>2593</v>
      </c>
      <c r="L6" s="278" t="s">
        <v>2594</v>
      </c>
      <c r="M6" s="278" t="s">
        <v>2595</v>
      </c>
      <c r="N6" s="278" t="s">
        <v>2596</v>
      </c>
      <c r="Q6" s="278">
        <v>8</v>
      </c>
      <c r="R6" s="278" t="s">
        <v>2597</v>
      </c>
      <c r="S6" s="278" t="s">
        <v>2598</v>
      </c>
      <c r="T6" s="278" t="s">
        <v>2599</v>
      </c>
      <c r="U6" s="278" t="s">
        <v>2600</v>
      </c>
      <c r="V6" s="278" t="s">
        <v>2601</v>
      </c>
      <c r="W6" s="278" t="s">
        <v>2602</v>
      </c>
      <c r="X6" s="278" t="s">
        <v>2603</v>
      </c>
      <c r="Y6" s="278" t="s">
        <v>2604</v>
      </c>
    </row>
    <row r="7" spans="1:116">
      <c r="B7" s="278">
        <v>2</v>
      </c>
      <c r="C7" s="278" t="s">
        <v>2588</v>
      </c>
      <c r="E7" s="278" t="s">
        <v>2589</v>
      </c>
      <c r="H7" s="278" t="s">
        <v>2590</v>
      </c>
      <c r="I7" s="278" t="s">
        <v>2591</v>
      </c>
      <c r="J7" s="278" t="s">
        <v>2592</v>
      </c>
      <c r="K7" s="278" t="s">
        <v>2593</v>
      </c>
      <c r="L7" s="278" t="s">
        <v>2594</v>
      </c>
      <c r="M7" s="278" t="s">
        <v>2595</v>
      </c>
      <c r="N7" s="278" t="s">
        <v>2596</v>
      </c>
      <c r="Q7" s="278">
        <v>8</v>
      </c>
      <c r="R7" s="278" t="s">
        <v>2605</v>
      </c>
      <c r="S7" s="278" t="s">
        <v>2606</v>
      </c>
      <c r="T7" s="278" t="s">
        <v>2607</v>
      </c>
      <c r="U7" s="278" t="s">
        <v>2608</v>
      </c>
      <c r="V7" s="278" t="s">
        <v>2609</v>
      </c>
      <c r="W7" s="278" t="s">
        <v>2610</v>
      </c>
      <c r="X7" s="278" t="s">
        <v>2611</v>
      </c>
      <c r="Y7" s="278" t="s">
        <v>2612</v>
      </c>
    </row>
    <row r="8" spans="1:116">
      <c r="B8" s="278">
        <v>3</v>
      </c>
      <c r="C8" s="278" t="s">
        <v>2588</v>
      </c>
      <c r="E8" s="278" t="s">
        <v>2589</v>
      </c>
      <c r="H8" s="278" t="s">
        <v>2590</v>
      </c>
      <c r="I8" s="278" t="s">
        <v>2591</v>
      </c>
      <c r="J8" s="278" t="s">
        <v>2592</v>
      </c>
      <c r="K8" s="278" t="s">
        <v>2593</v>
      </c>
      <c r="L8" s="278" t="s">
        <v>2594</v>
      </c>
      <c r="M8" s="278" t="s">
        <v>2595</v>
      </c>
      <c r="N8" s="278" t="s">
        <v>2596</v>
      </c>
      <c r="Q8" s="278">
        <v>8</v>
      </c>
      <c r="R8" s="278" t="s">
        <v>2613</v>
      </c>
      <c r="S8" s="278" t="s">
        <v>2614</v>
      </c>
      <c r="T8" s="278" t="s">
        <v>2615</v>
      </c>
      <c r="U8" s="278" t="s">
        <v>2616</v>
      </c>
      <c r="V8" s="278" t="s">
        <v>2617</v>
      </c>
      <c r="W8" s="278" t="s">
        <v>2618</v>
      </c>
      <c r="X8" s="278" t="s">
        <v>2619</v>
      </c>
      <c r="Y8" s="278" t="s">
        <v>2620</v>
      </c>
    </row>
    <row r="9" spans="1:116">
      <c r="B9" s="278">
        <v>4</v>
      </c>
      <c r="C9" s="278" t="s">
        <v>2588</v>
      </c>
      <c r="E9" s="278" t="s">
        <v>2589</v>
      </c>
      <c r="H9" s="278" t="s">
        <v>2590</v>
      </c>
      <c r="I9" s="278" t="s">
        <v>2591</v>
      </c>
      <c r="J9" s="278" t="s">
        <v>2592</v>
      </c>
      <c r="K9" s="278" t="s">
        <v>2593</v>
      </c>
      <c r="L9" s="278" t="s">
        <v>2594</v>
      </c>
      <c r="M9" s="278" t="s">
        <v>2595</v>
      </c>
      <c r="N9" s="278" t="s">
        <v>2596</v>
      </c>
      <c r="Q9" s="278">
        <v>8</v>
      </c>
      <c r="R9" s="278" t="s">
        <v>2621</v>
      </c>
      <c r="S9" s="278" t="s">
        <v>2622</v>
      </c>
      <c r="T9" s="278" t="s">
        <v>2623</v>
      </c>
      <c r="U9" s="278" t="s">
        <v>2624</v>
      </c>
      <c r="V9" s="278" t="s">
        <v>2625</v>
      </c>
      <c r="W9" s="278" t="s">
        <v>2626</v>
      </c>
      <c r="X9" s="278" t="s">
        <v>2627</v>
      </c>
      <c r="Y9" s="278" t="s">
        <v>2628</v>
      </c>
    </row>
    <row r="10" spans="1:116">
      <c r="B10" s="278">
        <v>5</v>
      </c>
      <c r="C10" s="278" t="s">
        <v>2588</v>
      </c>
      <c r="E10" s="278" t="s">
        <v>2589</v>
      </c>
      <c r="H10" s="278" t="s">
        <v>2590</v>
      </c>
      <c r="I10" s="278" t="s">
        <v>2591</v>
      </c>
      <c r="J10" s="278" t="s">
        <v>2592</v>
      </c>
      <c r="K10" s="278" t="s">
        <v>2593</v>
      </c>
      <c r="L10" s="278" t="s">
        <v>2594</v>
      </c>
      <c r="M10" s="278" t="s">
        <v>2595</v>
      </c>
      <c r="N10" s="278" t="s">
        <v>2596</v>
      </c>
      <c r="Q10" s="278">
        <v>8</v>
      </c>
      <c r="R10" s="278" t="s">
        <v>2629</v>
      </c>
      <c r="S10" s="278" t="s">
        <v>2630</v>
      </c>
      <c r="T10" s="278" t="s">
        <v>2631</v>
      </c>
      <c r="U10" s="278" t="s">
        <v>2632</v>
      </c>
      <c r="V10" s="278" t="s">
        <v>2633</v>
      </c>
      <c r="W10" s="278" t="s">
        <v>2634</v>
      </c>
      <c r="X10" s="278" t="s">
        <v>2635</v>
      </c>
      <c r="Y10" s="278" t="s">
        <v>2636</v>
      </c>
    </row>
    <row r="11" spans="1:116">
      <c r="B11" s="278">
        <v>6</v>
      </c>
      <c r="C11" s="278" t="s">
        <v>2588</v>
      </c>
      <c r="E11" s="278" t="s">
        <v>2589</v>
      </c>
      <c r="H11" s="278" t="s">
        <v>2590</v>
      </c>
      <c r="I11" s="278" t="s">
        <v>2591</v>
      </c>
      <c r="J11" s="278" t="s">
        <v>2592</v>
      </c>
      <c r="K11" s="278" t="s">
        <v>2593</v>
      </c>
      <c r="L11" s="278" t="s">
        <v>2594</v>
      </c>
      <c r="M11" s="278" t="s">
        <v>2595</v>
      </c>
      <c r="N11" s="278" t="s">
        <v>2596</v>
      </c>
      <c r="Q11" s="278">
        <v>8</v>
      </c>
      <c r="R11" s="278" t="s">
        <v>2637</v>
      </c>
      <c r="S11" s="278" t="s">
        <v>2638</v>
      </c>
      <c r="T11" s="278" t="s">
        <v>2639</v>
      </c>
      <c r="U11" s="278" t="s">
        <v>2640</v>
      </c>
      <c r="V11" s="278" t="s">
        <v>2641</v>
      </c>
      <c r="W11" s="278" t="s">
        <v>2642</v>
      </c>
      <c r="X11" s="278" t="s">
        <v>2643</v>
      </c>
      <c r="Y11" s="278" t="s">
        <v>2644</v>
      </c>
    </row>
    <row r="12" spans="1:116">
      <c r="B12" s="278">
        <v>7</v>
      </c>
      <c r="C12" s="278" t="s">
        <v>2588</v>
      </c>
      <c r="E12" s="278" t="s">
        <v>2589</v>
      </c>
      <c r="H12" s="278" t="s">
        <v>2590</v>
      </c>
      <c r="I12" s="278" t="s">
        <v>2591</v>
      </c>
      <c r="J12" s="278" t="s">
        <v>2592</v>
      </c>
      <c r="K12" s="278" t="s">
        <v>2593</v>
      </c>
      <c r="L12" s="278" t="s">
        <v>2594</v>
      </c>
      <c r="M12" s="278" t="s">
        <v>2595</v>
      </c>
      <c r="N12" s="278" t="s">
        <v>2596</v>
      </c>
      <c r="Q12" s="278">
        <v>8</v>
      </c>
      <c r="R12" s="278" t="s">
        <v>2645</v>
      </c>
      <c r="S12" s="278" t="s">
        <v>2646</v>
      </c>
      <c r="T12" s="278" t="s">
        <v>2647</v>
      </c>
      <c r="U12" s="278" t="s">
        <v>2648</v>
      </c>
      <c r="V12" s="278" t="s">
        <v>2649</v>
      </c>
      <c r="W12" s="278" t="s">
        <v>2650</v>
      </c>
      <c r="X12" s="278" t="s">
        <v>2651</v>
      </c>
      <c r="Y12" s="278" t="s">
        <v>2652</v>
      </c>
    </row>
    <row r="13" spans="1:116">
      <c r="B13" s="278">
        <v>8</v>
      </c>
      <c r="C13" s="278" t="s">
        <v>2588</v>
      </c>
      <c r="E13" s="278" t="s">
        <v>2589</v>
      </c>
      <c r="H13" s="278" t="s">
        <v>2590</v>
      </c>
      <c r="I13" s="278" t="s">
        <v>2591</v>
      </c>
      <c r="J13" s="278" t="s">
        <v>2592</v>
      </c>
      <c r="K13" s="278" t="s">
        <v>2593</v>
      </c>
      <c r="L13" s="278" t="s">
        <v>2594</v>
      </c>
      <c r="M13" s="278" t="s">
        <v>2595</v>
      </c>
      <c r="N13" s="278" t="s">
        <v>2596</v>
      </c>
      <c r="Q13" s="278">
        <v>8</v>
      </c>
      <c r="R13" s="278" t="s">
        <v>2653</v>
      </c>
      <c r="S13" s="278" t="s">
        <v>2654</v>
      </c>
      <c r="T13" s="278" t="s">
        <v>2655</v>
      </c>
      <c r="U13" s="278" t="s">
        <v>2656</v>
      </c>
      <c r="V13" s="278" t="s">
        <v>2657</v>
      </c>
      <c r="W13" s="278" t="s">
        <v>2658</v>
      </c>
      <c r="X13" s="278" t="s">
        <v>2659</v>
      </c>
      <c r="Y13" s="278" t="s">
        <v>2660</v>
      </c>
    </row>
    <row r="14" spans="1:116">
      <c r="B14" s="278">
        <v>9</v>
      </c>
      <c r="C14" s="278" t="s">
        <v>2588</v>
      </c>
      <c r="E14" s="278" t="s">
        <v>2661</v>
      </c>
      <c r="H14" s="278" t="s">
        <v>2662</v>
      </c>
      <c r="I14" s="278" t="s">
        <v>2663</v>
      </c>
      <c r="J14" s="278" t="s">
        <v>2664</v>
      </c>
      <c r="K14" s="278" t="s">
        <v>2595</v>
      </c>
      <c r="L14" s="278" t="s">
        <v>2665</v>
      </c>
      <c r="M14" s="278" t="s">
        <v>2595</v>
      </c>
      <c r="N14" s="278" t="s">
        <v>2666</v>
      </c>
      <c r="Q14" s="278">
        <v>8</v>
      </c>
      <c r="R14" s="278" t="s">
        <v>2667</v>
      </c>
      <c r="S14" s="278" t="s">
        <v>2668</v>
      </c>
      <c r="T14" s="278" t="s">
        <v>2669</v>
      </c>
      <c r="U14" s="278" t="s">
        <v>2670</v>
      </c>
      <c r="V14" s="278" t="s">
        <v>2671</v>
      </c>
      <c r="W14" s="278" t="s">
        <v>2672</v>
      </c>
      <c r="X14" s="278" t="s">
        <v>2673</v>
      </c>
      <c r="Y14" s="278" t="s">
        <v>2674</v>
      </c>
    </row>
    <row r="15" spans="1:116">
      <c r="B15" s="278">
        <v>10</v>
      </c>
      <c r="C15" s="278" t="s">
        <v>2588</v>
      </c>
      <c r="E15" s="278" t="s">
        <v>2661</v>
      </c>
      <c r="H15" s="278" t="s">
        <v>2662</v>
      </c>
      <c r="I15" s="278" t="s">
        <v>2663</v>
      </c>
      <c r="J15" s="278" t="s">
        <v>2664</v>
      </c>
      <c r="K15" s="278" t="s">
        <v>2595</v>
      </c>
      <c r="L15" s="278" t="s">
        <v>2665</v>
      </c>
      <c r="M15" s="278" t="s">
        <v>2595</v>
      </c>
      <c r="N15" s="278" t="s">
        <v>2666</v>
      </c>
      <c r="Q15" s="278">
        <v>8</v>
      </c>
      <c r="R15" s="278" t="s">
        <v>2675</v>
      </c>
      <c r="S15" s="278" t="s">
        <v>2676</v>
      </c>
      <c r="T15" s="278" t="s">
        <v>2677</v>
      </c>
      <c r="U15" s="278" t="s">
        <v>2678</v>
      </c>
      <c r="V15" s="278" t="s">
        <v>2679</v>
      </c>
      <c r="W15" s="278" t="s">
        <v>2680</v>
      </c>
      <c r="X15" s="278" t="s">
        <v>2681</v>
      </c>
      <c r="Y15" s="278" t="s">
        <v>2682</v>
      </c>
    </row>
    <row r="16" spans="1:116">
      <c r="B16" s="278">
        <v>11</v>
      </c>
      <c r="C16" s="278" t="s">
        <v>2588</v>
      </c>
      <c r="E16" s="278" t="s">
        <v>2661</v>
      </c>
      <c r="H16" s="278" t="s">
        <v>2662</v>
      </c>
      <c r="I16" s="278" t="s">
        <v>2663</v>
      </c>
      <c r="J16" s="278" t="s">
        <v>2664</v>
      </c>
      <c r="K16" s="278" t="s">
        <v>2595</v>
      </c>
      <c r="L16" s="278" t="s">
        <v>2665</v>
      </c>
      <c r="M16" s="278" t="s">
        <v>2595</v>
      </c>
      <c r="N16" s="278" t="s">
        <v>2666</v>
      </c>
      <c r="Q16" s="278">
        <v>8</v>
      </c>
      <c r="R16" s="278" t="s">
        <v>2683</v>
      </c>
      <c r="S16" s="278" t="s">
        <v>2684</v>
      </c>
      <c r="T16" s="278" t="s">
        <v>2685</v>
      </c>
      <c r="U16" s="278" t="s">
        <v>2686</v>
      </c>
      <c r="V16" s="278" t="s">
        <v>2687</v>
      </c>
      <c r="W16" s="278" t="s">
        <v>2688</v>
      </c>
      <c r="X16" s="278" t="s">
        <v>2689</v>
      </c>
      <c r="Y16" s="278" t="s">
        <v>2690</v>
      </c>
    </row>
    <row r="17" spans="2:25">
      <c r="B17" s="278">
        <v>12</v>
      </c>
      <c r="C17" s="278" t="s">
        <v>2588</v>
      </c>
      <c r="E17" s="278" t="s">
        <v>2661</v>
      </c>
      <c r="H17" s="278" t="s">
        <v>2662</v>
      </c>
      <c r="I17" s="278" t="s">
        <v>2663</v>
      </c>
      <c r="J17" s="278" t="s">
        <v>2664</v>
      </c>
      <c r="K17" s="278" t="s">
        <v>2595</v>
      </c>
      <c r="L17" s="278" t="s">
        <v>2665</v>
      </c>
      <c r="M17" s="278" t="s">
        <v>2595</v>
      </c>
      <c r="N17" s="278" t="s">
        <v>2666</v>
      </c>
      <c r="Q17" s="278">
        <v>8</v>
      </c>
      <c r="R17" s="278" t="s">
        <v>2691</v>
      </c>
      <c r="S17" s="278" t="s">
        <v>2692</v>
      </c>
      <c r="T17" s="278" t="s">
        <v>2693</v>
      </c>
      <c r="U17" s="278" t="s">
        <v>2694</v>
      </c>
      <c r="V17" s="278" t="s">
        <v>2695</v>
      </c>
      <c r="W17" s="278" t="s">
        <v>2696</v>
      </c>
      <c r="X17" s="278" t="s">
        <v>2697</v>
      </c>
      <c r="Y17" s="278" t="s">
        <v>2698</v>
      </c>
    </row>
    <row r="18" spans="2:25">
      <c r="B18" s="278">
        <v>13</v>
      </c>
      <c r="C18" s="278" t="s">
        <v>2588</v>
      </c>
      <c r="E18" s="278" t="s">
        <v>2661</v>
      </c>
      <c r="H18" s="278" t="s">
        <v>2662</v>
      </c>
      <c r="I18" s="278" t="s">
        <v>2663</v>
      </c>
      <c r="J18" s="278" t="s">
        <v>2664</v>
      </c>
      <c r="K18" s="278" t="s">
        <v>2595</v>
      </c>
      <c r="L18" s="278" t="s">
        <v>2665</v>
      </c>
      <c r="M18" s="278" t="s">
        <v>2595</v>
      </c>
      <c r="N18" s="278" t="s">
        <v>2666</v>
      </c>
      <c r="Q18" s="278">
        <v>8</v>
      </c>
      <c r="R18" s="278" t="s">
        <v>2699</v>
      </c>
      <c r="S18" s="278" t="s">
        <v>2700</v>
      </c>
      <c r="T18" s="278" t="s">
        <v>2701</v>
      </c>
      <c r="U18" s="278" t="s">
        <v>2702</v>
      </c>
      <c r="V18" s="278" t="s">
        <v>2703</v>
      </c>
      <c r="W18" s="278" t="s">
        <v>2704</v>
      </c>
      <c r="X18" s="278" t="s">
        <v>2705</v>
      </c>
      <c r="Y18" s="278" t="s">
        <v>2706</v>
      </c>
    </row>
    <row r="19" spans="2:25">
      <c r="B19" s="278">
        <v>14</v>
      </c>
      <c r="C19" s="278" t="s">
        <v>2588</v>
      </c>
      <c r="E19" s="278" t="s">
        <v>2661</v>
      </c>
      <c r="H19" s="278" t="s">
        <v>2662</v>
      </c>
      <c r="I19" s="278" t="s">
        <v>2663</v>
      </c>
      <c r="J19" s="278" t="s">
        <v>2664</v>
      </c>
      <c r="K19" s="278" t="s">
        <v>2595</v>
      </c>
      <c r="L19" s="278" t="s">
        <v>2665</v>
      </c>
      <c r="M19" s="278" t="s">
        <v>2595</v>
      </c>
      <c r="N19" s="278" t="s">
        <v>2666</v>
      </c>
      <c r="Q19" s="278">
        <v>8</v>
      </c>
      <c r="R19" s="278" t="s">
        <v>2707</v>
      </c>
      <c r="S19" s="278" t="s">
        <v>2708</v>
      </c>
      <c r="T19" s="278" t="s">
        <v>2709</v>
      </c>
      <c r="U19" s="278" t="s">
        <v>2710</v>
      </c>
      <c r="V19" s="278" t="s">
        <v>2711</v>
      </c>
      <c r="W19" s="278" t="s">
        <v>2712</v>
      </c>
      <c r="X19" s="278" t="s">
        <v>2713</v>
      </c>
      <c r="Y19" s="278" t="s">
        <v>2714</v>
      </c>
    </row>
    <row r="20" spans="2:25">
      <c r="B20" s="278">
        <v>15</v>
      </c>
      <c r="C20" s="278" t="s">
        <v>2588</v>
      </c>
      <c r="E20" s="278" t="s">
        <v>2661</v>
      </c>
      <c r="H20" s="278" t="s">
        <v>2662</v>
      </c>
      <c r="I20" s="278" t="s">
        <v>2663</v>
      </c>
      <c r="J20" s="278" t="s">
        <v>2664</v>
      </c>
      <c r="K20" s="278" t="s">
        <v>2595</v>
      </c>
      <c r="L20" s="278" t="s">
        <v>2665</v>
      </c>
      <c r="M20" s="278" t="s">
        <v>2595</v>
      </c>
      <c r="N20" s="278" t="s">
        <v>2666</v>
      </c>
      <c r="Q20" s="278">
        <v>8</v>
      </c>
      <c r="R20" s="278" t="s">
        <v>2715</v>
      </c>
      <c r="S20" s="278" t="s">
        <v>2716</v>
      </c>
      <c r="T20" s="278" t="s">
        <v>2717</v>
      </c>
      <c r="U20" s="278" t="s">
        <v>2718</v>
      </c>
      <c r="V20" s="278" t="s">
        <v>2719</v>
      </c>
      <c r="W20" s="278" t="s">
        <v>2720</v>
      </c>
      <c r="X20" s="278" t="s">
        <v>2721</v>
      </c>
      <c r="Y20" s="278" t="s">
        <v>2722</v>
      </c>
    </row>
    <row r="21" spans="2:25">
      <c r="B21" s="278">
        <v>16</v>
      </c>
      <c r="C21" s="278" t="s">
        <v>2588</v>
      </c>
      <c r="E21" s="278" t="s">
        <v>2661</v>
      </c>
      <c r="H21" s="278" t="s">
        <v>2662</v>
      </c>
      <c r="I21" s="278" t="s">
        <v>2663</v>
      </c>
      <c r="J21" s="278" t="s">
        <v>2664</v>
      </c>
      <c r="K21" s="278" t="s">
        <v>2595</v>
      </c>
      <c r="L21" s="278" t="s">
        <v>2665</v>
      </c>
      <c r="M21" s="278" t="s">
        <v>2595</v>
      </c>
      <c r="N21" s="278" t="s">
        <v>2666</v>
      </c>
      <c r="Q21" s="278">
        <v>8</v>
      </c>
      <c r="R21" s="278" t="s">
        <v>2723</v>
      </c>
      <c r="S21" s="278" t="s">
        <v>2724</v>
      </c>
      <c r="T21" s="278" t="s">
        <v>2725</v>
      </c>
      <c r="U21" s="278" t="s">
        <v>2726</v>
      </c>
      <c r="V21" s="278" t="s">
        <v>2727</v>
      </c>
      <c r="W21" s="278" t="s">
        <v>2728</v>
      </c>
      <c r="X21" s="278" t="s">
        <v>2729</v>
      </c>
      <c r="Y21" s="278" t="s">
        <v>2730</v>
      </c>
    </row>
    <row r="22" spans="2:25">
      <c r="B22" s="278">
        <v>17</v>
      </c>
      <c r="C22" s="278" t="s">
        <v>2588</v>
      </c>
      <c r="E22" s="278" t="s">
        <v>2731</v>
      </c>
      <c r="H22" s="278" t="s">
        <v>2732</v>
      </c>
      <c r="I22" s="278" t="s">
        <v>2733</v>
      </c>
      <c r="J22" s="278" t="s">
        <v>2734</v>
      </c>
      <c r="K22" s="278" t="s">
        <v>2595</v>
      </c>
      <c r="L22" s="278" t="s">
        <v>2735</v>
      </c>
      <c r="M22" s="278" t="s">
        <v>2595</v>
      </c>
      <c r="N22" s="278" t="s">
        <v>2736</v>
      </c>
      <c r="Q22" s="278">
        <v>8</v>
      </c>
      <c r="R22" s="278" t="s">
        <v>2737</v>
      </c>
      <c r="S22" s="278" t="s">
        <v>2738</v>
      </c>
      <c r="T22" s="278" t="s">
        <v>2739</v>
      </c>
      <c r="U22" s="278" t="s">
        <v>2740</v>
      </c>
      <c r="V22" s="278" t="s">
        <v>2741</v>
      </c>
      <c r="W22" s="278" t="s">
        <v>2742</v>
      </c>
      <c r="X22" s="278" t="s">
        <v>2743</v>
      </c>
      <c r="Y22" s="278" t="s">
        <v>2744</v>
      </c>
    </row>
  </sheetData>
  <mergeCells count="1">
    <mergeCell ref="Q2:Z2"/>
  </mergeCells>
  <phoneticPr fontId="2"/>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C000"/>
  </sheetPr>
  <dimension ref="A1:AF38"/>
  <sheetViews>
    <sheetView showGridLines="0" showRowColHeaders="0" topLeftCell="F1" workbookViewId="0">
      <selection activeCell="K3" sqref="K3:N3"/>
    </sheetView>
  </sheetViews>
  <sheetFormatPr defaultRowHeight="16.5"/>
  <cols>
    <col min="1" max="1" width="3.625" style="231" hidden="1" customWidth="1"/>
    <col min="2" max="2" width="21.25" style="231" hidden="1" customWidth="1"/>
    <col min="3" max="3" width="16.625" style="231" hidden="1" customWidth="1"/>
    <col min="4" max="4" width="38.375" style="231" hidden="1" customWidth="1"/>
    <col min="5" max="5" width="3.625" style="231" hidden="1" customWidth="1"/>
    <col min="6" max="6" width="3.375" style="325" customWidth="1"/>
    <col min="7" max="9" width="3.75" style="325" customWidth="1"/>
    <col min="10" max="10" width="8.5" style="325" hidden="1" customWidth="1"/>
    <col min="11" max="33" width="3.75" style="325" customWidth="1"/>
    <col min="34" max="16384" width="9" style="325"/>
  </cols>
  <sheetData>
    <row r="1" spans="1:32" s="73" customFormat="1" ht="19.5">
      <c r="A1" s="469"/>
      <c r="B1" s="469"/>
      <c r="C1" s="469"/>
      <c r="D1" s="469"/>
      <c r="E1" s="469"/>
      <c r="F1" s="73" t="s">
        <v>2783</v>
      </c>
    </row>
    <row r="2" spans="1:32" s="207" customFormat="1">
      <c r="A2" s="231"/>
      <c r="B2" s="231" t="s">
        <v>2219</v>
      </c>
      <c r="C2" s="231"/>
      <c r="D2" s="231"/>
      <c r="E2" s="231"/>
    </row>
    <row r="3" spans="1:32" s="207" customFormat="1">
      <c r="A3" s="231"/>
      <c r="B3" s="579" t="s">
        <v>2222</v>
      </c>
      <c r="C3" s="579" t="s">
        <v>2223</v>
      </c>
      <c r="D3" s="579" t="s">
        <v>2784</v>
      </c>
      <c r="E3" s="231"/>
      <c r="I3" s="210" t="s">
        <v>2785</v>
      </c>
      <c r="J3" s="774"/>
      <c r="K3" s="1689"/>
      <c r="L3" s="1783"/>
      <c r="M3" s="1783"/>
      <c r="N3" s="1784"/>
      <c r="W3" s="208" t="s">
        <v>4429</v>
      </c>
      <c r="X3" s="1261"/>
      <c r="Y3" s="1262"/>
      <c r="Z3" s="1262"/>
      <c r="AA3" s="1263"/>
      <c r="AB3" s="773" t="s">
        <v>26</v>
      </c>
      <c r="AC3" s="1261"/>
      <c r="AD3" s="1262"/>
      <c r="AE3" s="1262"/>
      <c r="AF3" s="1263"/>
    </row>
    <row r="4" spans="1:32" s="207" customFormat="1">
      <c r="A4" s="231"/>
      <c r="B4" s="76" t="s">
        <v>2786</v>
      </c>
      <c r="C4" s="32"/>
      <c r="D4" s="76" t="s">
        <v>2787</v>
      </c>
      <c r="E4" s="231"/>
      <c r="I4" s="208" t="s">
        <v>82</v>
      </c>
      <c r="J4" s="208"/>
      <c r="K4" s="1711"/>
      <c r="L4" s="1712"/>
      <c r="M4" s="1712"/>
      <c r="N4" s="1713"/>
      <c r="W4" s="208" t="s">
        <v>4430</v>
      </c>
      <c r="X4" s="1261"/>
      <c r="Y4" s="1262"/>
      <c r="Z4" s="1262"/>
      <c r="AA4" s="1263"/>
      <c r="AB4" s="773" t="s">
        <v>26</v>
      </c>
      <c r="AC4" s="1261"/>
      <c r="AD4" s="1262"/>
      <c r="AE4" s="1262"/>
      <c r="AF4" s="1263"/>
    </row>
    <row r="5" spans="1:32" s="207" customFormat="1">
      <c r="A5" s="231"/>
      <c r="B5" s="76" t="s">
        <v>2788</v>
      </c>
      <c r="C5" s="32"/>
      <c r="D5" s="76" t="s">
        <v>2789</v>
      </c>
      <c r="E5" s="231"/>
      <c r="I5" s="208" t="s">
        <v>1087</v>
      </c>
      <c r="J5" s="208"/>
      <c r="K5" s="32"/>
      <c r="W5" s="208" t="s">
        <v>4431</v>
      </c>
      <c r="X5" s="1261"/>
      <c r="Y5" s="1262"/>
      <c r="Z5" s="1262"/>
      <c r="AA5" s="1263"/>
      <c r="AB5" s="773" t="s">
        <v>26</v>
      </c>
      <c r="AC5" s="1261"/>
      <c r="AD5" s="1262"/>
      <c r="AE5" s="1262"/>
      <c r="AF5" s="1263"/>
    </row>
    <row r="6" spans="1:32" s="207" customFormat="1">
      <c r="A6" s="231"/>
      <c r="B6" s="76" t="s">
        <v>1114</v>
      </c>
      <c r="C6" s="484"/>
      <c r="D6" s="76" t="s">
        <v>2790</v>
      </c>
      <c r="E6" s="231"/>
      <c r="I6" s="208" t="s">
        <v>2234</v>
      </c>
      <c r="J6" s="774"/>
      <c r="K6" s="1787"/>
      <c r="L6" s="1788"/>
      <c r="M6" s="1788"/>
      <c r="N6" s="1789"/>
    </row>
    <row r="7" spans="1:32" s="207" customFormat="1">
      <c r="A7" s="231"/>
      <c r="B7" s="76" t="s">
        <v>1115</v>
      </c>
      <c r="C7" s="484"/>
      <c r="D7" s="76" t="s">
        <v>2791</v>
      </c>
      <c r="E7" s="231"/>
      <c r="I7" s="208" t="s">
        <v>4451</v>
      </c>
      <c r="J7" s="208"/>
      <c r="K7" s="1290"/>
      <c r="L7" s="1746"/>
      <c r="M7" s="1746"/>
      <c r="N7" s="1747"/>
      <c r="O7" s="1748" t="str">
        <f>IFERROR(IF(UNJC0190_H_BUNSEKI_HOHO="","",INDEX(UNJC_BUNSEKI_HOHO_IF_LIST,MATCH(UNJC0190_H_BUNSEKI_HOHO,UNJC_BUNSEKI_HOHO_IF_LIST2,0),2)),"")</f>
        <v/>
      </c>
      <c r="P7" s="1790"/>
      <c r="Q7" s="1790"/>
      <c r="R7" s="1790"/>
      <c r="S7" s="1790"/>
      <c r="T7" s="1790"/>
      <c r="U7" s="1791"/>
      <c r="W7" s="208" t="s">
        <v>2792</v>
      </c>
      <c r="X7" s="1714"/>
      <c r="Y7" s="1716"/>
    </row>
    <row r="8" spans="1:32" s="207" customFormat="1">
      <c r="A8" s="231"/>
      <c r="B8" s="76" t="s">
        <v>338</v>
      </c>
      <c r="C8" s="484"/>
      <c r="D8" s="76" t="s">
        <v>2793</v>
      </c>
      <c r="E8" s="231"/>
      <c r="I8" s="208" t="s">
        <v>1104</v>
      </c>
      <c r="J8" s="208"/>
      <c r="K8" s="1683"/>
      <c r="L8" s="1785"/>
      <c r="M8" s="1785"/>
      <c r="N8" s="1785"/>
      <c r="O8" s="1785"/>
      <c r="P8" s="1785"/>
      <c r="Q8" s="1785"/>
      <c r="R8" s="1786"/>
      <c r="W8" s="208" t="s">
        <v>793</v>
      </c>
      <c r="X8" s="1683"/>
      <c r="Y8" s="1785"/>
      <c r="Z8" s="1785"/>
      <c r="AA8" s="1785"/>
      <c r="AB8" s="1785"/>
      <c r="AC8" s="1785"/>
      <c r="AD8" s="1785"/>
      <c r="AE8" s="1786"/>
    </row>
    <row r="9" spans="1:32" s="207" customFormat="1">
      <c r="A9" s="231"/>
      <c r="B9" s="76" t="s">
        <v>78</v>
      </c>
      <c r="C9" s="484"/>
      <c r="D9" s="76" t="s">
        <v>2794</v>
      </c>
      <c r="E9" s="231"/>
    </row>
    <row r="10" spans="1:32" s="207" customFormat="1">
      <c r="A10" s="231"/>
      <c r="B10" s="76" t="s">
        <v>2232</v>
      </c>
      <c r="C10" s="484"/>
      <c r="D10" s="76" t="s">
        <v>2795</v>
      </c>
      <c r="E10" s="231"/>
      <c r="I10" s="208" t="s">
        <v>2798</v>
      </c>
      <c r="J10" s="774"/>
      <c r="K10" s="1689"/>
      <c r="L10" s="1783"/>
      <c r="M10" s="1783"/>
      <c r="N10" s="1784"/>
    </row>
    <row r="11" spans="1:32" s="207" customFormat="1">
      <c r="A11" s="231"/>
      <c r="B11" s="76" t="s">
        <v>2796</v>
      </c>
      <c r="C11" s="484"/>
      <c r="D11" s="76" t="s">
        <v>2797</v>
      </c>
      <c r="E11" s="231"/>
      <c r="I11" s="208" t="s">
        <v>4435</v>
      </c>
      <c r="J11" s="208"/>
      <c r="K11" s="1261"/>
      <c r="L11" s="1262"/>
      <c r="M11" s="1262"/>
      <c r="N11" s="1263"/>
      <c r="O11" s="773" t="s">
        <v>26</v>
      </c>
      <c r="P11" s="1261"/>
      <c r="Q11" s="1262"/>
      <c r="R11" s="1262"/>
      <c r="S11" s="1263"/>
    </row>
    <row r="12" spans="1:32" s="207" customFormat="1">
      <c r="A12" s="231"/>
      <c r="B12" s="76" t="s">
        <v>1524</v>
      </c>
      <c r="C12" s="484"/>
      <c r="D12" s="76" t="s">
        <v>2799</v>
      </c>
      <c r="E12" s="231"/>
    </row>
    <row r="13" spans="1:32" s="207" customFormat="1">
      <c r="A13" s="231"/>
      <c r="B13" s="76" t="s">
        <v>62</v>
      </c>
      <c r="C13" s="484"/>
      <c r="D13" s="76" t="s">
        <v>2800</v>
      </c>
      <c r="E13" s="231"/>
      <c r="I13" s="208" t="s">
        <v>2236</v>
      </c>
      <c r="J13" s="774"/>
      <c r="K13" s="1701"/>
      <c r="L13" s="1702"/>
      <c r="M13" s="1702"/>
      <c r="N13" s="1703"/>
      <c r="O13" s="1780" t="str">
        <f>IF(OR(UNJC0190_H_BUNSEKI_KOMOKU_CD="",UNJC0190_H_BUNSEKI_KOMOKU_MEI=""),"",UNJC0190_H_BUNSEKI_KOMOKU_MEI)</f>
        <v/>
      </c>
      <c r="P13" s="1781"/>
      <c r="Q13" s="1781"/>
      <c r="R13" s="1781"/>
      <c r="S13" s="1781"/>
      <c r="T13" s="1781"/>
      <c r="U13" s="1781"/>
      <c r="V13" s="1781"/>
      <c r="W13" s="1781"/>
      <c r="X13" s="1781"/>
      <c r="Y13" s="1781"/>
      <c r="Z13" s="1782"/>
    </row>
    <row r="14" spans="1:32" s="207" customFormat="1">
      <c r="A14" s="231"/>
      <c r="B14" s="76" t="s">
        <v>2249</v>
      </c>
      <c r="C14" s="775"/>
      <c r="D14" s="76" t="s">
        <v>2801</v>
      </c>
      <c r="E14" s="231"/>
      <c r="I14" s="208" t="s">
        <v>787</v>
      </c>
      <c r="J14" s="208"/>
      <c r="K14" s="1701"/>
      <c r="L14" s="1702"/>
      <c r="M14" s="1702"/>
      <c r="N14" s="1703"/>
      <c r="O14" s="1695"/>
      <c r="P14" s="1696"/>
      <c r="Q14" s="1696"/>
      <c r="R14" s="1696"/>
      <c r="S14" s="1696"/>
      <c r="T14" s="1696"/>
      <c r="U14" s="1696"/>
      <c r="V14" s="1696"/>
      <c r="W14" s="1696"/>
      <c r="X14" s="1696"/>
      <c r="Y14" s="1696"/>
      <c r="Z14" s="1697"/>
    </row>
    <row r="15" spans="1:32" s="207" customFormat="1">
      <c r="A15" s="231"/>
      <c r="B15" s="76" t="s">
        <v>2802</v>
      </c>
      <c r="C15" s="775"/>
      <c r="D15" s="76" t="s">
        <v>2803</v>
      </c>
      <c r="E15" s="231"/>
    </row>
    <row r="16" spans="1:32" s="207" customFormat="1">
      <c r="A16" s="231"/>
      <c r="B16" s="76" t="s">
        <v>2253</v>
      </c>
      <c r="C16" s="775">
        <v>41735</v>
      </c>
      <c r="D16" s="776" t="s">
        <v>2804</v>
      </c>
      <c r="E16" s="231"/>
      <c r="I16" s="208" t="s">
        <v>39</v>
      </c>
      <c r="J16" s="777">
        <v>1</v>
      </c>
      <c r="K16" s="1695"/>
      <c r="L16" s="1696"/>
      <c r="M16" s="1696"/>
      <c r="N16" s="1697"/>
      <c r="O16" s="77" t="str">
        <f>IF(UNJC0190_H_FREEWD_KBN=1, "AND",IF(UNJC0190_H_FREEWD_KBN=2,"OR","NAND"))</f>
        <v>AND</v>
      </c>
      <c r="P16" s="1695"/>
      <c r="Q16" s="1696"/>
      <c r="R16" s="1696"/>
      <c r="S16" s="1697"/>
      <c r="T16" s="77" t="str">
        <f>IF(UNJC0190_H_FREEWD_KBN=1, "AND",IF(UNJC0190_H_FREEWD_KBN=2,"OR","NAND"))</f>
        <v>AND</v>
      </c>
      <c r="U16" s="1695"/>
      <c r="V16" s="1696"/>
      <c r="W16" s="1696"/>
      <c r="X16" s="1697"/>
    </row>
    <row r="17" spans="1:5" s="207" customFormat="1">
      <c r="A17" s="231"/>
      <c r="B17" s="76" t="s">
        <v>2806</v>
      </c>
      <c r="C17" s="775">
        <v>42466</v>
      </c>
      <c r="D17" s="776" t="s">
        <v>2807</v>
      </c>
      <c r="E17" s="231"/>
    </row>
    <row r="18" spans="1:5">
      <c r="B18" s="76" t="s">
        <v>2808</v>
      </c>
      <c r="C18" s="484"/>
      <c r="D18" s="76" t="s">
        <v>2809</v>
      </c>
    </row>
    <row r="19" spans="1:5">
      <c r="B19" s="76" t="s">
        <v>2261</v>
      </c>
      <c r="C19" s="484"/>
      <c r="D19" s="76" t="s">
        <v>2810</v>
      </c>
    </row>
    <row r="20" spans="1:5">
      <c r="B20" s="76" t="s">
        <v>1679</v>
      </c>
      <c r="C20" s="484">
        <v>1</v>
      </c>
      <c r="D20" s="76" t="s">
        <v>2811</v>
      </c>
    </row>
    <row r="21" spans="1:5">
      <c r="B21" s="76" t="s">
        <v>63</v>
      </c>
      <c r="C21" s="484"/>
      <c r="D21" s="76" t="s">
        <v>2812</v>
      </c>
    </row>
    <row r="22" spans="1:5">
      <c r="B22" s="76" t="s">
        <v>2813</v>
      </c>
      <c r="C22" s="484"/>
      <c r="D22" s="76" t="s">
        <v>2814</v>
      </c>
    </row>
    <row r="23" spans="1:5">
      <c r="B23" s="76" t="s">
        <v>2815</v>
      </c>
      <c r="C23" s="484"/>
      <c r="D23" s="76" t="s">
        <v>2816</v>
      </c>
    </row>
    <row r="24" spans="1:5">
      <c r="B24" s="76" t="s">
        <v>2817</v>
      </c>
      <c r="C24" s="484"/>
      <c r="D24" s="76" t="s">
        <v>2818</v>
      </c>
    </row>
    <row r="25" spans="1:5">
      <c r="B25" s="76" t="s">
        <v>2819</v>
      </c>
      <c r="C25" s="484"/>
      <c r="D25" s="76" t="s">
        <v>2820</v>
      </c>
    </row>
    <row r="26" spans="1:5">
      <c r="B26" s="76" t="s">
        <v>2271</v>
      </c>
      <c r="C26" s="484"/>
      <c r="D26" s="76" t="s">
        <v>2821</v>
      </c>
    </row>
    <row r="27" spans="1:5">
      <c r="B27" s="76" t="s">
        <v>1747</v>
      </c>
      <c r="C27" s="484"/>
      <c r="D27" s="76" t="s">
        <v>2822</v>
      </c>
    </row>
    <row r="28" spans="1:5">
      <c r="B28" s="76" t="s">
        <v>2823</v>
      </c>
      <c r="C28" s="484"/>
      <c r="D28" s="76" t="s">
        <v>2824</v>
      </c>
    </row>
    <row r="29" spans="1:5">
      <c r="B29" s="76" t="s">
        <v>2282</v>
      </c>
      <c r="C29" s="484"/>
      <c r="D29" s="76" t="s">
        <v>2825</v>
      </c>
    </row>
    <row r="30" spans="1:5">
      <c r="B30" s="76" t="s">
        <v>2284</v>
      </c>
      <c r="C30" s="484"/>
      <c r="D30" s="76" t="s">
        <v>2826</v>
      </c>
    </row>
    <row r="33" spans="2:4">
      <c r="B33" s="579" t="s">
        <v>2827</v>
      </c>
      <c r="C33" s="579" t="s">
        <v>2828</v>
      </c>
      <c r="D33" s="579" t="s">
        <v>2224</v>
      </c>
    </row>
    <row r="34" spans="2:4">
      <c r="B34" s="76" t="s">
        <v>3796</v>
      </c>
      <c r="C34" s="76"/>
      <c r="D34" s="76" t="s">
        <v>3797</v>
      </c>
    </row>
    <row r="35" spans="2:4">
      <c r="B35" s="76" t="s">
        <v>2829</v>
      </c>
      <c r="C35" s="76" t="str">
        <f>ADDRESS(ROW(A1),COLUMN(A1))&amp;":"&amp;ADDRESS(ROW(E1),COLUMN(E1))&amp;","&amp;ADDRESS(ROW(J1),COLUMN(J1))&amp;":"&amp;ADDRESS(ROW(J1),COLUMN(J1))</f>
        <v>$A$1:$E$1,$J$1:$J$1</v>
      </c>
      <c r="D35" s="76" t="s">
        <v>2830</v>
      </c>
    </row>
    <row r="36" spans="2:4">
      <c r="B36" s="76" t="s">
        <v>2831</v>
      </c>
      <c r="C36" s="76">
        <f>IF(AND(NOT(ISBLANK(UNJC0190_H_SYOUHIN_BUNRUI_CD)),NOT(ISBLANK(UNJC0190_H_SYOUHIN_BUNRUI_MEI))),1,0)</f>
        <v>0</v>
      </c>
      <c r="D36" s="76" t="s">
        <v>2832</v>
      </c>
    </row>
    <row r="37" spans="2:4">
      <c r="B37" s="231" t="s">
        <v>2833</v>
      </c>
    </row>
    <row r="38" spans="2:4">
      <c r="B38" s="778"/>
    </row>
  </sheetData>
  <sheetProtection sheet="1" objects="1" scenarios="1" selectLockedCells="1"/>
  <mergeCells count="24">
    <mergeCell ref="X8:AE8"/>
    <mergeCell ref="K3:N3"/>
    <mergeCell ref="X3:AA3"/>
    <mergeCell ref="AC3:AF3"/>
    <mergeCell ref="X4:AA4"/>
    <mergeCell ref="AC4:AF4"/>
    <mergeCell ref="K4:N4"/>
    <mergeCell ref="X5:AA5"/>
    <mergeCell ref="AC5:AF5"/>
    <mergeCell ref="K6:N6"/>
    <mergeCell ref="X7:Y7"/>
    <mergeCell ref="K8:R8"/>
    <mergeCell ref="K7:N7"/>
    <mergeCell ref="O7:U7"/>
    <mergeCell ref="K10:N10"/>
    <mergeCell ref="K11:N11"/>
    <mergeCell ref="P11:S11"/>
    <mergeCell ref="K14:N14"/>
    <mergeCell ref="O14:Z14"/>
    <mergeCell ref="U16:X16"/>
    <mergeCell ref="K13:N13"/>
    <mergeCell ref="O13:Z13"/>
    <mergeCell ref="K16:N16"/>
    <mergeCell ref="P16:S16"/>
  </mergeCells>
  <phoneticPr fontId="2"/>
  <dataValidations count="6">
    <dataValidation type="list" allowBlank="1" showInputMessage="1" showErrorMessage="1" sqref="X7:Y7">
      <formula1>INDIRECT(UNJC0190_IF_StatusList)</formula1>
    </dataValidation>
    <dataValidation type="custom" allowBlank="1" showInputMessage="1" showErrorMessage="1" sqref="K5">
      <formula1>LENB(UNJC0190_H_EDA)&lt;=2</formula1>
    </dataValidation>
    <dataValidation type="custom" allowBlank="1" showInputMessage="1" showErrorMessage="1" sqref="K4:N4">
      <formula1>AND(LEN(UNJC0190_H_JURI_NO)=LENB(UNJC0190_H_JURI_NO),LEN(UNJC0190_H_JURI_NO)=10)</formula1>
    </dataValidation>
    <dataValidation type="custom" allowBlank="1" showInputMessage="1" showErrorMessage="1" sqref="O13:Z14">
      <formula1>LEN(UNJC0190_H_ATENA)&lt;=25</formula1>
    </dataValidation>
    <dataValidation type="date" allowBlank="1" showInputMessage="1" showErrorMessage="1" sqref="X3:AA3 X4:AA4 X5:AA5 AC5:AF5 AC4:AF4 AC3:AF3 K11:N11 P11:S11">
      <formula1>36526</formula1>
      <formula2>73415</formula2>
    </dataValidation>
    <dataValidation type="custom" allowBlank="1" showInputMessage="1" showErrorMessage="1" sqref="K7:N7">
      <formula1>AND(LEN(K7)=LENB(K7),LEN(K7)&lt;=9)</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7217" r:id="rId4" name="UNJC0190_H_FREEWD_AND">
              <controlPr defaultSize="0" autoFill="0" autoLine="0" autoPict="0">
                <anchor moveWithCells="1">
                  <from>
                    <xdr:col>24</xdr:col>
                    <xdr:colOff>104775</xdr:colOff>
                    <xdr:row>14</xdr:row>
                    <xdr:rowOff>190500</xdr:rowOff>
                  </from>
                  <to>
                    <xdr:col>26</xdr:col>
                    <xdr:colOff>47625</xdr:colOff>
                    <xdr:row>16</xdr:row>
                    <xdr:rowOff>19050</xdr:rowOff>
                  </to>
                </anchor>
              </controlPr>
            </control>
          </mc:Choice>
        </mc:AlternateContent>
        <mc:AlternateContent xmlns:mc="http://schemas.openxmlformats.org/markup-compatibility/2006">
          <mc:Choice Requires="x14">
            <control shapeId="2057218" r:id="rId5" name="UNJC0190_H_FREEWD_OR">
              <controlPr defaultSize="0" autoFill="0" autoLine="0" autoPict="0">
                <anchor moveWithCells="1">
                  <from>
                    <xdr:col>26</xdr:col>
                    <xdr:colOff>28575</xdr:colOff>
                    <xdr:row>14</xdr:row>
                    <xdr:rowOff>190500</xdr:rowOff>
                  </from>
                  <to>
                    <xdr:col>27</xdr:col>
                    <xdr:colOff>190500</xdr:colOff>
                    <xdr:row>16</xdr:row>
                    <xdr:rowOff>19050</xdr:rowOff>
                  </to>
                </anchor>
              </controlPr>
            </control>
          </mc:Choice>
        </mc:AlternateContent>
        <mc:AlternateContent xmlns:mc="http://schemas.openxmlformats.org/markup-compatibility/2006">
          <mc:Choice Requires="x14">
            <control shapeId="2057219" r:id="rId6" name="UNJC0190_H_FREEWD_NAND">
              <controlPr defaultSize="0" autoFill="0" autoLine="0" autoPict="0">
                <anchor moveWithCells="1">
                  <from>
                    <xdr:col>27</xdr:col>
                    <xdr:colOff>171450</xdr:colOff>
                    <xdr:row>14</xdr:row>
                    <xdr:rowOff>190500</xdr:rowOff>
                  </from>
                  <to>
                    <xdr:col>29</xdr:col>
                    <xdr:colOff>161925</xdr:colOff>
                    <xdr:row>16</xdr:row>
                    <xdr:rowOff>19050</xdr:rowOff>
                  </to>
                </anchor>
              </controlPr>
            </control>
          </mc:Choice>
        </mc:AlternateContent>
        <mc:AlternateContent xmlns:mc="http://schemas.openxmlformats.org/markup-compatibility/2006">
          <mc:Choice Requires="x14">
            <control shapeId="2057220" r:id="rId7" name="Button 4">
              <controlPr defaultSize="0" print="0" autoFill="0" autoPict="0" macro="[0]!UNJC0180_SearchDataCopy">
                <anchor moveWithCells="1" sizeWithCells="1">
                  <from>
                    <xdr:col>1</xdr:col>
                    <xdr:colOff>28575</xdr:colOff>
                    <xdr:row>0</xdr:row>
                    <xdr:rowOff>38100</xdr:rowOff>
                  </from>
                  <to>
                    <xdr:col>1</xdr:col>
                    <xdr:colOff>1038225</xdr:colOff>
                    <xdr:row>1</xdr:row>
                    <xdr:rowOff>9525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C000"/>
  </sheetPr>
  <dimension ref="A1:AM22"/>
  <sheetViews>
    <sheetView showGridLines="0" showRowColHeaders="0" topLeftCell="E2" workbookViewId="0">
      <selection sqref="A1:D1 G1:M1 O1 S1:T1 V1 Z1:AD1"/>
    </sheetView>
  </sheetViews>
  <sheetFormatPr defaultRowHeight="16.5"/>
  <cols>
    <col min="1" max="1" width="18.625" style="231" hidden="1" customWidth="1"/>
    <col min="2" max="2" width="21.75" style="231" hidden="1" customWidth="1"/>
    <col min="3" max="3" width="35.625" style="231" hidden="1" customWidth="1"/>
    <col min="4" max="4" width="3.625" style="231" hidden="1" customWidth="1"/>
    <col min="5" max="5" width="3.375" style="325" customWidth="1"/>
    <col min="6" max="6" width="3.375" style="919" customWidth="1"/>
    <col min="7" max="8" width="9.625" style="919" hidden="1" customWidth="1"/>
    <col min="9" max="9" width="11.25" style="919" hidden="1" customWidth="1"/>
    <col min="10" max="10" width="12.625" style="919" hidden="1" customWidth="1"/>
    <col min="11" max="11" width="7.25" style="919" hidden="1" customWidth="1"/>
    <col min="12" max="12" width="4.75" style="919" hidden="1" customWidth="1"/>
    <col min="13" max="13" width="14.125" style="919" hidden="1" customWidth="1"/>
    <col min="14" max="14" width="6.625" style="919" customWidth="1"/>
    <col min="15" max="15" width="6.625" style="919" hidden="1" customWidth="1"/>
    <col min="16" max="16" width="6.625" style="919" customWidth="1"/>
    <col min="17" max="17" width="12.75" style="919" customWidth="1"/>
    <col min="18" max="18" width="5.625" style="919" customWidth="1"/>
    <col min="19" max="19" width="5.625" style="919" hidden="1" customWidth="1"/>
    <col min="20" max="20" width="28.625" style="919" hidden="1" customWidth="1"/>
    <col min="21" max="21" width="35.625" style="919" customWidth="1"/>
    <col min="22" max="22" width="28.625" style="919" hidden="1" customWidth="1"/>
    <col min="23" max="25" width="28.625" style="919" customWidth="1"/>
    <col min="26" max="26" width="8.125" style="919" hidden="1" customWidth="1"/>
    <col min="27" max="27" width="28.625" style="905" hidden="1" customWidth="1"/>
    <col min="28" max="28" width="18" style="905" hidden="1" customWidth="1"/>
    <col min="29" max="30" width="9" style="919" hidden="1" customWidth="1"/>
    <col min="31" max="36" width="9" style="919" customWidth="1"/>
    <col min="37" max="16384" width="9" style="919"/>
  </cols>
  <sheetData>
    <row r="1" spans="1:39" s="278" customFormat="1" hidden="1">
      <c r="A1" s="779" t="s">
        <v>2834</v>
      </c>
      <c r="B1" s="579" t="s">
        <v>2835</v>
      </c>
      <c r="C1" s="579" t="s">
        <v>2836</v>
      </c>
      <c r="D1" s="231"/>
      <c r="E1" s="231"/>
    </row>
    <row r="2" spans="1:39" s="325" customFormat="1">
      <c r="A2" s="76" t="s">
        <v>2837</v>
      </c>
      <c r="B2" s="76" t="str">
        <f>ADDRESS(ROW(A1),COLUMN(A1))&amp;":"&amp;ADDRESS(ROW(D1),COLUMN(D1))&amp;","&amp;ADDRESS(ROW(G1),COLUMN(G1))&amp;":"&amp;ADDRESS(ROW(M1),COLUMN(M1))&amp;","&amp;ADDRESS(ROW(O1),COLUMN(O1))&amp;","&amp;ADDRESS(ROW(S1),COLUMN(S1))&amp;":"&amp;ADDRESS(ROW(T1),COLUMN(T1))&amp;","&amp;ADDRESS(ROW(V1),COLUMN(V1))&amp;","&amp;ADDRESS(ROW(Z1),COLUMN(Z1))&amp;":"&amp;ADDRESS(ROW(AD1),COLUMN(AD1))</f>
        <v>$A$1:$D$1,$G$1:$M$1,$O$1,$S$1:$T$1,$V$1,$Z$1:$AD$1</v>
      </c>
      <c r="C2" s="76" t="s">
        <v>2838</v>
      </c>
      <c r="D2" s="231"/>
      <c r="E2" s="325" t="str">
        <f>"("&amp;UNJC0190_B_PAGE_NO&amp;"/"&amp;UNJC0190_B_ALL_PAGE_SU&amp;")"</f>
        <v>(1/1)</v>
      </c>
      <c r="G2" s="780"/>
      <c r="H2" s="780"/>
      <c r="I2" s="780"/>
      <c r="J2" s="780"/>
      <c r="K2" s="780"/>
      <c r="L2" s="780"/>
      <c r="N2" s="780"/>
      <c r="O2" s="780"/>
      <c r="P2" s="780"/>
      <c r="Q2" s="780"/>
      <c r="R2" s="780"/>
      <c r="S2" s="780"/>
      <c r="T2" s="780"/>
      <c r="AC2" s="780"/>
      <c r="AD2" s="780"/>
      <c r="AE2" s="780"/>
      <c r="AF2" s="780"/>
    </row>
    <row r="3" spans="1:39" s="325" customFormat="1">
      <c r="A3" s="76" t="s">
        <v>2839</v>
      </c>
      <c r="B3" s="76" t="str">
        <f>ROW(A1)&amp;":"&amp;ROW(A1)</f>
        <v>1:1</v>
      </c>
      <c r="C3" s="76" t="s">
        <v>2840</v>
      </c>
      <c r="D3" s="231"/>
      <c r="N3" s="967" t="s">
        <v>2841</v>
      </c>
      <c r="U3" s="780" t="s">
        <v>2842</v>
      </c>
      <c r="W3" s="972"/>
      <c r="Z3" s="780"/>
      <c r="AA3" s="780"/>
      <c r="AB3" s="780"/>
      <c r="AM3" s="780"/>
    </row>
    <row r="4" spans="1:39" s="325" customFormat="1">
      <c r="A4" s="231"/>
      <c r="B4" s="231"/>
      <c r="C4" s="231"/>
      <c r="D4" s="231"/>
      <c r="G4" s="919"/>
      <c r="H4" s="919"/>
      <c r="I4" s="919"/>
      <c r="J4" s="919"/>
      <c r="K4" s="919"/>
      <c r="L4" s="919"/>
      <c r="M4" s="919"/>
      <c r="N4" s="1792" t="str">
        <f>IF(ISBLANK(UNJC0190_H_SYOUHIN_BUNRUI_MEI_S),"",UNJC0190_H_SYOUHIN_BUNRUI_MEI_S)</f>
        <v/>
      </c>
      <c r="O4" s="1793"/>
      <c r="P4" s="1793"/>
      <c r="Q4" s="1794"/>
      <c r="U4" s="780" t="s">
        <v>2843</v>
      </c>
      <c r="V4" s="780"/>
      <c r="W4" s="972"/>
      <c r="X4" s="780"/>
      <c r="Y4" s="780"/>
      <c r="Z4" s="780"/>
      <c r="AA4" s="780"/>
      <c r="AI4" s="780"/>
      <c r="AJ4" s="780"/>
      <c r="AK4" s="780"/>
    </row>
    <row r="5" spans="1:39" s="325" customFormat="1">
      <c r="A5" s="76" t="s">
        <v>2844</v>
      </c>
      <c r="B5" s="76">
        <f>COLUMN(G1)</f>
        <v>7</v>
      </c>
      <c r="C5" s="76" t="s">
        <v>2845</v>
      </c>
      <c r="D5" s="231"/>
      <c r="G5" s="919"/>
      <c r="H5" s="919"/>
      <c r="I5" s="919"/>
      <c r="J5" s="919"/>
      <c r="K5" s="919"/>
      <c r="L5" s="919"/>
      <c r="M5" s="919"/>
      <c r="N5" s="780"/>
      <c r="O5" s="780"/>
      <c r="P5" s="780"/>
      <c r="Q5" s="780"/>
      <c r="R5" s="780"/>
      <c r="S5" s="780"/>
      <c r="T5" s="780"/>
      <c r="U5" s="971"/>
      <c r="AC5" s="780"/>
      <c r="AD5" s="780"/>
      <c r="AE5" s="780"/>
      <c r="AF5" s="780"/>
    </row>
    <row r="6" spans="1:39" s="927" customFormat="1">
      <c r="A6" s="76" t="s">
        <v>2846</v>
      </c>
      <c r="B6" s="76">
        <f>COLUMN(M1)</f>
        <v>13</v>
      </c>
      <c r="C6" s="76" t="s">
        <v>2847</v>
      </c>
      <c r="D6" s="231"/>
      <c r="E6" s="781"/>
      <c r="F6" s="928" t="s">
        <v>17</v>
      </c>
      <c r="G6" s="929" t="s">
        <v>2848</v>
      </c>
      <c r="H6" s="929" t="s">
        <v>2849</v>
      </c>
      <c r="I6" s="929" t="s">
        <v>2849</v>
      </c>
      <c r="J6" s="929" t="s">
        <v>2849</v>
      </c>
      <c r="K6" s="929" t="s">
        <v>2849</v>
      </c>
      <c r="L6" s="929" t="s">
        <v>2849</v>
      </c>
      <c r="M6" s="929" t="s">
        <v>2849</v>
      </c>
      <c r="N6" s="926" t="s">
        <v>1614</v>
      </c>
      <c r="O6" s="926" t="s">
        <v>2416</v>
      </c>
      <c r="P6" s="926" t="s">
        <v>867</v>
      </c>
      <c r="Q6" s="926" t="s">
        <v>28</v>
      </c>
      <c r="R6" s="926" t="s">
        <v>78</v>
      </c>
      <c r="S6" s="926" t="s">
        <v>2850</v>
      </c>
      <c r="T6" s="926" t="s">
        <v>2851</v>
      </c>
      <c r="U6" s="926" t="s">
        <v>829</v>
      </c>
      <c r="V6" s="926" t="s">
        <v>62</v>
      </c>
      <c r="W6" s="926" t="s">
        <v>63</v>
      </c>
      <c r="X6" s="926" t="s">
        <v>1201</v>
      </c>
      <c r="Y6" s="926" t="s">
        <v>1115</v>
      </c>
      <c r="Z6" s="926" t="s">
        <v>19</v>
      </c>
      <c r="AA6" s="907" t="s">
        <v>2852</v>
      </c>
      <c r="AB6" s="907" t="s">
        <v>1117</v>
      </c>
      <c r="AC6" s="928" t="s">
        <v>2853</v>
      </c>
      <c r="AD6" s="928" t="s">
        <v>2813</v>
      </c>
    </row>
    <row r="7" spans="1:39" s="930" customFormat="1">
      <c r="A7" s="76" t="s">
        <v>2854</v>
      </c>
      <c r="B7" s="76">
        <f>COLUMN(V1)</f>
        <v>22</v>
      </c>
      <c r="C7" s="76" t="s">
        <v>2855</v>
      </c>
      <c r="D7" s="282"/>
      <c r="E7" s="325"/>
      <c r="AA7" s="908"/>
      <c r="AB7" s="908"/>
    </row>
    <row r="8" spans="1:39" s="930" customFormat="1">
      <c r="A8" s="76" t="s">
        <v>2856</v>
      </c>
      <c r="B8" s="76">
        <f>COLUMN(Z1)</f>
        <v>26</v>
      </c>
      <c r="C8" s="76" t="s">
        <v>2857</v>
      </c>
      <c r="D8" s="282"/>
      <c r="E8" s="325"/>
      <c r="AA8" s="908"/>
      <c r="AB8" s="908"/>
    </row>
    <row r="9" spans="1:39" s="930" customFormat="1">
      <c r="A9" s="76" t="s">
        <v>2858</v>
      </c>
      <c r="B9" s="76">
        <f>COLUMN(AD1)</f>
        <v>30</v>
      </c>
      <c r="C9" s="76" t="s">
        <v>2859</v>
      </c>
      <c r="D9" s="282"/>
      <c r="E9" s="325"/>
      <c r="AA9" s="908"/>
      <c r="AB9" s="908"/>
    </row>
    <row r="10" spans="1:39" s="930" customFormat="1">
      <c r="A10" s="76" t="s">
        <v>3590</v>
      </c>
      <c r="B10" s="76">
        <f>COLUMN(O1)</f>
        <v>15</v>
      </c>
      <c r="C10" s="76" t="s">
        <v>3594</v>
      </c>
      <c r="D10" s="282"/>
      <c r="E10" s="325"/>
      <c r="AA10" s="908"/>
      <c r="AB10" s="908"/>
    </row>
    <row r="11" spans="1:39" s="930" customFormat="1">
      <c r="A11" s="76" t="s">
        <v>3591</v>
      </c>
      <c r="B11" s="76">
        <f>COLUMN(S1)</f>
        <v>19</v>
      </c>
      <c r="C11" s="76" t="s">
        <v>3595</v>
      </c>
      <c r="D11" s="282"/>
      <c r="E11" s="325"/>
      <c r="AA11" s="908"/>
      <c r="AB11" s="908"/>
    </row>
    <row r="12" spans="1:39" s="930" customFormat="1">
      <c r="A12" s="76" t="s">
        <v>3592</v>
      </c>
      <c r="B12" s="76">
        <f>COLUMN(T1)</f>
        <v>20</v>
      </c>
      <c r="C12" s="76" t="s">
        <v>3593</v>
      </c>
      <c r="D12" s="282"/>
      <c r="E12" s="325"/>
      <c r="AA12" s="908"/>
      <c r="AB12" s="908"/>
    </row>
    <row r="13" spans="1:39">
      <c r="A13" s="282"/>
      <c r="B13" s="282"/>
      <c r="C13" s="282"/>
    </row>
    <row r="14" spans="1:39">
      <c r="A14" s="76" t="s">
        <v>2860</v>
      </c>
      <c r="B14" s="783"/>
      <c r="C14" s="76" t="s">
        <v>2861</v>
      </c>
    </row>
    <row r="15" spans="1:39">
      <c r="A15" s="76" t="s">
        <v>2862</v>
      </c>
      <c r="B15" s="783"/>
      <c r="C15" s="76" t="s">
        <v>2863</v>
      </c>
    </row>
    <row r="16" spans="1:39">
      <c r="A16" s="282"/>
      <c r="B16" s="282"/>
      <c r="C16" s="282"/>
    </row>
    <row r="17" spans="1:3">
      <c r="A17" s="76" t="s">
        <v>2864</v>
      </c>
      <c r="B17" s="76" t="str">
        <f>ADDRESS(ROW(UNJC0190_B_DataStart),COLUMN(AB6))</f>
        <v>$AB$7</v>
      </c>
      <c r="C17" s="76" t="s">
        <v>2865</v>
      </c>
    </row>
    <row r="19" spans="1:3">
      <c r="A19" s="76" t="s">
        <v>2866</v>
      </c>
      <c r="B19" s="76"/>
      <c r="C19" s="76" t="s">
        <v>2867</v>
      </c>
    </row>
    <row r="20" spans="1:3">
      <c r="A20" s="76" t="s">
        <v>2868</v>
      </c>
      <c r="B20" s="76"/>
      <c r="C20" s="76" t="s">
        <v>2869</v>
      </c>
    </row>
    <row r="21" spans="1:3">
      <c r="A21" s="76" t="s">
        <v>2870</v>
      </c>
      <c r="B21" s="76"/>
      <c r="C21" s="76" t="s">
        <v>2871</v>
      </c>
    </row>
    <row r="22" spans="1:3">
      <c r="A22" s="76" t="s">
        <v>4524</v>
      </c>
      <c r="B22" s="76"/>
      <c r="C22" s="76" t="s">
        <v>4525</v>
      </c>
    </row>
  </sheetData>
  <sheetProtection sheet="1" objects="1" scenarios="1" selectLockedCells="1"/>
  <mergeCells count="1">
    <mergeCell ref="N4:Q4"/>
  </mergeCells>
  <phoneticPr fontId="2"/>
  <pageMargins left="0.7" right="0.7" top="0.75" bottom="0.75" header="0.3" footer="0.3"/>
  <pageSetup paperSize="9" orientation="portrait"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2:BN44"/>
  <sheetViews>
    <sheetView topLeftCell="K1" workbookViewId="0">
      <selection activeCell="AS7" sqref="AS7"/>
    </sheetView>
  </sheetViews>
  <sheetFormatPr defaultRowHeight="18.75"/>
  <cols>
    <col min="1" max="1" width="3.625" style="691" customWidth="1"/>
    <col min="2" max="2" width="23.75" style="691" bestFit="1" customWidth="1"/>
    <col min="3" max="3" width="18.75" style="691" customWidth="1"/>
    <col min="4" max="4" width="38.75" style="691" bestFit="1" customWidth="1"/>
    <col min="5" max="5" width="11.125" style="691" bestFit="1" customWidth="1"/>
    <col min="6" max="7" width="3.625" style="691" customWidth="1"/>
    <col min="8" max="18" width="3.75" style="230" customWidth="1"/>
    <col min="19" max="29" width="3.75" style="231" customWidth="1"/>
    <col min="30" max="30" width="3.625" style="691" customWidth="1"/>
    <col min="31" max="31" width="13.75" style="691" bestFit="1" customWidth="1"/>
    <col min="32" max="32" width="5.25" style="691" bestFit="1" customWidth="1"/>
    <col min="33" max="33" width="12.125" style="691" bestFit="1" customWidth="1"/>
    <col min="34" max="34" width="9" style="691"/>
    <col min="35" max="36" width="7.125" style="691" bestFit="1" customWidth="1"/>
    <col min="37" max="37" width="9" style="691"/>
    <col min="38" max="38" width="18.25" style="691" bestFit="1" customWidth="1"/>
    <col min="39" max="39" width="3.625" style="691" customWidth="1"/>
    <col min="40" max="40" width="10" style="691" bestFit="1" customWidth="1"/>
    <col min="41" max="48" width="5.625" style="691" customWidth="1"/>
    <col min="49" max="51" width="6.625" style="691" customWidth="1"/>
    <col min="52" max="52" width="12.75" style="691" customWidth="1"/>
    <col min="53" max="54" width="5.625" style="691" customWidth="1"/>
    <col min="55" max="55" width="28.625" style="691" customWidth="1"/>
    <col min="56" max="56" width="35.625" style="691" customWidth="1"/>
    <col min="57" max="60" width="28.625" style="691" customWidth="1"/>
    <col min="61" max="61" width="14.625" style="691" customWidth="1"/>
    <col min="62" max="63" width="5.625" style="691" customWidth="1"/>
    <col min="64" max="64" width="18" style="691" customWidth="1"/>
    <col min="65" max="70" width="5.625" style="691" customWidth="1"/>
    <col min="71" max="71" width="18" style="691" customWidth="1"/>
    <col min="72" max="72" width="7.625" style="691" customWidth="1"/>
    <col min="73" max="73" width="38.625" style="691" customWidth="1"/>
    <col min="74" max="74" width="13.625" style="691" customWidth="1"/>
    <col min="75" max="76" width="25.625" style="691" customWidth="1"/>
    <col min="77" max="16384" width="9" style="691"/>
  </cols>
  <sheetData>
    <row r="2" spans="1:66" s="278" customFormat="1" ht="16.5" customHeight="1">
      <c r="A2" s="691"/>
      <c r="B2" s="691" t="s">
        <v>2432</v>
      </c>
      <c r="C2" s="691"/>
      <c r="D2" s="691"/>
      <c r="E2" s="691"/>
      <c r="F2" s="691"/>
      <c r="G2" s="691"/>
      <c r="H2" s="230"/>
      <c r="I2" s="230"/>
      <c r="J2" s="230"/>
      <c r="K2" s="230"/>
      <c r="L2" s="230"/>
      <c r="M2" s="230"/>
      <c r="N2" s="230"/>
      <c r="O2" s="230"/>
      <c r="P2" s="230"/>
      <c r="Q2" s="230"/>
      <c r="R2" s="230"/>
      <c r="S2" s="231"/>
      <c r="T2" s="231"/>
      <c r="U2" s="231"/>
      <c r="V2" s="231"/>
      <c r="W2" s="231"/>
      <c r="X2" s="231"/>
      <c r="Y2" s="231"/>
      <c r="Z2" s="231"/>
      <c r="AA2" s="231"/>
      <c r="AB2" s="231"/>
      <c r="AC2" s="231"/>
      <c r="AD2" s="691"/>
      <c r="AE2" s="691" t="s">
        <v>2872</v>
      </c>
      <c r="AF2" s="691"/>
      <c r="AG2" s="691"/>
      <c r="AH2" s="691"/>
      <c r="AI2" s="691"/>
      <c r="AJ2" s="691"/>
      <c r="AK2" s="691"/>
      <c r="AL2" s="691"/>
      <c r="AM2" s="691"/>
      <c r="AN2" s="691"/>
      <c r="AO2" s="691" t="s">
        <v>2290</v>
      </c>
      <c r="AP2" s="691" t="s">
        <v>2288</v>
      </c>
      <c r="AQ2" s="691" t="s">
        <v>2289</v>
      </c>
      <c r="AR2" s="691" t="s">
        <v>2291</v>
      </c>
      <c r="AS2" s="691" t="s">
        <v>2292</v>
      </c>
      <c r="AT2" s="691" t="s">
        <v>2293</v>
      </c>
      <c r="AU2" s="691" t="s">
        <v>2294</v>
      </c>
      <c r="AV2" s="691" t="s">
        <v>2295</v>
      </c>
      <c r="AW2" s="691" t="s">
        <v>3599</v>
      </c>
      <c r="AX2" s="691" t="s">
        <v>2296</v>
      </c>
      <c r="AY2" s="691" t="s">
        <v>2873</v>
      </c>
      <c r="AZ2" s="691" t="s">
        <v>2301</v>
      </c>
      <c r="BA2" s="691" t="s">
        <v>2302</v>
      </c>
      <c r="BB2" s="691" t="s">
        <v>1118</v>
      </c>
      <c r="BC2" s="691" t="s">
        <v>2303</v>
      </c>
      <c r="BD2" s="691" t="s">
        <v>2304</v>
      </c>
      <c r="BE2" s="691" t="s">
        <v>2308</v>
      </c>
      <c r="BF2" s="691" t="s">
        <v>2309</v>
      </c>
      <c r="BG2" s="691" t="s">
        <v>2874</v>
      </c>
      <c r="BH2" s="691" t="s">
        <v>2875</v>
      </c>
      <c r="BI2" s="691" t="s">
        <v>2876</v>
      </c>
      <c r="BJ2" s="691" t="s">
        <v>2877</v>
      </c>
      <c r="BK2" s="691" t="s">
        <v>2878</v>
      </c>
      <c r="BL2" s="691" t="s">
        <v>2879</v>
      </c>
      <c r="BM2" s="691" t="s">
        <v>2880</v>
      </c>
    </row>
    <row r="3" spans="1:66" ht="37.5">
      <c r="B3" s="694" t="s">
        <v>2436</v>
      </c>
      <c r="C3" s="709"/>
      <c r="D3" s="784" t="s">
        <v>2881</v>
      </c>
      <c r="AE3" s="709" t="s">
        <v>100</v>
      </c>
      <c r="AF3" s="693"/>
      <c r="AO3" s="710" t="s">
        <v>2882</v>
      </c>
      <c r="BN3" s="710" t="s">
        <v>2883</v>
      </c>
    </row>
    <row r="4" spans="1:66" s="278" customFormat="1" ht="37.5">
      <c r="A4" s="691"/>
      <c r="B4" s="694" t="s">
        <v>2884</v>
      </c>
      <c r="C4" s="709">
        <v>0</v>
      </c>
      <c r="D4" s="784" t="s">
        <v>2885</v>
      </c>
      <c r="E4" s="691"/>
      <c r="F4" s="691"/>
      <c r="G4" s="691"/>
      <c r="H4" s="230"/>
      <c r="I4" s="230"/>
      <c r="J4" s="230"/>
      <c r="K4" s="230"/>
      <c r="L4" s="230"/>
      <c r="M4" s="230"/>
      <c r="N4" s="230"/>
      <c r="O4" s="230"/>
      <c r="P4" s="230"/>
      <c r="Q4" s="230"/>
      <c r="R4" s="230"/>
      <c r="S4" s="231"/>
      <c r="T4" s="231"/>
      <c r="U4" s="231"/>
      <c r="V4" s="231"/>
      <c r="W4" s="231"/>
      <c r="X4" s="231"/>
      <c r="Y4" s="231"/>
      <c r="Z4" s="231"/>
      <c r="AA4" s="231"/>
      <c r="AB4" s="231"/>
      <c r="AC4" s="231"/>
      <c r="AD4" s="691"/>
      <c r="AE4" s="709" t="s">
        <v>1186</v>
      </c>
      <c r="AF4" s="709" t="s">
        <v>2886</v>
      </c>
      <c r="AG4" s="709" t="s">
        <v>2887</v>
      </c>
      <c r="AH4" s="709" t="s">
        <v>2888</v>
      </c>
      <c r="AI4" s="709" t="s">
        <v>2889</v>
      </c>
      <c r="AJ4" s="709" t="s">
        <v>2890</v>
      </c>
      <c r="AK4" s="709" t="s">
        <v>2891</v>
      </c>
      <c r="AL4" s="709" t="s">
        <v>2892</v>
      </c>
      <c r="AM4" s="691"/>
      <c r="AN4" s="693"/>
      <c r="AO4" s="879" t="s">
        <v>17</v>
      </c>
      <c r="AP4" s="782" t="s">
        <v>2848</v>
      </c>
      <c r="AQ4" s="782" t="s">
        <v>2849</v>
      </c>
      <c r="AR4" s="782" t="s">
        <v>2849</v>
      </c>
      <c r="AS4" s="782" t="s">
        <v>2849</v>
      </c>
      <c r="AT4" s="782" t="s">
        <v>2849</v>
      </c>
      <c r="AU4" s="782" t="s">
        <v>2849</v>
      </c>
      <c r="AV4" s="782" t="s">
        <v>2849</v>
      </c>
      <c r="AW4" s="769" t="s">
        <v>1614</v>
      </c>
      <c r="AX4" s="769" t="s">
        <v>2416</v>
      </c>
      <c r="AY4" s="769" t="s">
        <v>867</v>
      </c>
      <c r="AZ4" s="769" t="s">
        <v>28</v>
      </c>
      <c r="BA4" s="769" t="s">
        <v>78</v>
      </c>
      <c r="BB4" s="769" t="s">
        <v>2850</v>
      </c>
      <c r="BC4" s="769" t="s">
        <v>2851</v>
      </c>
      <c r="BD4" s="769" t="s">
        <v>829</v>
      </c>
      <c r="BE4" s="769" t="s">
        <v>62</v>
      </c>
      <c r="BF4" s="769" t="s">
        <v>63</v>
      </c>
      <c r="BG4" s="769" t="s">
        <v>2893</v>
      </c>
      <c r="BH4" s="769" t="s">
        <v>1115</v>
      </c>
      <c r="BI4" s="769" t="s">
        <v>19</v>
      </c>
      <c r="BJ4" s="769" t="s">
        <v>2852</v>
      </c>
      <c r="BK4" s="769" t="s">
        <v>1117</v>
      </c>
      <c r="BL4" s="600" t="s">
        <v>2853</v>
      </c>
      <c r="BM4" s="600" t="s">
        <v>2813</v>
      </c>
    </row>
    <row r="5" spans="1:66" s="278" customFormat="1">
      <c r="A5" s="691"/>
      <c r="B5" s="694" t="s">
        <v>2894</v>
      </c>
      <c r="C5" s="709">
        <f>IF(UNJC0190_IF_MODE=2,0,2)</f>
        <v>2</v>
      </c>
      <c r="D5" s="784" t="s">
        <v>2895</v>
      </c>
      <c r="E5" s="691"/>
      <c r="F5" s="691"/>
      <c r="G5" s="691" t="s">
        <v>2438</v>
      </c>
      <c r="H5" s="691"/>
      <c r="I5" s="691"/>
      <c r="J5" s="691"/>
      <c r="K5" s="691"/>
      <c r="L5" s="691"/>
      <c r="M5" s="691"/>
      <c r="N5" s="691"/>
      <c r="O5" s="691"/>
      <c r="P5" s="691"/>
      <c r="Q5" s="691"/>
      <c r="R5" s="691"/>
      <c r="S5" s="691"/>
      <c r="T5" s="691"/>
      <c r="U5" s="691"/>
      <c r="V5" s="691"/>
      <c r="W5" s="691"/>
      <c r="X5" s="691"/>
      <c r="Y5" s="691"/>
      <c r="Z5" s="691"/>
      <c r="AA5" s="691"/>
      <c r="AB5" s="691"/>
      <c r="AC5" s="691"/>
      <c r="AD5" s="691"/>
      <c r="AE5" s="785"/>
      <c r="AF5" s="691"/>
      <c r="AG5" s="691"/>
      <c r="AH5" s="691"/>
      <c r="AI5" s="691"/>
      <c r="AJ5" s="691"/>
      <c r="AK5" s="691"/>
      <c r="AL5" s="691"/>
      <c r="AM5" s="691"/>
      <c r="AN5" s="693" t="s">
        <v>2896</v>
      </c>
      <c r="AO5" s="786"/>
      <c r="AP5" s="786"/>
      <c r="AQ5" s="786"/>
      <c r="AR5" s="786"/>
      <c r="AS5" s="786"/>
      <c r="AT5" s="786"/>
      <c r="AU5" s="786"/>
      <c r="AV5" s="786"/>
      <c r="AW5" s="966"/>
      <c r="AX5" s="966"/>
      <c r="AY5" s="966"/>
      <c r="AZ5" s="598"/>
      <c r="BA5" s="598"/>
      <c r="BB5" s="598"/>
      <c r="BC5" s="598"/>
      <c r="BD5" s="787"/>
      <c r="BE5" s="787"/>
      <c r="BF5" s="787"/>
      <c r="BG5" s="787"/>
      <c r="BH5" s="787"/>
      <c r="BI5" s="787"/>
      <c r="BJ5" s="931"/>
      <c r="BK5" s="932"/>
      <c r="BL5" s="791" t="e">
        <f ca="1">IF(
OR(INDIRECT(ADDRESS(ROW(),MATCH("SOKUTEI_DATE",INDIRECT(ADDRESS(ROW(UNJC0190_B_ColumnNameList),COLUMN(UNJC0190_B_ColumnNameList))&amp;":"&amp;ADDRESS(ROW(UNJC0190_B_ColumnNameList),COLUMN(UNJC0190_B_ColumnNameList)+COLUMNS(UNJC0190_IF_LAYOUT_KOUMOKU_NAME_COPY)-1)),0)+COLUMN(UNJC0190_B_ColumnNameList)-1))="",INDIRECT(ADDRESS(ROW(),MATCH("SOKUTEISHA_MEI",INDIRECT(ADDRESS(ROW(UNJC0190_B_ColumnNameList),COLUMN(UNJC0190_B_ColumnNameList))&amp;":"&amp;ADDRESS(ROW(UNJC0190_B_ColumnNameList),COLUMN(UNJC0190_B_ColumnNameList)+COLUMNS(UNJC0190_IF_LAYOUT_KOUMOKU_NAME_COPY)-1)),0)+COLUMN(UNJC0190_B_ColumnNameList)-1))=""
  ),1,2)</f>
        <v>#N/A</v>
      </c>
      <c r="BM5" s="788"/>
    </row>
    <row r="6" spans="1:66" s="278" customFormat="1">
      <c r="A6" s="691"/>
      <c r="B6" s="691"/>
      <c r="C6" s="691"/>
      <c r="D6" s="691"/>
      <c r="E6" s="691"/>
      <c r="F6" s="691"/>
      <c r="G6" s="691" t="s">
        <v>2897</v>
      </c>
      <c r="H6" s="691"/>
      <c r="I6" s="691"/>
      <c r="J6" s="691"/>
      <c r="K6" s="691"/>
      <c r="L6" s="691"/>
      <c r="M6" s="691"/>
      <c r="N6" s="691"/>
      <c r="O6" s="691"/>
      <c r="P6" s="691"/>
      <c r="Q6" s="691"/>
      <c r="R6" s="691"/>
      <c r="S6" s="691"/>
      <c r="T6" s="691"/>
      <c r="U6" s="691"/>
      <c r="V6" s="691"/>
      <c r="W6" s="691"/>
      <c r="X6" s="691"/>
      <c r="Y6" s="691"/>
      <c r="Z6" s="691"/>
      <c r="AA6" s="691"/>
      <c r="AB6" s="691"/>
      <c r="AC6" s="691"/>
      <c r="AD6" s="691"/>
      <c r="AE6" s="701"/>
      <c r="AF6" s="691"/>
      <c r="AG6" s="691"/>
      <c r="AH6" s="691"/>
      <c r="AI6" s="691"/>
      <c r="AJ6" s="691"/>
      <c r="AK6" s="691"/>
      <c r="AL6" s="691"/>
      <c r="AM6" s="691"/>
      <c r="AN6" s="693" t="s">
        <v>2898</v>
      </c>
      <c r="AO6" s="691">
        <v>3</v>
      </c>
      <c r="AP6" s="691"/>
      <c r="AQ6" s="691"/>
      <c r="AR6" s="691"/>
      <c r="AS6" s="691"/>
      <c r="AT6" s="691"/>
      <c r="AU6" s="691"/>
      <c r="AV6" s="691"/>
      <c r="AW6" s="691">
        <v>6</v>
      </c>
      <c r="AX6" s="691">
        <v>6</v>
      </c>
      <c r="AY6" s="691">
        <v>6</v>
      </c>
      <c r="AZ6" s="691">
        <v>6</v>
      </c>
      <c r="BA6" s="691">
        <v>2</v>
      </c>
      <c r="BB6" s="691">
        <v>2</v>
      </c>
      <c r="BC6" s="691">
        <v>10</v>
      </c>
      <c r="BD6" s="691">
        <v>22</v>
      </c>
      <c r="BE6" s="691">
        <v>28</v>
      </c>
      <c r="BF6" s="691">
        <v>18</v>
      </c>
      <c r="BG6" s="691">
        <v>10</v>
      </c>
      <c r="BH6" s="691">
        <v>5</v>
      </c>
      <c r="BI6" s="691">
        <v>7.5</v>
      </c>
      <c r="BJ6" s="691">
        <v>28</v>
      </c>
      <c r="BK6" s="691">
        <v>14</v>
      </c>
      <c r="BL6" s="691">
        <v>4</v>
      </c>
      <c r="BM6" s="691">
        <v>5</v>
      </c>
    </row>
    <row r="7" spans="1:66">
      <c r="B7" s="691" t="s">
        <v>2445</v>
      </c>
      <c r="G7" s="774"/>
      <c r="H7" s="1689"/>
      <c r="I7" s="1783"/>
      <c r="J7" s="1783"/>
      <c r="K7" s="1784"/>
      <c r="L7" s="207"/>
      <c r="M7" s="207"/>
      <c r="N7" s="207"/>
      <c r="O7" s="207"/>
      <c r="P7" s="207"/>
      <c r="Q7" s="207"/>
      <c r="R7" s="207"/>
      <c r="S7" s="207"/>
      <c r="T7" s="208" t="s">
        <v>4429</v>
      </c>
      <c r="U7" s="1261"/>
      <c r="V7" s="1262"/>
      <c r="W7" s="1262"/>
      <c r="X7" s="1263"/>
      <c r="Y7" s="957" t="s">
        <v>26</v>
      </c>
      <c r="Z7" s="1261"/>
      <c r="AA7" s="1262"/>
      <c r="AB7" s="1262"/>
      <c r="AC7" s="1263"/>
      <c r="AE7" s="701"/>
      <c r="AP7" s="691" t="s">
        <v>2899</v>
      </c>
      <c r="AQ7" s="691" t="s">
        <v>2901</v>
      </c>
      <c r="AR7" s="691" t="s">
        <v>2902</v>
      </c>
      <c r="AS7" s="691" t="s">
        <v>2900</v>
      </c>
    </row>
    <row r="8" spans="1:66">
      <c r="B8" s="694" t="s">
        <v>121</v>
      </c>
      <c r="C8" s="709"/>
      <c r="D8" s="691" t="s">
        <v>2903</v>
      </c>
      <c r="G8" s="208"/>
      <c r="H8" s="1711"/>
      <c r="I8" s="1712"/>
      <c r="J8" s="1712"/>
      <c r="K8" s="1713"/>
      <c r="L8" s="207"/>
      <c r="M8" s="207"/>
      <c r="N8" s="207"/>
      <c r="O8" s="207"/>
      <c r="P8" s="207"/>
      <c r="Q8" s="207"/>
      <c r="R8" s="207"/>
      <c r="S8" s="207"/>
      <c r="T8" s="208" t="s">
        <v>4430</v>
      </c>
      <c r="U8" s="1261"/>
      <c r="V8" s="1262"/>
      <c r="W8" s="1262"/>
      <c r="X8" s="1263"/>
      <c r="Y8" s="957" t="s">
        <v>26</v>
      </c>
      <c r="Z8" s="1261"/>
      <c r="AA8" s="1262"/>
      <c r="AB8" s="1262"/>
      <c r="AC8" s="1263"/>
      <c r="AE8" s="701"/>
      <c r="AO8" s="710" t="s">
        <v>2904</v>
      </c>
    </row>
    <row r="9" spans="1:66">
      <c r="B9" s="694" t="s">
        <v>2449</v>
      </c>
      <c r="C9" s="709"/>
      <c r="D9" s="691" t="s">
        <v>2905</v>
      </c>
      <c r="G9" s="208"/>
      <c r="H9" s="32"/>
      <c r="I9" s="207"/>
      <c r="J9" s="207"/>
      <c r="K9" s="207"/>
      <c r="L9" s="207"/>
      <c r="M9" s="207"/>
      <c r="N9" s="207"/>
      <c r="O9" s="207"/>
      <c r="P9" s="207"/>
      <c r="Q9" s="207"/>
      <c r="R9" s="207"/>
      <c r="S9" s="207"/>
      <c r="T9" s="208" t="s">
        <v>4431</v>
      </c>
      <c r="U9" s="1261"/>
      <c r="V9" s="1262"/>
      <c r="W9" s="1262"/>
      <c r="X9" s="1263"/>
      <c r="Y9" s="957" t="s">
        <v>26</v>
      </c>
      <c r="Z9" s="1261"/>
      <c r="AA9" s="1262"/>
      <c r="AB9" s="1262"/>
      <c r="AC9" s="1263"/>
      <c r="AE9" s="701"/>
      <c r="AN9" s="693"/>
      <c r="AO9" s="789" t="s">
        <v>2906</v>
      </c>
      <c r="AP9" s="790" t="s">
        <v>2907</v>
      </c>
      <c r="AQ9" s="790" t="s">
        <v>2908</v>
      </c>
      <c r="AR9" s="790" t="s">
        <v>2909</v>
      </c>
      <c r="AS9" s="3" t="s">
        <v>1</v>
      </c>
    </row>
    <row r="10" spans="1:66">
      <c r="B10" s="694" t="s">
        <v>2451</v>
      </c>
      <c r="C10" s="709"/>
      <c r="D10" s="691" t="s">
        <v>2910</v>
      </c>
      <c r="G10" s="774"/>
      <c r="H10" s="1787"/>
      <c r="I10" s="1788"/>
      <c r="J10" s="1788"/>
      <c r="K10" s="1789"/>
      <c r="L10" s="207"/>
      <c r="M10" s="207"/>
      <c r="N10" s="207"/>
      <c r="O10" s="207"/>
      <c r="P10" s="207"/>
      <c r="Q10" s="207"/>
      <c r="R10" s="207"/>
      <c r="S10" s="207"/>
      <c r="T10" s="207"/>
      <c r="U10" s="207"/>
      <c r="V10" s="207"/>
      <c r="W10" s="207"/>
      <c r="X10" s="207"/>
      <c r="Y10" s="207"/>
      <c r="Z10" s="207"/>
      <c r="AA10" s="207"/>
      <c r="AB10" s="207"/>
      <c r="AC10" s="207"/>
      <c r="AE10" s="701"/>
      <c r="AN10" s="693" t="s">
        <v>2896</v>
      </c>
      <c r="AO10" s="581"/>
      <c r="AP10" s="791" t="e">
        <f ca="1">VLOOKUP(INDIRECT(ADDRESS(ROW(),COLUMN(UNJC0190_B_TITLE_STATE_CD))),INDIRECT(UNJC0190_IF_StatusList_CodeToName),2,FALSE)</f>
        <v>#N/A</v>
      </c>
      <c r="AQ10" s="1198"/>
      <c r="AR10" s="259"/>
      <c r="AS10" s="478"/>
    </row>
    <row r="11" spans="1:66">
      <c r="B11" s="694" t="s">
        <v>2452</v>
      </c>
      <c r="C11" s="709"/>
      <c r="D11" s="691" t="s">
        <v>2911</v>
      </c>
      <c r="G11" s="208"/>
      <c r="H11" s="1290"/>
      <c r="I11" s="1746"/>
      <c r="J11" s="1746"/>
      <c r="K11" s="1747"/>
      <c r="L11" s="1748" t="str">
        <f>IFERROR(IF(UNJC0190_H_BUNSEKI_HOHO="","",INDEX(UNJC_BUNSEKI_HOHO_IF_LIST,MATCH(UNJC0190_H_BUNSEKI_HOHO,UNJC_BUNSEKI_HOHO_IF_LIST2,0),2)),"")</f>
        <v/>
      </c>
      <c r="M11" s="1790"/>
      <c r="N11" s="1790"/>
      <c r="O11" s="1790"/>
      <c r="P11" s="1790"/>
      <c r="Q11" s="1790"/>
      <c r="R11" s="1791"/>
      <c r="S11" s="207"/>
      <c r="T11" s="208" t="s">
        <v>2792</v>
      </c>
      <c r="U11" s="1714"/>
      <c r="V11" s="1716"/>
      <c r="W11" s="207"/>
      <c r="X11" s="207"/>
      <c r="Y11" s="207"/>
      <c r="Z11" s="207"/>
      <c r="AA11" s="207"/>
      <c r="AB11" s="207"/>
      <c r="AC11" s="207"/>
      <c r="AE11" s="701"/>
      <c r="AN11" s="693" t="s">
        <v>2912</v>
      </c>
      <c r="AO11" s="691">
        <v>13</v>
      </c>
      <c r="AP11" s="691">
        <v>4</v>
      </c>
      <c r="AQ11" s="691">
        <v>6</v>
      </c>
      <c r="AR11" s="691">
        <v>6</v>
      </c>
      <c r="AS11" s="691">
        <v>66</v>
      </c>
    </row>
    <row r="12" spans="1:66">
      <c r="G12" s="208"/>
      <c r="H12" s="1683"/>
      <c r="I12" s="1785"/>
      <c r="J12" s="1785"/>
      <c r="K12" s="1785"/>
      <c r="L12" s="1785"/>
      <c r="M12" s="1785"/>
      <c r="N12" s="1785"/>
      <c r="O12" s="1786"/>
      <c r="P12" s="207"/>
      <c r="Q12" s="207"/>
      <c r="R12" s="207"/>
      <c r="S12" s="207"/>
      <c r="T12" s="208" t="s">
        <v>793</v>
      </c>
      <c r="U12" s="1683"/>
      <c r="V12" s="1785"/>
      <c r="W12" s="1785"/>
      <c r="X12" s="1785"/>
      <c r="Y12" s="1785"/>
      <c r="Z12" s="1785"/>
      <c r="AA12" s="1785"/>
      <c r="AB12" s="1786"/>
      <c r="AC12" s="207"/>
      <c r="AE12" s="701"/>
      <c r="AO12" s="691" t="s">
        <v>2913</v>
      </c>
    </row>
    <row r="13" spans="1:66">
      <c r="B13" s="691" t="s">
        <v>2914</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O13" s="691" t="s">
        <v>2915</v>
      </c>
    </row>
    <row r="14" spans="1:66">
      <c r="B14" s="694" t="s">
        <v>835</v>
      </c>
      <c r="C14" s="709">
        <v>50</v>
      </c>
      <c r="D14" s="691" t="s">
        <v>2916</v>
      </c>
      <c r="G14" s="774"/>
      <c r="H14" s="1689"/>
      <c r="I14" s="1783"/>
      <c r="J14" s="1783"/>
      <c r="K14" s="1784"/>
      <c r="L14" s="207"/>
      <c r="M14" s="207"/>
      <c r="N14" s="207"/>
      <c r="O14" s="207"/>
      <c r="P14" s="207"/>
      <c r="Q14" s="207"/>
      <c r="R14" s="207"/>
      <c r="S14" s="207"/>
      <c r="T14" s="207"/>
      <c r="U14" s="207"/>
      <c r="V14" s="207"/>
      <c r="W14" s="207"/>
      <c r="X14" s="207"/>
      <c r="Y14" s="207"/>
      <c r="Z14" s="207"/>
      <c r="AA14" s="207"/>
      <c r="AB14" s="207"/>
      <c r="AC14" s="207"/>
      <c r="AO14" s="691" t="s">
        <v>2917</v>
      </c>
    </row>
    <row r="15" spans="1:66">
      <c r="B15" s="694" t="s">
        <v>259</v>
      </c>
      <c r="C15" s="709"/>
      <c r="D15" s="691" t="s">
        <v>2918</v>
      </c>
      <c r="G15" s="208"/>
      <c r="H15" s="1261"/>
      <c r="I15" s="1262"/>
      <c r="J15" s="1262"/>
      <c r="K15" s="1263"/>
      <c r="L15" s="957" t="s">
        <v>26</v>
      </c>
      <c r="M15" s="1261"/>
      <c r="N15" s="1262"/>
      <c r="O15" s="1262"/>
      <c r="P15" s="1263"/>
      <c r="Q15" s="207"/>
      <c r="R15" s="207"/>
      <c r="S15" s="207"/>
      <c r="T15" s="207"/>
      <c r="U15" s="207"/>
      <c r="V15" s="207"/>
      <c r="W15" s="207"/>
      <c r="X15" s="207"/>
      <c r="Y15" s="207"/>
      <c r="Z15" s="207"/>
      <c r="AA15" s="207"/>
      <c r="AB15" s="207"/>
      <c r="AC15" s="207"/>
      <c r="AO15" s="691" t="s">
        <v>2919</v>
      </c>
    </row>
    <row r="16" spans="1:66">
      <c r="B16" s="694" t="s">
        <v>190</v>
      </c>
      <c r="C16" s="709">
        <v>1</v>
      </c>
      <c r="D16" s="691" t="s">
        <v>2920</v>
      </c>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Q16" s="691" t="s">
        <v>2921</v>
      </c>
      <c r="AR16" s="792" t="str">
        <f>"UNJC0190_IF!"&amp;ADDRESS(ROW(UNJC0190_IF_StatusMasterData),COLUMN(UNJC0190_IF_StatusMasterData)+1)&amp;":"&amp;ADDRESS(ROW(UNJC0190_IF_StatusMasterData)-IF(UNJC0190_IF_StatusMasterData_Count=0,0,1)+UNJC0190_IF_StatusMasterData_Count,COLUMN(UNJC0190_IF_StatusMasterData)+1)</f>
        <v>UNJC0190_IF!$AR$20:$AR$24</v>
      </c>
    </row>
    <row r="17" spans="2:45">
      <c r="B17" s="694" t="s">
        <v>191</v>
      </c>
      <c r="C17" s="709">
        <f>IF(OR(UNJC0190_B_KENSAKU_KENSU=0,UNJC0190_B_CTRL_HYOJI_GYO_SU=0),1,ROUNDUP(UNJC0190_B_KENSAKU_KENSU/UNJC0190_B_CTRL_HYOJI_GYO_SU,0))</f>
        <v>1</v>
      </c>
      <c r="D17" s="691" t="s">
        <v>2922</v>
      </c>
      <c r="G17" s="774"/>
      <c r="H17" s="1795"/>
      <c r="I17" s="1796"/>
      <c r="J17" s="1796"/>
      <c r="K17" s="1797"/>
      <c r="L17" s="1780" t="str">
        <f>IF(OR(UNJC0190_H_BUNSEKI_KOMOKU_CD="",UNJC0190_H_BUNSEKI_KOMOKU_MEI=""),"",UNJC0190_H_BUNSEKI_KOMOKU_MEI)</f>
        <v/>
      </c>
      <c r="M17" s="1781"/>
      <c r="N17" s="1781"/>
      <c r="O17" s="1781"/>
      <c r="P17" s="1781"/>
      <c r="Q17" s="1781"/>
      <c r="R17" s="1781"/>
      <c r="S17" s="1781"/>
      <c r="T17" s="1781"/>
      <c r="U17" s="1781"/>
      <c r="V17" s="1781"/>
      <c r="W17" s="1782"/>
      <c r="X17" s="207"/>
      <c r="Y17" s="207"/>
      <c r="Z17" s="207"/>
      <c r="AA17" s="207"/>
      <c r="AB17" s="207"/>
      <c r="AC17" s="207"/>
      <c r="AO17" s="691" t="s">
        <v>2923</v>
      </c>
      <c r="AQ17" s="691" t="s">
        <v>2924</v>
      </c>
      <c r="AR17" s="693" t="str">
        <f>"UNJC0190_IF!"&amp;ADDRESS(ROW(UNJC0190_IF_StatusMasterData),COLUMN(UNJC0190_IF_StatusMasterData))&amp;":"&amp;ADDRESS(ROW(UNJC0190_IF_StatusMasterData)-IF(UNJC0190_IF_StatusMasterData_Count=0,0,1)+UNJC0190_IF_StatusMasterData_Count,COLUMN(UNJC0190_IF_StatusMasterData)+2)</f>
        <v>UNJC0190_IF!$AQ$20:$AS$24</v>
      </c>
    </row>
    <row r="18" spans="2:45">
      <c r="B18" s="694" t="s">
        <v>2925</v>
      </c>
      <c r="C18" s="709">
        <v>5</v>
      </c>
      <c r="D18" s="691" t="s">
        <v>2926</v>
      </c>
      <c r="G18" s="208"/>
      <c r="H18" s="1795"/>
      <c r="I18" s="1796"/>
      <c r="J18" s="1796"/>
      <c r="K18" s="1797"/>
      <c r="L18" s="1695"/>
      <c r="M18" s="1696"/>
      <c r="N18" s="1696"/>
      <c r="O18" s="1696"/>
      <c r="P18" s="1696"/>
      <c r="Q18" s="1696"/>
      <c r="R18" s="1696"/>
      <c r="S18" s="1696"/>
      <c r="T18" s="1696"/>
      <c r="U18" s="1696"/>
      <c r="V18" s="1696"/>
      <c r="W18" s="1697"/>
      <c r="X18" s="207"/>
      <c r="Y18" s="207"/>
      <c r="Z18" s="207"/>
      <c r="AA18" s="207"/>
      <c r="AB18" s="207"/>
      <c r="AC18" s="207"/>
      <c r="AO18" s="709" t="s">
        <v>2927</v>
      </c>
      <c r="AQ18" s="793" t="s">
        <v>2928</v>
      </c>
      <c r="AR18" s="794"/>
      <c r="AS18" s="691" t="s">
        <v>2929</v>
      </c>
    </row>
    <row r="19" spans="2:45">
      <c r="B19" s="694" t="s">
        <v>2930</v>
      </c>
      <c r="C19" s="709">
        <f>IF(UNJC0190_B_ALL_PAGE_SU&gt;UNJC0190_B_PAGE_NO,1,2)</f>
        <v>2</v>
      </c>
      <c r="D19" s="691" t="s">
        <v>2931</v>
      </c>
      <c r="G19" s="207"/>
      <c r="H19" s="207"/>
      <c r="I19" s="207"/>
      <c r="J19" s="207"/>
      <c r="K19" s="207"/>
      <c r="L19" s="207"/>
      <c r="M19" s="207"/>
      <c r="N19" s="207"/>
      <c r="O19" s="207"/>
      <c r="P19" s="207"/>
      <c r="Q19" s="207"/>
      <c r="R19" s="207"/>
      <c r="S19" s="207"/>
      <c r="T19" s="207"/>
      <c r="U19" s="207"/>
      <c r="V19" s="207"/>
      <c r="W19" s="207"/>
      <c r="X19" s="207"/>
      <c r="Y19" s="207"/>
      <c r="Z19" s="207"/>
      <c r="AA19" s="207"/>
      <c r="AB19" s="207"/>
      <c r="AC19" s="207"/>
      <c r="AO19" s="694" t="s">
        <v>2932</v>
      </c>
      <c r="AQ19" s="795" t="s">
        <v>1321</v>
      </c>
      <c r="AR19" s="795" t="s">
        <v>101</v>
      </c>
      <c r="AS19" s="792">
        <v>5</v>
      </c>
    </row>
    <row r="20" spans="2:45">
      <c r="B20" s="694" t="s">
        <v>2933</v>
      </c>
      <c r="C20" s="709">
        <f>IF(UNJC0190_B_PAGE_NO&gt;1,1,2)</f>
        <v>2</v>
      </c>
      <c r="D20" s="691" t="s">
        <v>2934</v>
      </c>
      <c r="G20" s="777">
        <v>1</v>
      </c>
      <c r="H20" s="1695"/>
      <c r="I20" s="1696"/>
      <c r="J20" s="1696"/>
      <c r="K20" s="1697"/>
      <c r="L20" s="77" t="s">
        <v>2805</v>
      </c>
      <c r="M20" s="1695"/>
      <c r="N20" s="1696"/>
      <c r="O20" s="1696"/>
      <c r="P20" s="1697"/>
      <c r="Q20" s="77" t="s">
        <v>2805</v>
      </c>
      <c r="R20" s="1695"/>
      <c r="S20" s="1696"/>
      <c r="T20" s="1696"/>
      <c r="U20" s="1697"/>
      <c r="V20" s="207"/>
      <c r="W20" s="207"/>
      <c r="X20" s="207"/>
      <c r="Y20" s="207"/>
      <c r="Z20" s="207"/>
      <c r="AA20" s="207"/>
      <c r="AB20" s="207"/>
      <c r="AC20" s="207"/>
      <c r="AO20" s="694" t="s">
        <v>2935</v>
      </c>
      <c r="AQ20" s="796">
        <v>1</v>
      </c>
      <c r="AR20" s="797" t="s">
        <v>2936</v>
      </c>
    </row>
    <row r="21" spans="2:45">
      <c r="B21" s="694" t="s">
        <v>234</v>
      </c>
      <c r="C21" s="709">
        <f>UNJC0190_B_PAGE_NO+1</f>
        <v>2</v>
      </c>
      <c r="D21" s="691" t="s">
        <v>2937</v>
      </c>
      <c r="AO21" s="694" t="s">
        <v>2938</v>
      </c>
      <c r="AQ21" s="798">
        <v>2</v>
      </c>
      <c r="AR21" s="797" t="s">
        <v>2939</v>
      </c>
    </row>
    <row r="22" spans="2:45">
      <c r="B22" s="694" t="s">
        <v>233</v>
      </c>
      <c r="C22" s="709">
        <f>UNJC0190_B_PAGE_NO-1</f>
        <v>0</v>
      </c>
      <c r="D22" s="691" t="s">
        <v>2940</v>
      </c>
      <c r="U22" s="1714" t="str">
        <f>UNJC0190_IF_StatusMasterJOTAI</f>
        <v>分析待ち</v>
      </c>
      <c r="V22" s="1716"/>
      <c r="W22" s="231" t="s">
        <v>2941</v>
      </c>
      <c r="AO22" s="694" t="s">
        <v>2942</v>
      </c>
      <c r="AQ22" s="798">
        <v>3</v>
      </c>
      <c r="AR22" s="797" t="s">
        <v>2943</v>
      </c>
    </row>
    <row r="23" spans="2:45">
      <c r="AO23" s="694" t="s">
        <v>2944</v>
      </c>
      <c r="AQ23" s="798">
        <v>4</v>
      </c>
      <c r="AR23" s="797" t="s">
        <v>2945</v>
      </c>
    </row>
    <row r="24" spans="2:45">
      <c r="B24" s="694" t="s">
        <v>2946</v>
      </c>
      <c r="C24" s="799" t="str">
        <f>IF(UNJC0190_B_HYOJI_KENSU=0,"","UNJC0190_B!"&amp;ADDRESS(ROW(UNJC0190_B_DataStart),COLUMN(UNJC0190_B_DataStart))&amp;":"&amp;
ADDRESS(ROW(UNJC0190_B_DataStart)+UNJC0190_B_HYOJI_KENSU-1,COLUMN(UNJC0190_B_DataStart)+COLUMNS(UNJC0190_IF_LAYOUTCOPY)-1))</f>
        <v>UNJC0190_B!$F$7:$F$11</v>
      </c>
      <c r="D24" s="691" t="s">
        <v>2947</v>
      </c>
      <c r="AO24" s="694" t="s">
        <v>2948</v>
      </c>
      <c r="AQ24" s="798">
        <v>5</v>
      </c>
      <c r="AR24" s="797" t="s">
        <v>2949</v>
      </c>
    </row>
    <row r="25" spans="2:45">
      <c r="B25" s="694" t="s">
        <v>2950</v>
      </c>
      <c r="C25" s="799">
        <f>IF(UNJC0190_B_HYOJI_KENSU=0,2,1)</f>
        <v>1</v>
      </c>
      <c r="D25" s="691" t="s">
        <v>2951</v>
      </c>
      <c r="E25" s="691" t="s">
        <v>2952</v>
      </c>
      <c r="AO25" s="694" t="s">
        <v>2953</v>
      </c>
    </row>
    <row r="26" spans="2:45">
      <c r="AO26" s="694" t="s">
        <v>2954</v>
      </c>
    </row>
    <row r="27" spans="2:45">
      <c r="B27" s="691" t="s">
        <v>111</v>
      </c>
      <c r="AO27" s="694" t="s">
        <v>2955</v>
      </c>
    </row>
    <row r="28" spans="2:45">
      <c r="B28" s="694" t="s">
        <v>2956</v>
      </c>
      <c r="C28" s="709"/>
      <c r="D28" s="691" t="s">
        <v>2957</v>
      </c>
      <c r="AO28" s="694" t="s">
        <v>2958</v>
      </c>
    </row>
    <row r="29" spans="2:45">
      <c r="B29" s="694" t="s">
        <v>2959</v>
      </c>
      <c r="C29" s="709">
        <v>0</v>
      </c>
      <c r="D29" s="691" t="s">
        <v>2960</v>
      </c>
      <c r="AO29" s="694" t="s">
        <v>2961</v>
      </c>
    </row>
    <row r="30" spans="2:45">
      <c r="B30" s="694" t="s">
        <v>2962</v>
      </c>
      <c r="C30" s="800">
        <v>0</v>
      </c>
      <c r="D30" s="691" t="s">
        <v>2963</v>
      </c>
      <c r="AO30" s="694" t="s">
        <v>2964</v>
      </c>
    </row>
    <row r="31" spans="2:45">
      <c r="AO31" s="694" t="s">
        <v>2965</v>
      </c>
    </row>
    <row r="32" spans="2:45">
      <c r="B32" s="691" t="s">
        <v>2966</v>
      </c>
      <c r="E32" s="691" t="s">
        <v>2967</v>
      </c>
      <c r="F32" s="691" t="s">
        <v>2968</v>
      </c>
      <c r="AO32" s="694" t="s">
        <v>2969</v>
      </c>
    </row>
    <row r="33" spans="2:41">
      <c r="B33" s="694" t="s">
        <v>2970</v>
      </c>
      <c r="C33" s="799" t="str">
        <f>IF(UNJC0190_IF_MODE=2,"入力キャンセル","入力・修正")</f>
        <v>入力・修正</v>
      </c>
      <c r="D33" s="691" t="s">
        <v>2971</v>
      </c>
      <c r="E33" s="691" t="s">
        <v>2972</v>
      </c>
      <c r="F33" s="691" t="s">
        <v>2973</v>
      </c>
      <c r="AO33" s="694" t="s">
        <v>2974</v>
      </c>
    </row>
    <row r="34" spans="2:41">
      <c r="B34" s="694" t="s">
        <v>2975</v>
      </c>
      <c r="C34" s="799" t="str">
        <f>IF(UNJC0190_IF_MODE=2,"保存","-")</f>
        <v>-</v>
      </c>
      <c r="D34" s="691" t="s">
        <v>2976</v>
      </c>
      <c r="E34" s="691" t="s">
        <v>487</v>
      </c>
      <c r="F34" s="691" t="s">
        <v>2977</v>
      </c>
      <c r="AO34" s="694" t="s">
        <v>2978</v>
      </c>
    </row>
    <row r="35" spans="2:41">
      <c r="AO35" s="694" t="s">
        <v>2979</v>
      </c>
    </row>
    <row r="36" spans="2:41">
      <c r="B36" s="691" t="s">
        <v>2980</v>
      </c>
      <c r="E36" s="691" t="s">
        <v>2967</v>
      </c>
      <c r="F36" s="691" t="s">
        <v>2968</v>
      </c>
      <c r="AO36" s="694" t="s">
        <v>2981</v>
      </c>
    </row>
    <row r="37" spans="2:41">
      <c r="B37" s="694" t="s">
        <v>2982</v>
      </c>
      <c r="C37" s="799">
        <f>IF(UNJC0190_B_KENSAKU_KENSU=0,2,1)</f>
        <v>2</v>
      </c>
      <c r="D37" s="691" t="s">
        <v>2983</v>
      </c>
      <c r="E37" s="691" t="s">
        <v>2984</v>
      </c>
      <c r="AO37" s="694" t="s">
        <v>2985</v>
      </c>
    </row>
    <row r="38" spans="2:41">
      <c r="B38" s="694" t="s">
        <v>2986</v>
      </c>
      <c r="C38" s="799">
        <f>IF(UNJC0190_IF_MODE=2,1,2)</f>
        <v>2</v>
      </c>
      <c r="D38" s="691" t="s">
        <v>2987</v>
      </c>
      <c r="E38" s="691" t="s">
        <v>499</v>
      </c>
      <c r="F38" s="691" t="s">
        <v>498</v>
      </c>
      <c r="AO38" s="694" t="s">
        <v>2988</v>
      </c>
    </row>
    <row r="39" spans="2:41">
      <c r="B39" s="694" t="s">
        <v>2975</v>
      </c>
      <c r="C39" s="799">
        <f>IF(UNJC0190_IF_MODE=2,1,2)</f>
        <v>2</v>
      </c>
      <c r="D39" s="691" t="s">
        <v>2989</v>
      </c>
      <c r="E39" s="691" t="s">
        <v>499</v>
      </c>
      <c r="F39" s="691" t="s">
        <v>498</v>
      </c>
      <c r="AO39" s="694" t="s">
        <v>2990</v>
      </c>
    </row>
    <row r="40" spans="2:41">
      <c r="B40" s="694" t="s">
        <v>2991</v>
      </c>
      <c r="C40" s="799">
        <f>IF(OR(UNJC0190_IF_MODE=2,UNJC0190_B_KENSAKU_KENSU=0),2,1)</f>
        <v>2</v>
      </c>
      <c r="D40" s="691" t="s">
        <v>2992</v>
      </c>
      <c r="E40" s="691" t="s">
        <v>498</v>
      </c>
      <c r="F40" s="691" t="s">
        <v>499</v>
      </c>
      <c r="I40" s="230" t="s">
        <v>2984</v>
      </c>
      <c r="AO40" s="694" t="s">
        <v>2993</v>
      </c>
    </row>
    <row r="41" spans="2:41">
      <c r="B41" s="694" t="s">
        <v>2994</v>
      </c>
      <c r="C41" s="799">
        <f>IF(OR(UNJC0190_IF_MODE=2,UNJC0190_B_KENSAKU_KENSU=0),2,1)</f>
        <v>2</v>
      </c>
      <c r="D41" s="691" t="s">
        <v>2995</v>
      </c>
      <c r="E41" s="691" t="s">
        <v>498</v>
      </c>
      <c r="F41" s="691" t="s">
        <v>499</v>
      </c>
      <c r="I41" s="230" t="s">
        <v>2984</v>
      </c>
      <c r="AO41" s="694" t="s">
        <v>2996</v>
      </c>
    </row>
    <row r="42" spans="2:41">
      <c r="AO42" s="694" t="s">
        <v>2997</v>
      </c>
    </row>
    <row r="43" spans="2:41">
      <c r="B43" s="691" t="s">
        <v>2998</v>
      </c>
      <c r="AO43" s="694" t="s">
        <v>2999</v>
      </c>
    </row>
    <row r="44" spans="2:41">
      <c r="B44" s="694" t="s">
        <v>3000</v>
      </c>
      <c r="C44" s="799">
        <v>1</v>
      </c>
      <c r="D44" s="691" t="s">
        <v>3001</v>
      </c>
      <c r="E44" s="691" t="s">
        <v>3002</v>
      </c>
      <c r="AO44" s="694" t="s">
        <v>3003</v>
      </c>
    </row>
  </sheetData>
  <dataConsolidate/>
  <mergeCells count="25">
    <mergeCell ref="U9:X9"/>
    <mergeCell ref="Z9:AC9"/>
    <mergeCell ref="U11:V11"/>
    <mergeCell ref="H10:K10"/>
    <mergeCell ref="H11:K11"/>
    <mergeCell ref="L11:R11"/>
    <mergeCell ref="H7:K7"/>
    <mergeCell ref="U7:X7"/>
    <mergeCell ref="Z7:AC7"/>
    <mergeCell ref="H8:K8"/>
    <mergeCell ref="U8:X8"/>
    <mergeCell ref="Z8:AC8"/>
    <mergeCell ref="H14:K14"/>
    <mergeCell ref="M15:P15"/>
    <mergeCell ref="H17:K17"/>
    <mergeCell ref="L17:W17"/>
    <mergeCell ref="U12:AB12"/>
    <mergeCell ref="H12:O12"/>
    <mergeCell ref="H20:K20"/>
    <mergeCell ref="M20:P20"/>
    <mergeCell ref="R20:U20"/>
    <mergeCell ref="U22:V22"/>
    <mergeCell ref="H15:K15"/>
    <mergeCell ref="H18:K18"/>
    <mergeCell ref="L18:W18"/>
  </mergeCells>
  <phoneticPr fontId="2"/>
  <dataValidations count="6">
    <dataValidation type="list" allowBlank="1" showInputMessage="1" showErrorMessage="1" sqref="U22:V22 U11:V11">
      <formula1>INDIRECT(UNJC0190_IF_StatusList)</formula1>
    </dataValidation>
    <dataValidation type="custom" allowBlank="1" showInputMessage="1" showErrorMessage="1" sqref="L17:W18">
      <formula1>LEN(UNJC0190_H_ATENA)&lt;=25</formula1>
    </dataValidation>
    <dataValidation type="custom" allowBlank="1" showInputMessage="1" showErrorMessage="1" sqref="H9">
      <formula1>LENB(UNJC0190_H_EDA)&lt;=2</formula1>
    </dataValidation>
    <dataValidation type="custom" allowBlank="1" showInputMessage="1" showErrorMessage="1" sqref="H8:K8">
      <formula1>AND(LEN(UNJC0190_H_JURI_NO)=LENB(UNJC0190_H_JURI_NO),LEN(UNJC0190_H_JURI_NO)=10)</formula1>
    </dataValidation>
    <dataValidation type="date" allowBlank="1" showInputMessage="1" showErrorMessage="1" sqref="M15:P15 U7:X9 Z7:AC9 H15:K15 AQ10">
      <formula1>36526</formula1>
      <formula2>73415</formula2>
    </dataValidation>
    <dataValidation type="custom" allowBlank="1" showInputMessage="1" showErrorMessage="1" sqref="H11:K11">
      <formula1>AND(LEN(K7)=LENB(K7),LEN(K7)&lt;=9)</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8241" r:id="rId4" name="Button 1">
              <controlPr defaultSize="0" print="0" autoFill="0" autoPict="0">
                <anchor moveWithCells="1" sizeWithCells="1">
                  <from>
                    <xdr:col>32</xdr:col>
                    <xdr:colOff>342900</xdr:colOff>
                    <xdr:row>2</xdr:row>
                    <xdr:rowOff>95250</xdr:rowOff>
                  </from>
                  <to>
                    <xdr:col>34</xdr:col>
                    <xdr:colOff>180975</xdr:colOff>
                    <xdr:row>2</xdr:row>
                    <xdr:rowOff>390525</xdr:rowOff>
                  </to>
                </anchor>
              </controlPr>
            </control>
          </mc:Choice>
        </mc:AlternateContent>
        <mc:AlternateContent xmlns:mc="http://schemas.openxmlformats.org/markup-compatibility/2006">
          <mc:Choice Requires="x14">
            <control shapeId="2058242" r:id="rId5" name="Button 2">
              <controlPr defaultSize="0" print="0" autoFill="0" autoPict="0">
                <anchor moveWithCells="1" sizeWithCells="1">
                  <from>
                    <xdr:col>35</xdr:col>
                    <xdr:colOff>19050</xdr:colOff>
                    <xdr:row>2</xdr:row>
                    <xdr:rowOff>161925</xdr:rowOff>
                  </from>
                  <to>
                    <xdr:col>37</xdr:col>
                    <xdr:colOff>361950</xdr:colOff>
                    <xdr:row>2</xdr:row>
                    <xdr:rowOff>409575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B14"/>
  <sheetViews>
    <sheetView workbookViewId="0"/>
  </sheetViews>
  <sheetFormatPr defaultRowHeight="13.5"/>
  <cols>
    <col min="1" max="1" width="29.875" style="278" bestFit="1" customWidth="1"/>
    <col min="2" max="3" width="9" style="278"/>
    <col min="4" max="11" width="5.625" style="278" customWidth="1"/>
    <col min="12" max="14" width="6.625" style="278" customWidth="1"/>
    <col min="15" max="15" width="12.75" style="278" customWidth="1"/>
    <col min="16" max="17" width="5.625" style="278" customWidth="1"/>
    <col min="18" max="18" width="28.625" style="278" customWidth="1"/>
    <col min="19" max="19" width="35.625" style="278" customWidth="1"/>
    <col min="20" max="21" width="28.625" style="278" customWidth="1"/>
    <col min="22" max="22" width="8.125" style="278" customWidth="1"/>
    <col min="23" max="23" width="28.625" style="278" customWidth="1"/>
    <col min="24" max="26" width="14.625" style="278" customWidth="1"/>
    <col min="27" max="28" width="5.625" style="278" customWidth="1"/>
    <col min="29" max="16384" width="9" style="278"/>
  </cols>
  <sheetData>
    <row r="1" spans="1:28">
      <c r="A1" s="255" t="s">
        <v>3004</v>
      </c>
      <c r="B1" s="255">
        <v>1</v>
      </c>
    </row>
    <row r="2" spans="1:28" ht="16.5">
      <c r="A2" s="255" t="s">
        <v>3005</v>
      </c>
      <c r="B2" s="255" t="str">
        <f>ADDRESS(ROW(UNJC0190_IF_EXCEL_TitleStart)+1,COLUMN(UNJC0190_IF_EXCEL_TitleStart))</f>
        <v>$D$3</v>
      </c>
      <c r="D2" s="600" t="s">
        <v>17</v>
      </c>
      <c r="E2" s="782" t="s">
        <v>2848</v>
      </c>
      <c r="F2" s="782" t="s">
        <v>2849</v>
      </c>
      <c r="G2" s="782" t="s">
        <v>2849</v>
      </c>
      <c r="H2" s="782" t="s">
        <v>2849</v>
      </c>
      <c r="I2" s="782" t="s">
        <v>2849</v>
      </c>
      <c r="J2" s="782" t="s">
        <v>2849</v>
      </c>
      <c r="K2" s="782" t="s">
        <v>2849</v>
      </c>
      <c r="L2" s="872" t="s">
        <v>1614</v>
      </c>
      <c r="M2" s="872" t="s">
        <v>2416</v>
      </c>
      <c r="N2" s="872" t="s">
        <v>867</v>
      </c>
      <c r="O2" s="872" t="s">
        <v>28</v>
      </c>
      <c r="P2" s="872" t="s">
        <v>78</v>
      </c>
      <c r="Q2" s="872" t="s">
        <v>2850</v>
      </c>
      <c r="R2" s="872" t="s">
        <v>2851</v>
      </c>
      <c r="S2" s="872" t="s">
        <v>829</v>
      </c>
      <c r="T2" s="872" t="s">
        <v>62</v>
      </c>
      <c r="U2" s="872" t="s">
        <v>63</v>
      </c>
      <c r="V2" s="872" t="s">
        <v>2893</v>
      </c>
      <c r="W2" s="872" t="s">
        <v>1115</v>
      </c>
      <c r="X2" s="872" t="s">
        <v>19</v>
      </c>
      <c r="Y2" s="872" t="s">
        <v>2852</v>
      </c>
      <c r="Z2" s="872" t="s">
        <v>1117</v>
      </c>
      <c r="AA2" s="600" t="s">
        <v>2853</v>
      </c>
      <c r="AB2" s="600" t="s">
        <v>2813</v>
      </c>
    </row>
    <row r="3" spans="1:28">
      <c r="A3" s="255" t="s">
        <v>3006</v>
      </c>
      <c r="B3" s="255" t="str">
        <f ca="1">IF(UNJC0190_IF_EXCEL_DATA_CNT=0,"",UNJC0190_IF_EXCEL_LIST_START &amp;":"
 &amp; ADDRESS(ROW(INDIRECT(UNJC0190_IF_EXCEL_LIST_START))+UNJC0190_IF_EXCEL_DATA_CNT-1,COLUMN(INDIRECT(UNJC0190_IF_EXCEL_LIST_START))+COLUMNS(UNJC0190_IF_LAYOUTCOPY)-1))</f>
        <v>$D$3:$D$3</v>
      </c>
    </row>
    <row r="4" spans="1:28">
      <c r="A4" s="255" t="s">
        <v>3007</v>
      </c>
      <c r="B4" s="255" t="str">
        <f ca="1">"項目別サンプルリスト" &amp;"_"&amp;TEXT(NOW(),"YYYYMMDD!_hhmmss")</f>
        <v>項目別サンプルリスト_20170927_151616</v>
      </c>
    </row>
    <row r="7" spans="1:28">
      <c r="A7" s="280" t="s">
        <v>3008</v>
      </c>
      <c r="B7" s="278">
        <f>COLUMN(E1)</f>
        <v>5</v>
      </c>
    </row>
    <row r="8" spans="1:28">
      <c r="A8" s="280" t="s">
        <v>3009</v>
      </c>
      <c r="B8" s="278">
        <f>COLUMN(K1)</f>
        <v>11</v>
      </c>
    </row>
    <row r="9" spans="1:28">
      <c r="A9" s="280" t="s">
        <v>3010</v>
      </c>
      <c r="B9" s="278">
        <f>COLUMN(T1)</f>
        <v>20</v>
      </c>
    </row>
    <row r="10" spans="1:28">
      <c r="A10" s="280" t="s">
        <v>3011</v>
      </c>
      <c r="B10" s="278">
        <f>COLUMN(AA1)</f>
        <v>27</v>
      </c>
    </row>
    <row r="11" spans="1:28">
      <c r="A11" s="280" t="s">
        <v>3012</v>
      </c>
      <c r="B11" s="278">
        <f>COLUMN(AB1)</f>
        <v>28</v>
      </c>
    </row>
    <row r="12" spans="1:28">
      <c r="A12" s="280" t="s">
        <v>3596</v>
      </c>
      <c r="B12" s="278">
        <f>COLUMN(M1)</f>
        <v>13</v>
      </c>
    </row>
    <row r="13" spans="1:28">
      <c r="A13" s="280" t="s">
        <v>3597</v>
      </c>
      <c r="B13" s="278">
        <f>COLUMN(Q1)</f>
        <v>17</v>
      </c>
    </row>
    <row r="14" spans="1:28">
      <c r="A14" s="280" t="s">
        <v>3598</v>
      </c>
      <c r="B14" s="278">
        <f>COLUMN(R1)</f>
        <v>18</v>
      </c>
    </row>
  </sheetData>
  <phoneticPr fontId="2"/>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I77"/>
  <sheetViews>
    <sheetView topLeftCell="B1" zoomScale="70" zoomScaleNormal="70" workbookViewId="0">
      <pane ySplit="2" topLeftCell="A33" activePane="bottomLeft" state="frozen"/>
      <selection activeCell="E19" sqref="E19"/>
      <selection pane="bottomLeft" activeCell="D1" sqref="D1"/>
    </sheetView>
  </sheetViews>
  <sheetFormatPr defaultRowHeight="18.75" customHeight="1"/>
  <cols>
    <col min="1" max="1" width="3.625" style="278" customWidth="1"/>
    <col min="2" max="3" width="2.625" style="278" customWidth="1"/>
    <col min="4" max="4" width="27.75" style="278" bestFit="1" customWidth="1"/>
    <col min="5" max="5" width="62.5" style="278" customWidth="1"/>
    <col min="6" max="6" width="10.625" style="278" customWidth="1"/>
    <col min="7" max="7" width="44.25" style="278" bestFit="1" customWidth="1"/>
    <col min="8" max="8" width="38.25" style="278" bestFit="1" customWidth="1"/>
    <col min="9" max="9" width="11" style="278" bestFit="1" customWidth="1"/>
    <col min="10" max="16384" width="9" style="278"/>
  </cols>
  <sheetData>
    <row r="1" spans="2:8" ht="18.75" customHeight="1">
      <c r="B1" s="278" t="s">
        <v>2457</v>
      </c>
    </row>
    <row r="2" spans="2:8" ht="18.75" customHeight="1">
      <c r="B2" s="1760" t="s">
        <v>2458</v>
      </c>
      <c r="C2" s="1760"/>
      <c r="D2" s="1760"/>
      <c r="E2" s="718" t="s">
        <v>2459</v>
      </c>
      <c r="F2" s="718" t="s">
        <v>2460</v>
      </c>
      <c r="G2" s="718" t="s">
        <v>2461</v>
      </c>
    </row>
    <row r="3" spans="2:8" ht="18.75" customHeight="1">
      <c r="B3" s="1761" t="s">
        <v>3013</v>
      </c>
      <c r="C3" s="1761"/>
      <c r="D3" s="1761"/>
      <c r="E3" s="719" t="str">
        <f>E4&amp;E5&amp;E6</f>
        <v xml:space="preserve"> SELECT_x000D_
    SHOHIN_BUNRUI_x000D_
  , KOBAN_x000D_
  , MEISHO
  , NYURYOKU_x000D_
  , KATA_x000D_
  , ALL_KETA
  , SHOSU_KETA_x000D_
  , SETTEICHI _x000D_
 FROM M_KOMOKU_SAMPLE 
 WHERE SHOHIN_BUNRUI IN 
( SELECT SHOHIN_BUNRUI FROM W_BUN_KOMOKU_SAMPLE_LIST
 WHERE W_USER_ID = '' AND W_SERIAL = 0
 GROUP BY SHOHIN_BUNRUI)</v>
      </c>
      <c r="F3" s="719"/>
      <c r="G3" s="720" t="s">
        <v>3014</v>
      </c>
      <c r="H3" s="278" t="s">
        <v>3015</v>
      </c>
    </row>
    <row r="4" spans="2:8" ht="18.75" customHeight="1">
      <c r="B4" s="721"/>
      <c r="C4" s="1762" t="s">
        <v>2463</v>
      </c>
      <c r="D4" s="1762"/>
      <c r="E4" s="722" t="s">
        <v>3016</v>
      </c>
      <c r="F4" s="722"/>
      <c r="G4" s="723" t="s">
        <v>484</v>
      </c>
    </row>
    <row r="5" spans="2:8" ht="18.75" customHeight="1">
      <c r="B5" s="721"/>
      <c r="C5" s="1762" t="s">
        <v>2464</v>
      </c>
      <c r="D5" s="1762"/>
      <c r="E5" s="722" t="s">
        <v>3017</v>
      </c>
      <c r="F5" s="723"/>
      <c r="G5" s="723" t="s">
        <v>484</v>
      </c>
    </row>
    <row r="6" spans="2:8" ht="18.75" customHeight="1">
      <c r="B6" s="724"/>
      <c r="C6" s="1762" t="s">
        <v>2465</v>
      </c>
      <c r="D6" s="1762"/>
      <c r="E6" s="722" t="str">
        <f>" WHERE SHOHIN_BUNRUI IN 
( SELECT SHOHIN_BUNRUI FROM W_BUN_KOMOKU_SAMPLE_LIST
 WHERE W_USER_ID = '" &amp; UNJC0190_IF_W_USER_ID &amp;"' AND W_SERIAL = " &amp; UNJC0190_IF_W_SERIAL &amp;"
 GROUP BY SHOHIN_BUNRUI)"</f>
        <v xml:space="preserve"> WHERE SHOHIN_BUNRUI IN 
( SELECT SHOHIN_BUNRUI FROM W_BUN_KOMOKU_SAMPLE_LIST
 WHERE W_USER_ID = '' AND W_SERIAL = 0
 GROUP BY SHOHIN_BUNRUI)</v>
      </c>
      <c r="F6" s="723"/>
      <c r="G6" s="723" t="s">
        <v>484</v>
      </c>
    </row>
    <row r="8" spans="2:8" ht="18.75" customHeight="1">
      <c r="B8" s="1761" t="s">
        <v>3018</v>
      </c>
      <c r="C8" s="1761"/>
      <c r="D8" s="1761"/>
      <c r="E8" s="719" t="str">
        <f>E9&amp;E10&amp;E11</f>
        <v>SELECT MEISHO_CD, DATA_1 FROM M_MEISHO_B WHERE MEISHO_KBN = 'K019'</v>
      </c>
      <c r="F8" s="719"/>
      <c r="G8" s="720" t="s">
        <v>3019</v>
      </c>
      <c r="H8" s="278" t="s">
        <v>3020</v>
      </c>
    </row>
    <row r="9" spans="2:8" ht="18.75" customHeight="1">
      <c r="B9" s="721"/>
      <c r="C9" s="1762" t="s">
        <v>2463</v>
      </c>
      <c r="D9" s="1762"/>
      <c r="E9" s="722" t="s">
        <v>3021</v>
      </c>
      <c r="F9" s="722"/>
      <c r="G9" s="723" t="s">
        <v>484</v>
      </c>
    </row>
    <row r="10" spans="2:8" ht="18.75" customHeight="1">
      <c r="B10" s="721"/>
      <c r="C10" s="1762" t="s">
        <v>3022</v>
      </c>
      <c r="D10" s="1762"/>
      <c r="E10" s="723" t="s">
        <v>3023</v>
      </c>
      <c r="F10" s="723"/>
      <c r="G10" s="723" t="s">
        <v>484</v>
      </c>
    </row>
    <row r="11" spans="2:8" ht="18.75" customHeight="1">
      <c r="B11" s="724"/>
      <c r="C11" s="1762" t="s">
        <v>3024</v>
      </c>
      <c r="D11" s="1762"/>
      <c r="E11" s="723" t="s">
        <v>3025</v>
      </c>
      <c r="F11" s="723"/>
      <c r="G11" s="723" t="s">
        <v>484</v>
      </c>
    </row>
    <row r="13" spans="2:8" ht="18.75" customHeight="1">
      <c r="B13" s="1761" t="s">
        <v>3026</v>
      </c>
      <c r="C13" s="1761"/>
      <c r="D13" s="1761"/>
      <c r="E13" s="719" t="str">
        <f>E18&amp;E27&amp;E29</f>
        <v xml:space="preserve">SELECT COUNT(*) AS CNT
 FROM W_BUN_KOMOKU_SAMPLE_LIST
 WHERE W_USER_ID  = ''
   AND W_SERIAL   = '0'
</v>
      </c>
      <c r="F13" s="719"/>
      <c r="G13" s="720" t="s">
        <v>3019</v>
      </c>
      <c r="H13" s="278" t="s">
        <v>3027</v>
      </c>
    </row>
    <row r="14" spans="2:8" ht="18.75" customHeight="1">
      <c r="B14" s="1761" t="s">
        <v>3028</v>
      </c>
      <c r="C14" s="1761"/>
      <c r="D14" s="1761"/>
      <c r="E14" s="719" t="str">
        <f>E19&amp;E27&amp;E29</f>
        <v xml:space="preserve">SELECT COUNT(DISTINCT JURI_NO) AS CNT
 FROM W_BUN_KOMOKU_SAMPLE_LIST
 WHERE W_USER_ID  = ''
   AND W_SERIAL   = '0'
</v>
      </c>
      <c r="F14" s="719"/>
      <c r="G14" s="720" t="s">
        <v>3019</v>
      </c>
      <c r="H14" s="278" t="s">
        <v>3029</v>
      </c>
    </row>
    <row r="15" spans="2:8" ht="18.75" customHeight="1">
      <c r="B15" s="1763" t="s">
        <v>3030</v>
      </c>
      <c r="C15" s="1764"/>
      <c r="D15" s="1765"/>
      <c r="E15" s="725" t="str">
        <f>E20&amp;E27&amp;E28&amp;E29&amp;E30&amp;E31</f>
        <v>SELECT 
    W_ROW_x000D_
  , W_USER_ID_x000D_
  , W_SERIAL_x000D_
  , W_BUN_KOMOKU_SAMPLE_LIST.DBS_STATUS_x000D_
  , W_BUN_KOMOKU_SAMPLE_LIST.DBS_CREATE_USER_x000D_
  , W_BUN_KOMOKU_SAMPLE_LIST.DBS_CREATE_DATE_x000D_
  , W_BUN_KOMOKU_SAMPLE_LIST.DBS_UPDATE_USER_x000D_
  , W_BUN_KOMOKU_SAMPLE_LIST.DBS_UPDATE_DATE_x000D_
  , KANRYO_DATE_x000D_
  , IRAI_DATE_x000D_
  , NYURYOKU_DATETIME_x000D_
  , JURI_NO_x000D_
  , JURI_EDA_NO_x000D_
  , SEQ_x000D_
  , BUSHO_MEI_x000D_
  , ATENA_x000D_
  , SHIRYO_SHURUI_x000D_
  , SHIRYO_MEI_x000D_
  , BUNSEKI_HOHO_x000D_
  , M_BIKO
  , BUNSEKI_TANI_x000D_
  , BUNSEKI_DATA_x000D_
  , BUNSEKI_NO_x000D_
  , STATE_KBN_x000D_
  , SOKUTEISHA_CD
, COLUMN_01, COLUMN_02, COLUMN_03, COLUMN_04, COLUMN_05, COLUMN_06, COLUMN_07, COLUMN_08
  , M_MEISHO_B.DATA_1  AS  STATE_MEI
  , SOKUTEI_DATE
  , SOKUTEISHA_MEI
  , K_BIKO
 FROM W_BUN_KOMOKU_SAMPLE_LIST
 LEFT JOIN
      M_MEISHO_B
   ON M_MEISHO_B.MEISHO_KBN =  'K019'
  AND M_MEISHO_B.MEISHO_CD  =  W_BUN_KOMOKU_SAMPLE_LIST.STATE_KBN
 WHERE W_USER_ID  = ''
   AND W_SERIAL   = '0'
 ORDER BY W_ROW ASC
 OFFSET 0*50 ROWS
 FETCH NEXT 50 ROWS ONLY</v>
      </c>
      <c r="F15" s="725"/>
      <c r="G15" s="719" t="s">
        <v>3031</v>
      </c>
      <c r="H15" s="278" t="s">
        <v>3032</v>
      </c>
    </row>
    <row r="16" spans="2:8" ht="18.75" customHeight="1">
      <c r="B16" s="1763" t="s">
        <v>3033</v>
      </c>
      <c r="C16" s="1764"/>
      <c r="D16" s="1765"/>
      <c r="E16" s="725" t="str">
        <f>E21&amp;E27&amp;E28&amp;E29&amp;E30</f>
        <v xml:space="preserve">SELECT 
    W_ROW_x000D_
  , KANRYO_DATE_x000D_
  , NYURYOKU_DATETIME_x000D_
  , JURI_NO_x000D_
  , JURI_EDA_NO_x000D_
  , ATENA_x000D_
  , SHIRYO_MEI_x000D_
  , BUNSEKI_HOHO_x000D_
  , M_BIKO
, COLUMN_01, COLUMN_02, COLUMN_03, COLUMN_04, COLUMN_05, COLUMN_06, COLUMN_07, COLUMN_08
  , M_MEISHO_B.DATA_1  AS  STATE_MEI
  , SOKUTEI_DATE
  , SOKUTEISHA_MEI
 FROM W_BUN_KOMOKU_SAMPLE_LIST
 LEFT JOIN
      M_MEISHO_B
   ON M_MEISHO_B.MEISHO_KBN =  'K019'
  AND M_MEISHO_B.MEISHO_CD  =  W_BUN_KOMOKU_SAMPLE_LIST.STATE_KBN
 WHERE W_USER_ID  = ''
   AND W_SERIAL   = '0'
 ORDER BY W_ROW ASC
</v>
      </c>
      <c r="F16" s="725"/>
      <c r="G16" s="719" t="s">
        <v>3034</v>
      </c>
      <c r="H16" s="801" t="s">
        <v>3035</v>
      </c>
    </row>
    <row r="17" spans="2:9" ht="18.75" customHeight="1">
      <c r="B17" s="1763" t="s">
        <v>3036</v>
      </c>
      <c r="C17" s="1764"/>
      <c r="D17" s="1765"/>
      <c r="E17" s="725" t="str">
        <f>E20&amp;E27&amp;E28&amp;E29&amp;E30</f>
        <v xml:space="preserve">SELECT 
    W_ROW_x000D_
  , W_USER_ID_x000D_
  , W_SERIAL_x000D_
  , W_BUN_KOMOKU_SAMPLE_LIST.DBS_STATUS_x000D_
  , W_BUN_KOMOKU_SAMPLE_LIST.DBS_CREATE_USER_x000D_
  , W_BUN_KOMOKU_SAMPLE_LIST.DBS_CREATE_DATE_x000D_
  , W_BUN_KOMOKU_SAMPLE_LIST.DBS_UPDATE_USER_x000D_
  , W_BUN_KOMOKU_SAMPLE_LIST.DBS_UPDATE_DATE_x000D_
  , KANRYO_DATE_x000D_
  , IRAI_DATE_x000D_
  , NYURYOKU_DATETIME_x000D_
  , JURI_NO_x000D_
  , JURI_EDA_NO_x000D_
  , SEQ_x000D_
  , BUSHO_MEI_x000D_
  , ATENA_x000D_
  , SHIRYO_SHURUI_x000D_
  , SHIRYO_MEI_x000D_
  , BUNSEKI_HOHO_x000D_
  , M_BIKO
  , BUNSEKI_TANI_x000D_
  , BUNSEKI_DATA_x000D_
  , BUNSEKI_NO_x000D_
  , STATE_KBN_x000D_
  , SOKUTEISHA_CD
, COLUMN_01, COLUMN_02, COLUMN_03, COLUMN_04, COLUMN_05, COLUMN_06, COLUMN_07, COLUMN_08
  , M_MEISHO_B.DATA_1  AS  STATE_MEI
  , SOKUTEI_DATE
  , SOKUTEISHA_MEI
  , K_BIKO
 FROM W_BUN_KOMOKU_SAMPLE_LIST
 LEFT JOIN
      M_MEISHO_B
   ON M_MEISHO_B.MEISHO_KBN =  'K019'
  AND M_MEISHO_B.MEISHO_CD  =  W_BUN_KOMOKU_SAMPLE_LIST.STATE_KBN
 WHERE W_USER_ID  = ''
   AND W_SERIAL   = '0'
 ORDER BY W_ROW ASC
</v>
      </c>
      <c r="F17" s="725"/>
      <c r="G17" s="719" t="s">
        <v>3034</v>
      </c>
      <c r="H17" s="801" t="s">
        <v>3037</v>
      </c>
    </row>
    <row r="18" spans="2:9" ht="18.75" customHeight="1">
      <c r="B18" s="727"/>
      <c r="C18" s="1799" t="s">
        <v>2463</v>
      </c>
      <c r="D18" s="1800"/>
      <c r="E18" s="730" t="s">
        <v>3038</v>
      </c>
      <c r="F18" s="730"/>
      <c r="G18" s="723" t="s">
        <v>58</v>
      </c>
    </row>
    <row r="19" spans="2:9" ht="18.75" customHeight="1">
      <c r="B19" s="727"/>
      <c r="C19" s="1799" t="s">
        <v>2463</v>
      </c>
      <c r="D19" s="1800"/>
      <c r="E19" s="730" t="s">
        <v>3039</v>
      </c>
      <c r="F19" s="730"/>
      <c r="G19" s="723" t="s">
        <v>3040</v>
      </c>
    </row>
    <row r="20" spans="2:9" ht="18.75" customHeight="1">
      <c r="B20" s="727"/>
      <c r="C20" s="1799" t="s">
        <v>2463</v>
      </c>
      <c r="D20" s="1800"/>
      <c r="E20" s="730" t="str">
        <f>"SELECT 
" &amp; E22 &amp; UNJC0190_SQL_GetAnalysisOrdersData_VariableItem &amp;E25</f>
        <v>SELECT 
    W_ROW_x000D_
  , W_USER_ID_x000D_
  , W_SERIAL_x000D_
  , W_BUN_KOMOKU_SAMPLE_LIST.DBS_STATUS_x000D_
  , W_BUN_KOMOKU_SAMPLE_LIST.DBS_CREATE_USER_x000D_
  , W_BUN_KOMOKU_SAMPLE_LIST.DBS_CREATE_DATE_x000D_
  , W_BUN_KOMOKU_SAMPLE_LIST.DBS_UPDATE_USER_x000D_
  , W_BUN_KOMOKU_SAMPLE_LIST.DBS_UPDATE_DATE_x000D_
  , KANRYO_DATE_x000D_
  , IRAI_DATE_x000D_
  , NYURYOKU_DATETIME_x000D_
  , JURI_NO_x000D_
  , JURI_EDA_NO_x000D_
  , SEQ_x000D_
  , BUSHO_MEI_x000D_
  , ATENA_x000D_
  , SHIRYO_SHURUI_x000D_
  , SHIRYO_MEI_x000D_
  , BUNSEKI_HOHO_x000D_
  , M_BIKO
  , BUNSEKI_TANI_x000D_
  , BUNSEKI_DATA_x000D_
  , BUNSEKI_NO_x000D_
  , STATE_KBN_x000D_
  , SOKUTEISHA_CD
, COLUMN_01, COLUMN_02, COLUMN_03, COLUMN_04, COLUMN_05, COLUMN_06, COLUMN_07, COLUMN_08
  , M_MEISHO_B.DATA_1  AS  STATE_MEI
  , SOKUTEI_DATE
  , SOKUTEISHA_MEI
  , K_BIKO</v>
      </c>
      <c r="F20" s="730"/>
      <c r="G20" s="722" t="s">
        <v>3041</v>
      </c>
    </row>
    <row r="21" spans="2:9" ht="18.75" customHeight="1">
      <c r="B21" s="727"/>
      <c r="C21" s="1799" t="s">
        <v>2463</v>
      </c>
      <c r="D21" s="1800"/>
      <c r="E21" s="730" t="str">
        <f>"SELECT 
" &amp; E23 &amp; UNJC0190_SQL_GetAnalysisOrdersData_VariableItem &amp;E26</f>
        <v>SELECT 
    W_ROW_x000D_
  , KANRYO_DATE_x000D_
  , NYURYOKU_DATETIME_x000D_
  , JURI_NO_x000D_
  , JURI_EDA_NO_x000D_
  , ATENA_x000D_
  , SHIRYO_MEI_x000D_
  , BUNSEKI_HOHO_x000D_
  , M_BIKO
, COLUMN_01, COLUMN_02, COLUMN_03, COLUMN_04, COLUMN_05, COLUMN_06, COLUMN_07, COLUMN_08
  , M_MEISHO_B.DATA_1  AS  STATE_MEI
  , SOKUTEI_DATE
  , SOKUTEISHA_MEI</v>
      </c>
      <c r="F21" s="730"/>
      <c r="G21" s="722" t="s">
        <v>3042</v>
      </c>
    </row>
    <row r="22" spans="2:9" ht="18.75" customHeight="1">
      <c r="B22" s="727"/>
      <c r="C22" s="802"/>
      <c r="D22" s="770" t="s">
        <v>3043</v>
      </c>
      <c r="E22" s="803" t="s">
        <v>3044</v>
      </c>
      <c r="F22" s="803"/>
      <c r="G22" s="722" t="s">
        <v>3041</v>
      </c>
    </row>
    <row r="23" spans="2:9" ht="18.75" customHeight="1">
      <c r="B23" s="727"/>
      <c r="C23" s="802"/>
      <c r="D23" s="770" t="s">
        <v>3043</v>
      </c>
      <c r="E23" s="803" t="s">
        <v>3045</v>
      </c>
      <c r="F23" s="803"/>
      <c r="G23" s="722" t="s">
        <v>3042</v>
      </c>
    </row>
    <row r="24" spans="2:9" ht="18.75" customHeight="1">
      <c r="B24" s="727"/>
      <c r="C24" s="732"/>
      <c r="D24" s="733" t="s">
        <v>3046</v>
      </c>
      <c r="E24" s="725" t="s">
        <v>3047</v>
      </c>
      <c r="F24" s="730"/>
      <c r="G24" s="723" t="s">
        <v>484</v>
      </c>
      <c r="H24" s="804" t="s">
        <v>3048</v>
      </c>
    </row>
    <row r="25" spans="2:9" ht="18.75" customHeight="1">
      <c r="B25" s="727"/>
      <c r="C25" s="732"/>
      <c r="D25" s="733" t="s">
        <v>3049</v>
      </c>
      <c r="E25" s="730" t="s">
        <v>4520</v>
      </c>
      <c r="F25" s="730"/>
      <c r="G25" s="722" t="s">
        <v>3041</v>
      </c>
    </row>
    <row r="26" spans="2:9" ht="18.75" customHeight="1">
      <c r="B26" s="727"/>
      <c r="C26" s="805"/>
      <c r="D26" s="733" t="s">
        <v>3049</v>
      </c>
      <c r="E26" s="730" t="s">
        <v>3050</v>
      </c>
      <c r="F26" s="730"/>
      <c r="G26" s="722" t="s">
        <v>3042</v>
      </c>
    </row>
    <row r="27" spans="2:9" ht="18.75" customHeight="1">
      <c r="B27" s="727"/>
      <c r="C27" s="1762" t="s">
        <v>2464</v>
      </c>
      <c r="D27" s="1762"/>
      <c r="E27" s="730" t="s">
        <v>3051</v>
      </c>
      <c r="F27" s="731"/>
      <c r="G27" s="723"/>
    </row>
    <row r="28" spans="2:9" ht="18.75" customHeight="1">
      <c r="B28" s="727"/>
      <c r="C28" s="806"/>
      <c r="D28" s="807"/>
      <c r="E28" s="730" t="s">
        <v>3052</v>
      </c>
      <c r="F28" s="731"/>
      <c r="G28" s="723"/>
    </row>
    <row r="29" spans="2:9" ht="18.75" customHeight="1">
      <c r="B29" s="727"/>
      <c r="C29" s="806"/>
      <c r="D29" s="807"/>
      <c r="E29" s="731" t="str">
        <f xml:space="preserve"> " WHERE W_USER_ID  = '"&amp;UNJC0190_IF_W_USER_ID&amp;"'
   AND W_SERIAL   = '"&amp;UNJC0190_IF_W_SERIAL&amp;"'
"</f>
        <v xml:space="preserve"> WHERE W_USER_ID  = ''
   AND W_SERIAL   = '0'
</v>
      </c>
      <c r="F29" s="731"/>
      <c r="G29" s="723"/>
    </row>
    <row r="30" spans="2:9" ht="18.75" customHeight="1">
      <c r="B30" s="727"/>
      <c r="C30" s="806"/>
      <c r="D30" s="807"/>
      <c r="E30" s="730" t="s">
        <v>3609</v>
      </c>
      <c r="F30" s="731"/>
      <c r="G30" s="723"/>
    </row>
    <row r="31" spans="2:9" ht="18.75" customHeight="1">
      <c r="B31" s="727"/>
      <c r="C31" s="808"/>
      <c r="D31" s="772"/>
      <c r="E31" s="731" t="str">
        <f xml:space="preserve"> " OFFSET "&amp;(UNJC0190_B_PAGE_NO-1)&amp;"*"&amp;UNJC0190_B_CTRL_HYOJI_GYO_SU&amp;" ROWS
 FETCH NEXT "&amp;UNJC0190_B_CTRL_HYOJI_GYO_SU&amp;" ROWS ONLY"</f>
        <v xml:space="preserve"> OFFSET 0*50 ROWS
 FETCH NEXT 50 ROWS ONLY</v>
      </c>
      <c r="F31" s="731"/>
      <c r="G31" s="723"/>
    </row>
    <row r="32" spans="2:9" ht="18.75" customHeight="1">
      <c r="B32" s="1763" t="s">
        <v>3053</v>
      </c>
      <c r="C32" s="1764"/>
      <c r="D32" s="1765"/>
      <c r="E32" s="725" t="str">
        <f>"EXEC SP_SAVE_T_KOMOKU_SAMPLE "
&amp; "'" &amp; UNJC0190_IF_W_USER_ID &amp; "'"
&amp; ",'" &amp; UNJC0190_IF_W_SERIAL &amp; "'"
&amp; "," &amp; H32
&amp; ",'" &amp; E33 &amp; "'"</f>
        <v>EXEC SP_SAVE_T_KOMOKU_SAMPLE '','0',0,' WHERE SHOHIN_BUNRUI = ''''          AND IRAI_DATE &gt;= ''2014/04/06''  AND IRAI_DATE &lt;= ''2016/04/06''    AND STATE_KBN = 1         ORDER BY KANRYO_DATE ASC ,JURI_NO ASC ,JURI_EDA_NO ASC'</v>
      </c>
      <c r="F32" s="725"/>
      <c r="G32" s="720" t="s">
        <v>3054</v>
      </c>
      <c r="H32" s="809">
        <v>0</v>
      </c>
      <c r="I32" s="278" t="s">
        <v>3055</v>
      </c>
    </row>
    <row r="33" spans="2:8" ht="18.75" customHeight="1">
      <c r="B33" s="727"/>
      <c r="C33" s="1767" t="s">
        <v>2465</v>
      </c>
      <c r="D33" s="1767"/>
      <c r="E33" s="730" t="str">
        <f>" WHERE " &amp; E34
&amp; IF(F35,E35,"") &amp; " "
&amp; IF(F36,E36,"") &amp; " "
&amp; IF(F37,E37,"") &amp; " "
&amp; IF(F38,E38,"") &amp; " "
&amp; IF(F39,E39,"") &amp; " "
&amp; IF(F40,E40,"") &amp; " "
&amp; IF(F41,E41,"") &amp; " "
&amp; IF(F42,E42,"") &amp; " "
&amp; IF(F43,E43,"") &amp; " "
&amp; IF(F44,E44,"") &amp; " "
&amp; IF(F45,E45,"") &amp; " "
&amp; IF(F46,E46,"") &amp; " "
&amp; IF(F47,E47,"") &amp; " "
&amp; IF(F48,E48,"") &amp; " "
&amp; IF(F49,E49,"") &amp; " "
&amp; IF(F50,E50,"") &amp; " "
&amp; IF(F51,E51,"") &amp; " "
&amp; IF(F52,E52,"") &amp; " "
&amp; IF(F53,E53,"") &amp; " "
&amp; IF(F54,E54,"") &amp; " "
&amp; E59</f>
        <v xml:space="preserve"> WHERE SHOHIN_BUNRUI = ''''          AND IRAI_DATE &gt;= ''2014/04/06''  AND IRAI_DATE &lt;= ''2016/04/06''    AND STATE_KBN = 1         ORDER BY KANRYO_DATE ASC ,JURI_NO ASC ,JURI_EDA_NO ASC</v>
      </c>
      <c r="F33" s="731"/>
      <c r="G33" s="723" t="s">
        <v>484</v>
      </c>
      <c r="H33" s="278" t="s">
        <v>3056</v>
      </c>
    </row>
    <row r="34" spans="2:8" ht="18.75" customHeight="1">
      <c r="B34" s="727"/>
      <c r="C34" s="732"/>
      <c r="D34" s="771" t="s">
        <v>3057</v>
      </c>
      <c r="E34" s="730" t="str">
        <f>"SHOHIN_BUNRUI = ''" &amp; UNJC0190_H_SYOUHIN_BUNRUI_CD_S &amp; "'' "</f>
        <v xml:space="preserve">SHOHIN_BUNRUI = '''' </v>
      </c>
      <c r="F34" s="731"/>
      <c r="G34" s="723" t="s">
        <v>3058</v>
      </c>
    </row>
    <row r="35" spans="2:8" ht="18.75" customHeight="1">
      <c r="B35" s="727"/>
      <c r="C35" s="732"/>
      <c r="D35" s="733" t="s">
        <v>1114</v>
      </c>
      <c r="E35" s="731" t="str">
        <f>" AND BUNSEKI_CD = ''"&amp;UNJC0190_H_BUNSEKI_KOMOKU_CD_S&amp;"''"</f>
        <v xml:space="preserve"> AND BUNSEKI_CD = ''''</v>
      </c>
      <c r="F35" s="731" t="b">
        <f>NOT(ISBLANK(UNJC0190_H_BUNSEKI_KOMOKU_CD_S))</f>
        <v>0</v>
      </c>
      <c r="G35" s="723"/>
      <c r="H35" s="731" t="s">
        <v>3586</v>
      </c>
    </row>
    <row r="36" spans="2:8" ht="18.75" customHeight="1">
      <c r="B36" s="727"/>
      <c r="C36" s="732"/>
      <c r="D36" s="733" t="s">
        <v>338</v>
      </c>
      <c r="E36" s="731" t="str">
        <f>" AND JURI_NO = ''"&amp;UNJC0190_H_JURI_NO_S &amp; "''"</f>
        <v xml:space="preserve"> AND JURI_NO = ''''</v>
      </c>
      <c r="F36" s="731" t="b">
        <f>NOT(ISBLANK(UNJC0190_H_JURI_NO_S))</f>
        <v>0</v>
      </c>
      <c r="G36" s="723"/>
      <c r="H36" s="731" t="s">
        <v>3059</v>
      </c>
    </row>
    <row r="37" spans="2:8" ht="18.75" customHeight="1">
      <c r="B37" s="727"/>
      <c r="C37" s="732"/>
      <c r="D37" s="733" t="s">
        <v>78</v>
      </c>
      <c r="E37" s="731" t="str">
        <f>" AND JURI_EDA_NO = ''"&amp;UNJC0190_H_EDA_S &amp; "''"</f>
        <v xml:space="preserve"> AND JURI_EDA_NO = ''''</v>
      </c>
      <c r="F37" s="731" t="b">
        <f>NOT(ISBLANK(UNJC0190_H_EDA_S))</f>
        <v>0</v>
      </c>
      <c r="G37" s="723"/>
      <c r="H37" s="731" t="s">
        <v>2794</v>
      </c>
    </row>
    <row r="38" spans="2:8" ht="18.75" customHeight="1">
      <c r="B38" s="727"/>
      <c r="C38" s="732"/>
      <c r="D38" s="733" t="s">
        <v>2232</v>
      </c>
      <c r="E38" s="731" t="str">
        <f>" AND BUSHO_CD = "&amp;UNJC0190_H_BUSHO_CD_S</f>
        <v xml:space="preserve"> AND BUSHO_CD = </v>
      </c>
      <c r="F38" s="731" t="b">
        <f>AND(NOT(ISBLANK(UNJC0190_H_BUSHO_CD_S)),NOT(ISBLANK(UNJC0190_H_BUSHO_MEI_S)))</f>
        <v>0</v>
      </c>
      <c r="G38" s="723"/>
      <c r="H38" s="731" t="s">
        <v>3060</v>
      </c>
    </row>
    <row r="39" spans="2:8" ht="18.75" customHeight="1">
      <c r="B39" s="727"/>
      <c r="C39" s="732"/>
      <c r="D39" s="733" t="s">
        <v>1524</v>
      </c>
      <c r="E39" s="731" t="str">
        <f>" AND BUNSEKI_HOHO_CD = ''"&amp;UNJC0190_H_BUNSEKI_HOHO_S &amp; "''"</f>
        <v xml:space="preserve"> AND BUNSEKI_HOHO_CD = ''''</v>
      </c>
      <c r="F39" s="731" t="b">
        <f>NOT(ISBLANK(UNJC0190_H_BUNSEKI_HOHO_S))</f>
        <v>0</v>
      </c>
      <c r="G39" s="723"/>
      <c r="H39" s="731" t="s">
        <v>2799</v>
      </c>
    </row>
    <row r="40" spans="2:8" ht="18.75" customHeight="1">
      <c r="B40" s="727"/>
      <c r="C40" s="732"/>
      <c r="D40" s="733" t="s">
        <v>62</v>
      </c>
      <c r="E40" s="731" t="str">
        <f>" AND SHIRYO_SHURUI LIKE ''%"&amp;UNJC0190_H_SIRYO_SHURUI_S &amp; "%''"</f>
        <v xml:space="preserve"> AND SHIRYO_SHURUI LIKE ''%%''</v>
      </c>
      <c r="F40" s="731" t="b">
        <f>NOT(ISBLANK(UNJC0190_H_SIRYO_SHURUI_S))</f>
        <v>0</v>
      </c>
      <c r="G40" s="723"/>
      <c r="H40" s="731" t="s">
        <v>2800</v>
      </c>
    </row>
    <row r="41" spans="2:8" ht="18.75" customHeight="1">
      <c r="B41" s="727"/>
      <c r="C41" s="732"/>
      <c r="D41" s="733" t="s">
        <v>3061</v>
      </c>
      <c r="E41" s="731" t="str">
        <f>" AND REPLACE(CONVERT(date,NYURYOKU_DATETIME),''-'',''/'') &gt;= ''"&amp;TEXT(UNJC0190_H_NYURYOKU_DATE_START_S,"YYYY/MM/DD")&amp;"''"</f>
        <v xml:space="preserve"> AND REPLACE(CONVERT(date,NYURYOKU_DATETIME),''-'',''/'') &gt;= ''1900/01/00''</v>
      </c>
      <c r="F41" s="731" t="b">
        <f>NOT(ISBLANK(UNJC0190_H_NYURYOKU_DATE_START_S))</f>
        <v>0</v>
      </c>
      <c r="G41" s="723"/>
      <c r="H41" s="731" t="s">
        <v>3062</v>
      </c>
    </row>
    <row r="42" spans="2:8" ht="18.75" customHeight="1">
      <c r="B42" s="727"/>
      <c r="C42" s="732"/>
      <c r="D42" s="733" t="s">
        <v>3063</v>
      </c>
      <c r="E42" s="731" t="str">
        <f>" AND REPLACE(CONVERT(date,NYURYOKU_DATETIME),''-'',''/'') &lt;= ''"&amp;TEXT(UNJC0190_H_NYURYOKU_DATE_END_S,"YYYY/MM/DD")&amp;"''"</f>
        <v xml:space="preserve"> AND REPLACE(CONVERT(date,NYURYOKU_DATETIME),''-'',''/'') &lt;= ''1900/01/00''</v>
      </c>
      <c r="F42" s="731" t="b">
        <f>NOT(ISBLANK(UNJC0190_H_NYURYOKU_DATE_END_S))</f>
        <v>0</v>
      </c>
      <c r="G42" s="723"/>
      <c r="H42" s="731" t="s">
        <v>2803</v>
      </c>
    </row>
    <row r="43" spans="2:8" ht="18.75" customHeight="1">
      <c r="B43" s="727"/>
      <c r="C43" s="732"/>
      <c r="D43" s="733" t="s">
        <v>3064</v>
      </c>
      <c r="E43" s="734" t="str">
        <f>" AND IRAI_DATE &gt;= ''"&amp;TEXT(UNJC0190_H_IRAI_DATE_START_S,"YYYY/MM/DD")&amp;"''"</f>
        <v xml:space="preserve"> AND IRAI_DATE &gt;= ''2014/04/06''</v>
      </c>
      <c r="F43" s="731" t="b">
        <f>NOT(ISBLANK(UNJC0190_H_IRAI_DATE_START_S))</f>
        <v>1</v>
      </c>
      <c r="G43" s="723"/>
      <c r="H43" s="734" t="s">
        <v>2804</v>
      </c>
    </row>
    <row r="44" spans="2:8" ht="18.75" customHeight="1">
      <c r="B44" s="727"/>
      <c r="C44" s="732"/>
      <c r="D44" s="733" t="s">
        <v>2806</v>
      </c>
      <c r="E44" s="734" t="str">
        <f>" AND IRAI_DATE &lt;= ''"&amp;TEXT(UNJC0190_H_IRAI_DATE_END_S,"YYYY/MM/DD")&amp;"''"</f>
        <v xml:space="preserve"> AND IRAI_DATE &lt;= ''2016/04/06''</v>
      </c>
      <c r="F44" s="731" t="b">
        <f>NOT(ISBLANK(UNJC0190_H_IRAI_DATE_END_S))</f>
        <v>1</v>
      </c>
      <c r="G44" s="723"/>
      <c r="H44" s="734" t="s">
        <v>2807</v>
      </c>
    </row>
    <row r="45" spans="2:8" ht="18.75" customHeight="1">
      <c r="B45" s="727"/>
      <c r="C45" s="732"/>
      <c r="D45" s="733" t="s">
        <v>2259</v>
      </c>
      <c r="E45" s="731" t="str">
        <f>" AND KANRYO_DATE &gt;= ''"&amp;TEXT(UNJC0190_H_KANRYO_DATE_START_S,"YYYY/MM/DD")&amp;"''"</f>
        <v xml:space="preserve"> AND KANRYO_DATE &gt;= ''1900/01/00''</v>
      </c>
      <c r="F45" s="731" t="b">
        <f>NOT(ISBLANK(UNJC0190_H_KANRYO_DATE_START_S))</f>
        <v>0</v>
      </c>
      <c r="G45" s="723"/>
      <c r="H45" s="731" t="s">
        <v>3065</v>
      </c>
    </row>
    <row r="46" spans="2:8" ht="18.75" customHeight="1">
      <c r="B46" s="727"/>
      <c r="C46" s="732"/>
      <c r="D46" s="733" t="s">
        <v>3066</v>
      </c>
      <c r="E46" s="731" t="str">
        <f>" AND KANRYO_DATE &lt;= ''"&amp;TEXT(UNJC0190_H_KANRYO_DATE_END_S,"YYYY/MM/DD")&amp;"''"</f>
        <v xml:space="preserve"> AND KANRYO_DATE &lt;= ''1900/01/00''</v>
      </c>
      <c r="F46" s="731" t="b">
        <f>NOT(ISBLANK(UNJC0190_H_KANRYO_DATE_END_S))</f>
        <v>0</v>
      </c>
      <c r="G46" s="723"/>
      <c r="H46" s="731" t="s">
        <v>2810</v>
      </c>
    </row>
    <row r="47" spans="2:8" ht="18.75" customHeight="1">
      <c r="B47" s="727"/>
      <c r="C47" s="732"/>
      <c r="D47" s="733" t="s">
        <v>3067</v>
      </c>
      <c r="E47" s="731" t="str">
        <f>" AND STATE_KBN = "&amp;UNJC0190_H_JOTAI_S</f>
        <v xml:space="preserve"> AND STATE_KBN = 1</v>
      </c>
      <c r="F47" s="731" t="b">
        <f>NOT(ISBLANK(UNJC0190_H_JOTAI_S))</f>
        <v>1</v>
      </c>
      <c r="G47" s="723"/>
      <c r="H47" s="731" t="s">
        <v>3068</v>
      </c>
    </row>
    <row r="48" spans="2:8" ht="18.75" customHeight="1">
      <c r="B48" s="727"/>
      <c r="C48" s="732"/>
      <c r="D48" s="733" t="s">
        <v>63</v>
      </c>
      <c r="E48" s="731" t="str">
        <f>" AND SHIRYO_MEI LIKE ''%"&amp;UNJC0190_H_SIRYO_MEI_S &amp; "%''"</f>
        <v xml:space="preserve"> AND SHIRYO_MEI LIKE ''%%''</v>
      </c>
      <c r="F48" s="731" t="b">
        <f>NOT(ISBLANK(UNJC0190_H_SIRYO_MEI_S))</f>
        <v>0</v>
      </c>
      <c r="G48" s="723"/>
      <c r="H48" s="731" t="s">
        <v>3069</v>
      </c>
    </row>
    <row r="49" spans="2:9" ht="18.75" customHeight="1">
      <c r="B49" s="727"/>
      <c r="C49" s="732"/>
      <c r="D49" s="733" t="s">
        <v>2813</v>
      </c>
      <c r="E49" s="731" t="str">
        <f>" AND SOKUTEISHA_CD = "&amp;UNJC0190_H_SOKUTEI_SHA_CD_S</f>
        <v xml:space="preserve"> AND SOKUTEISHA_CD = </v>
      </c>
      <c r="F49" s="731" t="b">
        <f>AND(NOT(ISBLANK(UNJC0190_H_SOKUTEI_SHA_CD_S)),NOT(ISBLANK(UNJC0190_H_SOKUTEI_SHA_MEI_S)))</f>
        <v>0</v>
      </c>
      <c r="G49" s="723"/>
      <c r="H49" s="731" t="s">
        <v>3070</v>
      </c>
    </row>
    <row r="50" spans="2:9" ht="18.75" customHeight="1">
      <c r="B50" s="727"/>
      <c r="C50" s="732"/>
      <c r="D50" s="733" t="s">
        <v>3071</v>
      </c>
      <c r="E50" s="731" t="str">
        <f>" AND SOKUTEI_DATE &gt;= ''"&amp;TEXT(UNJC0190_H_SOKUTEI_DATE_START_S,"YYYY/MM/DD")&amp;"''"</f>
        <v xml:space="preserve"> AND SOKUTEI_DATE &gt;= ''1900/01/00''</v>
      </c>
      <c r="F50" s="731" t="b">
        <f>NOT(ISBLANK(UNJC0190_H_SOKUTEI_DATE_START_S))</f>
        <v>0</v>
      </c>
      <c r="G50" s="723"/>
      <c r="H50" s="731" t="s">
        <v>2818</v>
      </c>
    </row>
    <row r="51" spans="2:9" ht="18.75" customHeight="1">
      <c r="B51" s="727"/>
      <c r="C51" s="732"/>
      <c r="D51" s="733" t="s">
        <v>2819</v>
      </c>
      <c r="E51" s="731" t="str">
        <f>" AND SOKUTEI_DATE &lt;= ''"&amp;TEXT(UNJC0190_H_SOKUTEI_DATE_END_S,"YYYY/MM/DD")&amp;"''"</f>
        <v xml:space="preserve"> AND SOKUTEI_DATE &lt;= ''1900/01/00''</v>
      </c>
      <c r="F51" s="731" t="b">
        <f>NOT(ISBLANK(UNJC0190_H_SOKUTEI_DATE_END_S))</f>
        <v>0</v>
      </c>
      <c r="G51" s="723"/>
      <c r="H51" s="731" t="s">
        <v>2820</v>
      </c>
    </row>
    <row r="52" spans="2:9" ht="18.75" customHeight="1">
      <c r="B52" s="727"/>
      <c r="C52" s="732"/>
      <c r="D52" s="733" t="s">
        <v>2271</v>
      </c>
      <c r="E52" s="731" t="str">
        <f>" AND ATENA_CD = ''"&amp; UNJC0190_H_ATENA_CD_S &amp; "''"</f>
        <v xml:space="preserve"> AND ATENA_CD = ''''</v>
      </c>
      <c r="F52" s="731" t="b">
        <f>NOT(ISBLANK(UNJC0190_H_ATENA_CD_S))</f>
        <v>0</v>
      </c>
      <c r="G52" s="723"/>
      <c r="H52" s="731" t="s">
        <v>2821</v>
      </c>
    </row>
    <row r="53" spans="2:9" ht="18.75" customHeight="1">
      <c r="B53" s="727"/>
      <c r="C53" s="732"/>
      <c r="D53" s="733" t="s">
        <v>1747</v>
      </c>
      <c r="E53" s="731" t="str">
        <f>" AND ATENA LIKE ''%"&amp; UNJC0190_H_ATENA_S &amp;"%''"</f>
        <v xml:space="preserve"> AND ATENA LIKE ''%%''</v>
      </c>
      <c r="F53" s="731" t="b">
        <f>NOT(ISBLANK(UNJC0190_H_ATENA_S))</f>
        <v>0</v>
      </c>
      <c r="G53" s="723"/>
      <c r="H53" s="731" t="s">
        <v>2822</v>
      </c>
    </row>
    <row r="54" spans="2:9" ht="18.75" customHeight="1">
      <c r="B54" s="727"/>
      <c r="C54" s="732"/>
      <c r="D54" s="733" t="s">
        <v>352</v>
      </c>
      <c r="E54" s="731" t="str">
        <f>" AND "&amp; IF(UNJC0190_H_FREEWD_KBN=3,"NOT","") &amp;"("&amp; IF(F55,E55,"") &amp; IF(F56,E56,"") &amp;IF(F57,E57,"") &amp;" )"</f>
        <v xml:space="preserve"> AND ( )</v>
      </c>
      <c r="F54" s="731" t="b">
        <f>OR(F55,F56,F57)</f>
        <v>0</v>
      </c>
      <c r="G54" s="723"/>
      <c r="H54" s="731"/>
    </row>
    <row r="55" spans="2:9" ht="18.75" customHeight="1">
      <c r="B55" s="727"/>
      <c r="C55" s="732"/>
      <c r="D55" s="733" t="s">
        <v>2823</v>
      </c>
      <c r="E55" s="734" t="str">
        <f>" FREEWD LIKE ''%"&amp; UNJC0190_H_FREEWD_1_S &amp; "%''"</f>
        <v xml:space="preserve"> FREEWD LIKE ''%%''</v>
      </c>
      <c r="F55" s="734" t="b">
        <f>NOT(ISBLANK(UNJC0190_H_FREEWD_1_S))</f>
        <v>0</v>
      </c>
      <c r="G55" s="723"/>
      <c r="H55" s="734" t="s">
        <v>3072</v>
      </c>
    </row>
    <row r="56" spans="2:9" ht="18.75" customHeight="1">
      <c r="B56" s="727"/>
      <c r="C56" s="732"/>
      <c r="D56" s="733" t="s">
        <v>3073</v>
      </c>
      <c r="E56" s="731" t="str">
        <f>" "&amp;IF(F55, E58, "") &amp; " FREEWD LIKE  ''%"&amp; UNJC0190_H_FREEWD_2_S &amp; "%''"</f>
        <v xml:space="preserve">  FREEWD LIKE  ''%%''</v>
      </c>
      <c r="F56" s="731" t="b">
        <f>NOT(ISBLANK(UNJC0190_H_FREEWD_2_S))</f>
        <v>0</v>
      </c>
      <c r="G56" s="723"/>
      <c r="H56" s="731" t="s">
        <v>2825</v>
      </c>
    </row>
    <row r="57" spans="2:9" ht="18.75" customHeight="1">
      <c r="B57" s="727"/>
      <c r="C57" s="732"/>
      <c r="D57" s="733" t="s">
        <v>3074</v>
      </c>
      <c r="E57" s="731" t="str">
        <f>" "&amp;IF(OR(F55,F56),E58,"") &amp; " FREEWD LIKE  ''%"&amp; UNJC0190_H_FREEWD_3_S &amp; "%''"</f>
        <v xml:space="preserve">  FREEWD LIKE  ''%%''</v>
      </c>
      <c r="F57" s="731" t="b">
        <f>NOT(ISBLANK(UNJC0190_H_FREEWD_3_S))</f>
        <v>0</v>
      </c>
      <c r="G57" s="723"/>
      <c r="H57" s="731" t="s">
        <v>3075</v>
      </c>
    </row>
    <row r="58" spans="2:9" ht="18.75" customHeight="1">
      <c r="B58" s="738"/>
      <c r="C58" s="739"/>
      <c r="D58" s="733"/>
      <c r="E58" s="731" t="str">
        <f>IF(UNJC0190_H_FREEWD_KBN=1, "AND",IF(UNJC0190_H_FREEWD_KBN=2,"OR","AND"))</f>
        <v>AND</v>
      </c>
      <c r="F58" s="731"/>
      <c r="G58" s="723"/>
      <c r="H58" s="731"/>
    </row>
    <row r="59" spans="2:9" ht="18.75" customHeight="1">
      <c r="B59" s="738"/>
      <c r="C59" s="968"/>
      <c r="D59" s="969" t="s">
        <v>3608</v>
      </c>
      <c r="E59" s="730" t="s">
        <v>3610</v>
      </c>
      <c r="F59" s="731"/>
      <c r="G59" s="723"/>
      <c r="H59" s="731"/>
    </row>
    <row r="60" spans="2:9" ht="18.75" customHeight="1">
      <c r="B60" s="1757" t="s">
        <v>3053</v>
      </c>
      <c r="C60" s="1758"/>
      <c r="D60" s="1759"/>
      <c r="E60" s="725" t="str">
        <f>"EXEC SP_SAVE_T_KOMOKU_SAMPLE "
&amp; "'" &amp; UNJC0190_IF_W_USER_ID &amp; "'"
&amp; ",'" &amp; UNJC0190_IF_W_SERIAL &amp; "'"
&amp; "," &amp; H60
&amp; ",''"</f>
        <v>EXEC SP_SAVE_T_KOMOKU_SAMPLE '','0',1,''</v>
      </c>
      <c r="F60" s="725"/>
      <c r="G60" s="720" t="s">
        <v>3054</v>
      </c>
      <c r="H60" s="810">
        <v>1</v>
      </c>
      <c r="I60" s="278" t="s">
        <v>3076</v>
      </c>
    </row>
    <row r="61" spans="2:9" ht="18.75" customHeight="1">
      <c r="H61" s="278" t="s">
        <v>3077</v>
      </c>
    </row>
    <row r="63" spans="2:9" ht="18.75" customHeight="1">
      <c r="C63" s="278" t="s">
        <v>3530</v>
      </c>
    </row>
    <row r="64" spans="2:9" ht="18.75" customHeight="1">
      <c r="B64" s="1761" t="s">
        <v>3531</v>
      </c>
      <c r="C64" s="1798"/>
      <c r="D64" s="1798"/>
      <c r="E64" s="725" t="str">
        <f>E65&amp;E69</f>
        <v>SELECT MEISHO_CD
      ,DATA_1     AS 商品分類区分名
  FROM M_MEISHO_B
 WHERE MEISHO_KBN = 'K025'
   AND MEISHO_CD  BETWEEN '1501' AND '1524'
 ORDER BY
       SORT_NO ASC
      ,CAST(MEISHO_CD AS INT) ASC</v>
      </c>
      <c r="G64" s="278" t="s">
        <v>3529</v>
      </c>
    </row>
    <row r="65" spans="2:8" ht="18.75" customHeight="1">
      <c r="B65" s="882"/>
      <c r="C65" s="873"/>
      <c r="D65" s="874"/>
      <c r="E65" s="725" t="str">
        <f>E66&amp;F66&amp;E67&amp;F67&amp;E68</f>
        <v xml:space="preserve">SELECT MEISHO_CD
      ,DATA_1     AS 商品分類区分名
  FROM M_MEISHO_B
 WHERE MEISHO_KBN = 'K025'
   AND MEISHO_CD  BETWEEN '1501' AND '1524'
</v>
      </c>
    </row>
    <row r="66" spans="2:8" ht="18.75" customHeight="1">
      <c r="B66" s="721"/>
      <c r="C66" s="875"/>
      <c r="D66" s="883"/>
      <c r="E66" s="734" t="s">
        <v>3532</v>
      </c>
      <c r="F66" s="876">
        <v>1501</v>
      </c>
      <c r="G66" s="877" t="s">
        <v>3534</v>
      </c>
      <c r="H66" s="801"/>
    </row>
    <row r="67" spans="2:8" ht="18.75" customHeight="1">
      <c r="B67" s="727"/>
      <c r="C67" s="732"/>
      <c r="D67" s="884"/>
      <c r="E67" s="886" t="s">
        <v>3535</v>
      </c>
      <c r="F67" s="876">
        <v>1524</v>
      </c>
      <c r="G67" s="877" t="s">
        <v>3533</v>
      </c>
      <c r="H67" s="801"/>
    </row>
    <row r="68" spans="2:8" ht="18.75" customHeight="1">
      <c r="B68" s="721"/>
      <c r="C68" s="732"/>
      <c r="D68" s="884"/>
      <c r="E68" s="880" t="s">
        <v>3537</v>
      </c>
      <c r="F68" s="878"/>
      <c r="G68" s="801"/>
      <c r="H68" s="801"/>
    </row>
    <row r="69" spans="2:8" ht="18.75" customHeight="1">
      <c r="B69" s="724"/>
      <c r="C69" s="739"/>
      <c r="D69" s="885"/>
      <c r="E69" s="730" t="s">
        <v>3538</v>
      </c>
      <c r="F69" s="878"/>
      <c r="G69" s="801"/>
      <c r="H69" s="801"/>
    </row>
    <row r="72" spans="2:8" ht="18.75" customHeight="1">
      <c r="B72" s="1761" t="s">
        <v>304</v>
      </c>
      <c r="C72" s="1798"/>
      <c r="D72" s="1798"/>
      <c r="E72" s="725" t="str">
        <f>E73&amp;E74&amp;E75</f>
        <v xml:space="preserve">SELECT M_SHOHIN.SHOHIN_CD    AS 分析項目CD
      ,M_SHOHIN.SHOHIN_MEI   AS 分析項目
      ,M_SHOHIN.BUNSEKI_TANI AS 単位
      ,M_SHOHIN.BUNSEKI_FLOW AS 分析フロー
  FROM M_SHOHIN
 WHERE M_SHOHIN.BUNSEKI_FLG  =  'True'
   AND M_SHOHIN.SHOKEIHI_FLG &lt;&gt; 'True'
   AND EXISTS
(
SELECT MEISHO_CD
      ,DATA_1     AS 商品分類区分名
  FROM M_MEISHO_B
 WHERE MEISHO_KBN = 'K025'
   AND MEISHO_CD  BETWEEN '1501' AND '1524'
   AND MEISHO_CD = M_SHOHIN.SHOHIN_BUNRUI
)
 ORDER BY
       M_SHOHIN.SHOHIN_CD
</v>
      </c>
      <c r="G72" s="278" t="s">
        <v>3536</v>
      </c>
    </row>
    <row r="73" spans="2:8" ht="18.75" customHeight="1">
      <c r="B73" s="721"/>
      <c r="C73" s="875"/>
      <c r="D73" s="883"/>
      <c r="E73" s="881" t="s">
        <v>3540</v>
      </c>
    </row>
    <row r="74" spans="2:8" ht="18.75" customHeight="1">
      <c r="B74" s="721"/>
      <c r="C74" s="732"/>
      <c r="D74" s="884"/>
      <c r="E74" s="881" t="str">
        <f>E65</f>
        <v xml:space="preserve">SELECT MEISHO_CD
      ,DATA_1     AS 商品分類区分名
  FROM M_MEISHO_B
 WHERE MEISHO_KBN = 'K025'
   AND MEISHO_CD  BETWEEN '1501' AND '1524'
</v>
      </c>
    </row>
    <row r="75" spans="2:8" ht="18.75" customHeight="1">
      <c r="B75" s="724"/>
      <c r="C75" s="739"/>
      <c r="D75" s="885"/>
      <c r="E75" s="881" t="s">
        <v>3539</v>
      </c>
    </row>
    <row r="77" spans="2:8" ht="18.75" customHeight="1">
      <c r="B77" s="1761" t="s">
        <v>4521</v>
      </c>
      <c r="C77" s="1798"/>
      <c r="D77" s="1798"/>
      <c r="E77" s="725" t="s">
        <v>4523</v>
      </c>
      <c r="G77" s="970" t="s">
        <v>4522</v>
      </c>
    </row>
  </sheetData>
  <mergeCells count="25">
    <mergeCell ref="B15:D15"/>
    <mergeCell ref="B2:D2"/>
    <mergeCell ref="B3:D3"/>
    <mergeCell ref="C4:D4"/>
    <mergeCell ref="C5:D5"/>
    <mergeCell ref="C6:D6"/>
    <mergeCell ref="B8:D8"/>
    <mergeCell ref="C9:D9"/>
    <mergeCell ref="C10:D10"/>
    <mergeCell ref="C11:D11"/>
    <mergeCell ref="B13:D13"/>
    <mergeCell ref="B14:D14"/>
    <mergeCell ref="B77:D77"/>
    <mergeCell ref="C33:D33"/>
    <mergeCell ref="B60:D60"/>
    <mergeCell ref="B16:D16"/>
    <mergeCell ref="B17:D17"/>
    <mergeCell ref="C18:D18"/>
    <mergeCell ref="C19:D19"/>
    <mergeCell ref="C20:D20"/>
    <mergeCell ref="C21:D21"/>
    <mergeCell ref="B64:D64"/>
    <mergeCell ref="B72:D72"/>
    <mergeCell ref="C27:D27"/>
    <mergeCell ref="B32:D32"/>
  </mergeCells>
  <phoneticPr fontId="2"/>
  <pageMargins left="0.7" right="0.7" top="0.75" bottom="0.75" header="0.3" footer="0.3"/>
  <pageSetup paperSize="9"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9" tint="0.39997558519241921"/>
    <pageSetUpPr fitToPage="1"/>
  </sheetPr>
  <dimension ref="A1:V4"/>
  <sheetViews>
    <sheetView view="pageLayout" zoomScaleNormal="100" workbookViewId="0">
      <selection activeCell="M11" sqref="M11"/>
    </sheetView>
  </sheetViews>
  <sheetFormatPr defaultRowHeight="45" customHeight="1"/>
  <cols>
    <col min="1" max="1" width="2.375" style="231" customWidth="1"/>
    <col min="2" max="2" width="3.75" style="278" customWidth="1"/>
    <col min="3" max="4" width="6.375" style="278" bestFit="1" customWidth="1"/>
    <col min="5" max="5" width="7.625" style="278" bestFit="1" customWidth="1"/>
    <col min="6" max="6" width="2.875" style="278" customWidth="1"/>
    <col min="7" max="7" width="9.625" style="278" bestFit="1" customWidth="1"/>
    <col min="8" max="8" width="8" style="278" bestFit="1" customWidth="1"/>
    <col min="9" max="9" width="6.375" style="278" bestFit="1" customWidth="1"/>
    <col min="10" max="10" width="6.375" style="278" customWidth="1"/>
    <col min="11" max="11" width="6.375" style="278" bestFit="1" customWidth="1"/>
    <col min="12" max="12" width="7.625" style="278" bestFit="1" customWidth="1"/>
    <col min="13" max="13" width="7.875" style="278" bestFit="1" customWidth="1"/>
    <col min="14" max="18" width="8.625" style="278" customWidth="1"/>
    <col min="19" max="19" width="6.375" style="278" bestFit="1" customWidth="1"/>
    <col min="20" max="20" width="4.75" style="278" bestFit="1" customWidth="1"/>
    <col min="21" max="22" width="6.375" style="278" bestFit="1" customWidth="1"/>
    <col min="23" max="95" width="2.75" style="278" customWidth="1"/>
    <col min="96" max="16384" width="9" style="278"/>
  </cols>
  <sheetData>
    <row r="1" spans="2:22" s="231" customFormat="1" ht="16.5">
      <c r="B1" s="230"/>
      <c r="C1" s="230"/>
      <c r="D1" s="230"/>
      <c r="E1" s="230"/>
      <c r="F1" s="230"/>
      <c r="G1" s="230"/>
      <c r="H1" s="230"/>
      <c r="I1" s="230"/>
      <c r="J1" s="230"/>
      <c r="K1" s="230"/>
      <c r="L1" s="230"/>
      <c r="M1" s="230"/>
      <c r="V1" s="251"/>
    </row>
    <row r="2" spans="2:22" s="231" customFormat="1" ht="16.5" customHeight="1">
      <c r="B2" s="1801" t="s">
        <v>3078</v>
      </c>
      <c r="C2" s="1802"/>
      <c r="D2" s="1802"/>
      <c r="E2" s="1802"/>
      <c r="F2" s="1802"/>
      <c r="G2" s="1802"/>
      <c r="H2" s="740"/>
      <c r="I2" s="811" t="s">
        <v>3079</v>
      </c>
      <c r="J2" s="812" t="str">
        <f>UNJC0190_B_SYOUHIN_BUNRUI_MEI</f>
        <v/>
      </c>
      <c r="K2" s="813"/>
      <c r="L2" s="814"/>
      <c r="M2" s="814"/>
      <c r="N2" s="815"/>
      <c r="O2" s="816" t="s">
        <v>3080</v>
      </c>
      <c r="P2" s="887" t="str">
        <f>IF(UNJC0190_H_NYURYOKU_DATE_START_S="","",TEXT(UNJC0190_H_NYURYOKU_DATE_START_S,"YYYY/MM/DD"))
&amp;IF(AND(UNJC0190_H_NYURYOKU_DATE_START_S&lt;&gt;"",UNJC0190_H_NYURYOKU_DATE_END_S&lt;&gt;""),"～","")
&amp;IF(UNJC0190_H_NYURYOKU_DATE_END_S="","",TEXT(UNJC0190_H_NYURYOKU_DATE_END_S,"YYYY/MM/DD"))</f>
        <v/>
      </c>
    </row>
    <row r="3" spans="2:22" s="231" customFormat="1" ht="16.5" customHeight="1">
      <c r="B3" s="1802"/>
      <c r="C3" s="1802"/>
      <c r="D3" s="1802"/>
      <c r="E3" s="1802"/>
      <c r="F3" s="1802"/>
      <c r="G3" s="1802"/>
      <c r="H3" s="740"/>
      <c r="I3" s="818" t="s">
        <v>3081</v>
      </c>
      <c r="J3" s="819">
        <f>UNJC0190_B_JURI_COUNT</f>
        <v>0</v>
      </c>
      <c r="K3" s="813"/>
      <c r="L3" s="820" t="s">
        <v>3082</v>
      </c>
      <c r="M3" s="819">
        <f>UNJC0190_B_EDA_COUNT</f>
        <v>0</v>
      </c>
      <c r="N3" s="814"/>
    </row>
    <row r="4" spans="2:22" ht="16.5">
      <c r="B4" s="821"/>
    </row>
  </sheetData>
  <mergeCells count="1">
    <mergeCell ref="B2:G3"/>
  </mergeCells>
  <phoneticPr fontId="2"/>
  <pageMargins left="0.19685039370078741" right="0.19685039370078741" top="0.51181102362204722" bottom="0.23622047244094491" header="0.31496062992125984" footer="0.31496062992125984"/>
  <pageSetup paperSize="9" fitToHeight="0" orientation="landscape" r:id="rId1"/>
  <headerFooter>
    <oddHeader>&amp;R&amp;"メイリオ,レギュラー"&amp;8&amp;P / &amp;N ページ</oddHead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B1:V11"/>
  <sheetViews>
    <sheetView workbookViewId="0">
      <selection activeCell="E10" sqref="E10"/>
    </sheetView>
  </sheetViews>
  <sheetFormatPr defaultRowHeight="18.75"/>
  <cols>
    <col min="1" max="1" width="3.625" style="691" customWidth="1"/>
    <col min="2" max="2" width="11.25" style="691" bestFit="1" customWidth="1"/>
    <col min="3" max="3" width="3.75" style="691" customWidth="1"/>
    <col min="4" max="5" width="6.375" style="691" customWidth="1"/>
    <col min="6" max="6" width="7.625" style="691" customWidth="1"/>
    <col min="7" max="7" width="2.875" style="691" customWidth="1"/>
    <col min="8" max="8" width="9.625" style="691" customWidth="1"/>
    <col min="9" max="11" width="6.375" style="691" customWidth="1"/>
    <col min="12" max="12" width="18" style="691" customWidth="1"/>
    <col min="13" max="57" width="4.75" style="691" customWidth="1"/>
    <col min="58" max="16384" width="9" style="691"/>
  </cols>
  <sheetData>
    <row r="1" spans="2:22">
      <c r="B1" s="694" t="s">
        <v>3083</v>
      </c>
      <c r="C1" s="822"/>
    </row>
    <row r="2" spans="2:22" ht="16.5" customHeight="1">
      <c r="B2" s="694" t="s">
        <v>3084</v>
      </c>
      <c r="C2" s="822" t="str">
        <f>IF(UNJC0190_PRINT_IF_HYOJI_KENSU=0,"","UNJC0190_PRINT!"&amp;ADDRESS(ROW(UNJC0190_PRINT_DataStart),COLUMN(UNJC0190_PRINT_DataStart))&amp;":"&amp;
ADDRESS(ROW(UNJC0190_PRINT_DataStart)+UNJC0190_PRINT_IF_HYOJI_KENSU-1,COLUMN(UNJC0190_PRINT_DataStart)+COLUMNS(UNJC0190_PRINT_IF_LAYOUTCOPY)-1))</f>
        <v/>
      </c>
    </row>
    <row r="3" spans="2:22">
      <c r="C3" s="710" t="s">
        <v>2882</v>
      </c>
      <c r="L3" s="710" t="s">
        <v>3085</v>
      </c>
    </row>
    <row r="4" spans="2:22" ht="22.5">
      <c r="B4" s="823"/>
      <c r="C4" s="997" t="s">
        <v>2573</v>
      </c>
      <c r="D4" s="997" t="s">
        <v>3086</v>
      </c>
      <c r="E4" s="997" t="s">
        <v>3087</v>
      </c>
      <c r="F4" s="997" t="s">
        <v>266</v>
      </c>
      <c r="G4" s="998" t="s">
        <v>3780</v>
      </c>
      <c r="H4" s="997" t="s">
        <v>1200</v>
      </c>
      <c r="I4" s="997" t="s">
        <v>1282</v>
      </c>
      <c r="J4" s="998" t="s">
        <v>3789</v>
      </c>
      <c r="K4" s="998" t="s">
        <v>3088</v>
      </c>
      <c r="L4" s="278"/>
      <c r="M4" s="278"/>
      <c r="N4" s="278"/>
      <c r="O4" s="278"/>
      <c r="P4" s="278"/>
      <c r="Q4" s="278"/>
      <c r="R4" s="278"/>
      <c r="S4" s="970"/>
      <c r="T4" s="970"/>
      <c r="U4" s="278"/>
      <c r="V4" s="278"/>
    </row>
    <row r="5" spans="2:22" ht="45" customHeight="1">
      <c r="B5" s="823" t="s">
        <v>2896</v>
      </c>
      <c r="C5" s="988"/>
      <c r="D5" s="989"/>
      <c r="E5" s="989"/>
      <c r="F5" s="990"/>
      <c r="G5" s="991"/>
      <c r="H5" s="992"/>
      <c r="I5" s="992"/>
      <c r="J5" s="992"/>
      <c r="K5" s="992"/>
      <c r="L5" s="278"/>
      <c r="M5" s="278"/>
      <c r="N5" s="278"/>
      <c r="O5" s="278"/>
      <c r="P5" s="278"/>
      <c r="Q5" s="278"/>
      <c r="R5" s="278"/>
      <c r="S5" s="970"/>
      <c r="T5" s="970"/>
      <c r="U5" s="278"/>
      <c r="V5" s="278"/>
    </row>
    <row r="6" spans="2:22">
      <c r="B6" s="823" t="s">
        <v>2898</v>
      </c>
      <c r="C6" s="691">
        <v>3.13</v>
      </c>
      <c r="D6" s="691">
        <v>5</v>
      </c>
      <c r="E6" s="691">
        <v>5</v>
      </c>
      <c r="F6" s="691">
        <v>6</v>
      </c>
      <c r="G6" s="691">
        <v>2.25</v>
      </c>
      <c r="H6" s="691">
        <v>18</v>
      </c>
      <c r="I6" s="691">
        <v>12</v>
      </c>
      <c r="J6" s="691">
        <v>8</v>
      </c>
      <c r="K6" s="691">
        <v>5</v>
      </c>
      <c r="L6" s="278"/>
      <c r="M6" s="278"/>
      <c r="N6" s="278"/>
      <c r="O6" s="278"/>
      <c r="P6" s="278"/>
      <c r="Q6" s="278"/>
      <c r="R6" s="278"/>
      <c r="S6" s="970"/>
      <c r="T6" s="970"/>
      <c r="U6" s="278"/>
      <c r="V6" s="278"/>
    </row>
    <row r="8" spans="2:22">
      <c r="C8" s="710" t="s">
        <v>2904</v>
      </c>
    </row>
    <row r="9" spans="2:22">
      <c r="B9" s="823"/>
      <c r="C9" s="999" t="s">
        <v>2906</v>
      </c>
      <c r="D9" s="997" t="s">
        <v>3089</v>
      </c>
      <c r="E9" s="997" t="s">
        <v>3090</v>
      </c>
      <c r="F9" s="997" t="s">
        <v>3091</v>
      </c>
    </row>
    <row r="10" spans="2:22" ht="45" customHeight="1">
      <c r="B10" s="823" t="s">
        <v>2896</v>
      </c>
      <c r="C10" s="993"/>
      <c r="D10" s="991"/>
      <c r="E10" s="989"/>
      <c r="F10" s="994"/>
    </row>
    <row r="11" spans="2:22">
      <c r="B11" s="823" t="s">
        <v>2912</v>
      </c>
      <c r="C11" s="691">
        <v>8</v>
      </c>
      <c r="D11" s="691">
        <v>4</v>
      </c>
      <c r="E11" s="691">
        <v>6</v>
      </c>
      <c r="F11" s="691">
        <v>6</v>
      </c>
    </row>
  </sheetData>
  <phoneticPr fontId="2"/>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9265" r:id="rId4" name="Button 1">
              <controlPr defaultSize="0" print="0" autoFill="0" autoPict="0">
                <anchor moveWithCells="1" sizeWithCells="1">
                  <from>
                    <xdr:col>6</xdr:col>
                    <xdr:colOff>152400</xdr:colOff>
                    <xdr:row>0</xdr:row>
                    <xdr:rowOff>57150</xdr:rowOff>
                  </from>
                  <to>
                    <xdr:col>7</xdr:col>
                    <xdr:colOff>638175</xdr:colOff>
                    <xdr:row>1</xdr:row>
                    <xdr:rowOff>114300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FFC000"/>
  </sheetPr>
  <dimension ref="A1:AM41"/>
  <sheetViews>
    <sheetView showGridLines="0" showRowColHeaders="0" topLeftCell="L1" zoomScaleNormal="100" zoomScaleSheetLayoutView="100" workbookViewId="0">
      <selection activeCell="P3" sqref="P3:S3"/>
    </sheetView>
  </sheetViews>
  <sheetFormatPr defaultRowHeight="16.5"/>
  <cols>
    <col min="1" max="1" width="3.625" style="231" hidden="1" customWidth="1"/>
    <col min="2" max="2" width="26.625" style="231" hidden="1" customWidth="1"/>
    <col min="3" max="3" width="12.625" style="231" hidden="1" customWidth="1"/>
    <col min="4" max="4" width="38.375" style="231" hidden="1" customWidth="1"/>
    <col min="5" max="6" width="3.625" style="231" hidden="1" customWidth="1"/>
    <col min="7" max="7" width="15.375" style="231" hidden="1" customWidth="1"/>
    <col min="8" max="8" width="11.875" style="231" hidden="1" customWidth="1"/>
    <col min="9" max="9" width="37.25" style="231" hidden="1" customWidth="1"/>
    <col min="10" max="11" width="3.625" style="231" hidden="1" customWidth="1"/>
    <col min="12" max="12" width="3.375" style="207" customWidth="1"/>
    <col min="13" max="38" width="3.75" style="207" customWidth="1"/>
    <col min="39" max="16384" width="9" style="207"/>
  </cols>
  <sheetData>
    <row r="1" spans="1:39" s="73" customFormat="1" ht="19.5">
      <c r="A1" s="469"/>
      <c r="B1" s="1739" t="s">
        <v>2219</v>
      </c>
      <c r="C1" s="1739"/>
      <c r="D1" s="1739"/>
      <c r="E1" s="469"/>
      <c r="F1" s="469"/>
      <c r="G1" s="692" t="s">
        <v>2220</v>
      </c>
      <c r="H1" s="692" t="s">
        <v>3165</v>
      </c>
      <c r="I1" s="692"/>
      <c r="J1" s="469"/>
      <c r="K1" s="469"/>
      <c r="L1" s="73" t="s">
        <v>3166</v>
      </c>
    </row>
    <row r="2" spans="1:39" ht="18.75">
      <c r="B2" s="579" t="s">
        <v>2222</v>
      </c>
      <c r="C2" s="579" t="s">
        <v>2223</v>
      </c>
      <c r="D2" s="579" t="s">
        <v>2784</v>
      </c>
      <c r="G2" s="693" t="s">
        <v>1691</v>
      </c>
      <c r="H2" s="693" t="s">
        <v>2225</v>
      </c>
      <c r="I2" s="693" t="s">
        <v>2224</v>
      </c>
    </row>
    <row r="3" spans="1:39">
      <c r="B3" s="76" t="s">
        <v>3167</v>
      </c>
      <c r="C3" s="76"/>
      <c r="D3" s="76" t="s">
        <v>3168</v>
      </c>
      <c r="G3" s="76" t="s">
        <v>3169</v>
      </c>
      <c r="H3" s="490"/>
      <c r="I3" s="76" t="s">
        <v>3170</v>
      </c>
      <c r="O3" s="210" t="s">
        <v>2785</v>
      </c>
      <c r="P3" s="1689"/>
      <c r="Q3" s="1783"/>
      <c r="R3" s="1783"/>
      <c r="S3" s="1784"/>
      <c r="W3" s="208" t="s">
        <v>2792</v>
      </c>
      <c r="X3" s="1714" t="s">
        <v>3547</v>
      </c>
      <c r="Y3" s="1716"/>
      <c r="AM3" s="208"/>
    </row>
    <row r="4" spans="1:39">
      <c r="B4" s="76" t="s">
        <v>2786</v>
      </c>
      <c r="C4" s="76"/>
      <c r="D4" s="76" t="s">
        <v>3172</v>
      </c>
      <c r="G4" s="76" t="s">
        <v>163</v>
      </c>
      <c r="H4" s="490">
        <v>1</v>
      </c>
      <c r="I4" s="76" t="s">
        <v>3173</v>
      </c>
      <c r="AM4" s="208"/>
    </row>
    <row r="5" spans="1:39">
      <c r="B5" s="76" t="s">
        <v>338</v>
      </c>
      <c r="C5" s="76"/>
      <c r="D5" s="76" t="s">
        <v>3174</v>
      </c>
      <c r="G5" s="76" t="s">
        <v>3175</v>
      </c>
      <c r="H5" s="32" t="b">
        <v>0</v>
      </c>
      <c r="I5" s="76" t="s">
        <v>3176</v>
      </c>
      <c r="O5" s="208" t="s">
        <v>82</v>
      </c>
      <c r="P5" s="1711"/>
      <c r="Q5" s="1712"/>
      <c r="R5" s="1712"/>
      <c r="S5" s="1713"/>
      <c r="AB5" s="208" t="s">
        <v>4429</v>
      </c>
      <c r="AC5" s="1261"/>
      <c r="AD5" s="1262"/>
      <c r="AE5" s="1262"/>
      <c r="AF5" s="1263"/>
      <c r="AG5" s="833" t="s">
        <v>26</v>
      </c>
      <c r="AH5" s="1261"/>
      <c r="AI5" s="1262"/>
      <c r="AJ5" s="1262"/>
      <c r="AK5" s="1263"/>
      <c r="AM5" s="208"/>
    </row>
    <row r="6" spans="1:39">
      <c r="B6" s="76" t="s">
        <v>78</v>
      </c>
      <c r="C6" s="76"/>
      <c r="D6" s="76" t="s">
        <v>3177</v>
      </c>
      <c r="G6" s="76" t="s">
        <v>2232</v>
      </c>
      <c r="H6" s="490"/>
      <c r="I6" s="76" t="s">
        <v>3178</v>
      </c>
      <c r="O6" s="208" t="s">
        <v>2038</v>
      </c>
      <c r="P6" s="204"/>
      <c r="AB6" s="208" t="s">
        <v>4430</v>
      </c>
      <c r="AC6" s="1261"/>
      <c r="AD6" s="1262"/>
      <c r="AE6" s="1262"/>
      <c r="AF6" s="1263"/>
      <c r="AG6" s="833" t="s">
        <v>26</v>
      </c>
      <c r="AH6" s="1261"/>
      <c r="AI6" s="1262"/>
      <c r="AJ6" s="1262"/>
      <c r="AK6" s="1263"/>
      <c r="AM6" s="208"/>
    </row>
    <row r="7" spans="1:39">
      <c r="B7" s="76" t="s">
        <v>3179</v>
      </c>
      <c r="C7" s="76"/>
      <c r="D7" s="76" t="s">
        <v>3180</v>
      </c>
      <c r="G7" s="76" t="s">
        <v>3583</v>
      </c>
      <c r="H7" s="959"/>
      <c r="I7" s="76" t="s">
        <v>3587</v>
      </c>
      <c r="O7" s="208" t="s">
        <v>2234</v>
      </c>
      <c r="P7" s="1723"/>
      <c r="Q7" s="1803"/>
      <c r="R7" s="1803"/>
      <c r="S7" s="1804"/>
      <c r="AB7" s="208" t="s">
        <v>4431</v>
      </c>
      <c r="AC7" s="1261"/>
      <c r="AD7" s="1262"/>
      <c r="AE7" s="1262"/>
      <c r="AF7" s="1263"/>
      <c r="AG7" s="833" t="s">
        <v>26</v>
      </c>
      <c r="AH7" s="1261"/>
      <c r="AI7" s="1262"/>
      <c r="AJ7" s="1262"/>
      <c r="AK7" s="1263"/>
      <c r="AM7" s="208"/>
    </row>
    <row r="8" spans="1:39">
      <c r="B8" s="76" t="s">
        <v>2851</v>
      </c>
      <c r="C8" s="76"/>
      <c r="D8" s="76" t="s">
        <v>3181</v>
      </c>
      <c r="G8" s="76" t="s">
        <v>4</v>
      </c>
      <c r="H8" s="490"/>
      <c r="I8" s="76" t="s">
        <v>3182</v>
      </c>
      <c r="O8" s="208" t="s">
        <v>4451</v>
      </c>
      <c r="P8" s="1290"/>
      <c r="Q8" s="1746"/>
      <c r="R8" s="1746"/>
      <c r="S8" s="1746"/>
      <c r="T8" s="1748" t="str">
        <f>IFERROR(IF(UNJC0210_H_BUNSEKI_HOHO="","",INDEX(UNJC_BUNSEKI_HOHO_IF_LIST,MATCH(UNJC0210_H_BUNSEKI_HOHO,UNJC_BUNSEKI_HOHO_IF_LIST2,0),2)),"")</f>
        <v/>
      </c>
      <c r="U8" s="1749"/>
      <c r="V8" s="1749"/>
      <c r="W8" s="1750"/>
      <c r="AB8" s="208" t="s">
        <v>4432</v>
      </c>
      <c r="AC8" s="1261"/>
      <c r="AD8" s="1262"/>
      <c r="AE8" s="1262"/>
      <c r="AF8" s="1263"/>
      <c r="AG8" s="833" t="s">
        <v>26</v>
      </c>
      <c r="AH8" s="1261"/>
      <c r="AI8" s="1262"/>
      <c r="AJ8" s="1262"/>
      <c r="AK8" s="1263"/>
    </row>
    <row r="9" spans="1:39">
      <c r="B9" s="76" t="s">
        <v>3183</v>
      </c>
      <c r="C9" s="76"/>
      <c r="D9" s="76" t="s">
        <v>3184</v>
      </c>
      <c r="G9" s="76" t="s">
        <v>2813</v>
      </c>
      <c r="H9" s="490"/>
      <c r="I9" s="76" t="s">
        <v>3185</v>
      </c>
      <c r="O9" s="208" t="s">
        <v>792</v>
      </c>
      <c r="P9" s="1338"/>
      <c r="Q9" s="1339"/>
      <c r="R9" s="1339"/>
      <c r="S9" s="1339"/>
      <c r="T9" s="1339"/>
      <c r="U9" s="1339"/>
      <c r="V9" s="1339"/>
      <c r="W9" s="1340"/>
      <c r="AB9" s="208" t="s">
        <v>4433</v>
      </c>
      <c r="AC9" s="1261"/>
      <c r="AD9" s="1262"/>
      <c r="AE9" s="1262"/>
      <c r="AF9" s="1263"/>
      <c r="AG9" s="833" t="s">
        <v>26</v>
      </c>
      <c r="AH9" s="1261"/>
      <c r="AI9" s="1262"/>
      <c r="AJ9" s="1262"/>
      <c r="AK9" s="1263"/>
    </row>
    <row r="10" spans="1:39">
      <c r="B10" s="76" t="s">
        <v>1115</v>
      </c>
      <c r="C10" s="76"/>
      <c r="D10" s="76" t="s">
        <v>3186</v>
      </c>
      <c r="O10" s="208" t="s">
        <v>793</v>
      </c>
      <c r="P10" s="1390"/>
      <c r="Q10" s="1391"/>
      <c r="R10" s="1391"/>
      <c r="S10" s="1391"/>
      <c r="T10" s="1391"/>
      <c r="U10" s="1391"/>
      <c r="V10" s="1391"/>
      <c r="W10" s="1392"/>
      <c r="AB10" s="208" t="s">
        <v>4434</v>
      </c>
      <c r="AC10" s="1261"/>
      <c r="AD10" s="1262"/>
      <c r="AE10" s="1262"/>
      <c r="AF10" s="1263"/>
      <c r="AG10" s="833" t="s">
        <v>26</v>
      </c>
      <c r="AH10" s="1261"/>
      <c r="AI10" s="1262"/>
      <c r="AJ10" s="1262"/>
      <c r="AK10" s="1263"/>
    </row>
    <row r="11" spans="1:39">
      <c r="B11" s="76" t="s">
        <v>1524</v>
      </c>
      <c r="C11" s="76"/>
      <c r="D11" s="76" t="s">
        <v>3187</v>
      </c>
    </row>
    <row r="12" spans="1:39" ht="18.75">
      <c r="B12" s="76" t="s">
        <v>62</v>
      </c>
      <c r="C12" s="76"/>
      <c r="D12" s="76" t="s">
        <v>3188</v>
      </c>
      <c r="G12" s="692" t="s">
        <v>2220</v>
      </c>
      <c r="H12" s="692" t="s">
        <v>3165</v>
      </c>
      <c r="I12" s="692"/>
      <c r="O12" s="208" t="s">
        <v>2798</v>
      </c>
      <c r="P12" s="1708"/>
      <c r="Q12" s="1805"/>
      <c r="R12" s="1805"/>
      <c r="S12" s="1806"/>
      <c r="AI12" s="833"/>
    </row>
    <row r="13" spans="1:39" ht="18.75">
      <c r="B13" s="76" t="s">
        <v>63</v>
      </c>
      <c r="C13" s="76"/>
      <c r="D13" s="76" t="s">
        <v>3189</v>
      </c>
      <c r="G13" s="693" t="s">
        <v>1691</v>
      </c>
      <c r="H13" s="693" t="s">
        <v>2225</v>
      </c>
      <c r="I13" s="693" t="s">
        <v>2224</v>
      </c>
      <c r="O13" s="208" t="s">
        <v>4435</v>
      </c>
      <c r="P13" s="1261"/>
      <c r="Q13" s="1262"/>
      <c r="R13" s="1262"/>
      <c r="S13" s="1263"/>
      <c r="T13" s="833" t="s">
        <v>26</v>
      </c>
      <c r="U13" s="1261"/>
      <c r="V13" s="1262"/>
      <c r="W13" s="1262"/>
      <c r="X13" s="1263"/>
    </row>
    <row r="14" spans="1:39">
      <c r="B14" s="76" t="s">
        <v>2249</v>
      </c>
      <c r="C14" s="776"/>
      <c r="D14" s="76" t="s">
        <v>3190</v>
      </c>
      <c r="G14" s="76" t="s">
        <v>3191</v>
      </c>
      <c r="H14" s="32">
        <f ca="1">IF(UNJC0210_H_JOTAI_START="","",VLOOKUP(UNJC0210_H_JOTAI_START,OFFSET(UNJC0210_IF_LIST_JOTAI_TENKAIICHI,,,IF(UNJC0210_IF_LIST_JOTAI_KENSU=0,1,UNJC0210_IF_LIST_JOTAI_KENSU),2),2,0))</f>
        <v>2</v>
      </c>
      <c r="I14" s="76" t="s">
        <v>3192</v>
      </c>
    </row>
    <row r="15" spans="1:39">
      <c r="B15" s="76" t="s">
        <v>2251</v>
      </c>
      <c r="C15" s="776"/>
      <c r="D15" s="76" t="s">
        <v>3193</v>
      </c>
      <c r="O15" s="208" t="s">
        <v>2236</v>
      </c>
      <c r="P15" s="1701"/>
      <c r="Q15" s="1702"/>
      <c r="R15" s="1702"/>
      <c r="S15" s="1703"/>
      <c r="T15" s="1394" t="str">
        <f>IF(OR(UNJC0210_H_BUNSEKI_KOMOKU_CD="",UNJC0210_H_BUNSEKI_KOMOKU_MEI=""),"",UNJC0210_H_BUNSEKI_KOMOKU_MEI)</f>
        <v/>
      </c>
      <c r="U15" s="1395"/>
      <c r="V15" s="1395"/>
      <c r="W15" s="1395"/>
      <c r="X15" s="1395"/>
      <c r="Y15" s="1395"/>
      <c r="Z15" s="1395"/>
      <c r="AA15" s="1395"/>
      <c r="AB15" s="1395"/>
      <c r="AC15" s="1395"/>
      <c r="AD15" s="1395"/>
      <c r="AE15" s="1396"/>
    </row>
    <row r="16" spans="1:39">
      <c r="B16" s="76" t="s">
        <v>2253</v>
      </c>
      <c r="C16" s="776"/>
      <c r="D16" s="76" t="s">
        <v>3194</v>
      </c>
      <c r="O16" s="208" t="s">
        <v>787</v>
      </c>
      <c r="P16" s="1701"/>
      <c r="Q16" s="1702"/>
      <c r="R16" s="1702"/>
      <c r="S16" s="1703"/>
      <c r="T16" s="1695"/>
      <c r="U16" s="1696"/>
      <c r="V16" s="1696"/>
      <c r="W16" s="1696"/>
      <c r="X16" s="1696"/>
      <c r="Y16" s="1696"/>
      <c r="Z16" s="1696"/>
      <c r="AA16" s="1696"/>
      <c r="AB16" s="1696"/>
      <c r="AC16" s="1696"/>
      <c r="AD16" s="1696"/>
      <c r="AE16" s="1697"/>
      <c r="AH16" s="208"/>
    </row>
    <row r="17" spans="2:31" ht="18.75">
      <c r="B17" s="76" t="s">
        <v>3195</v>
      </c>
      <c r="C17" s="776"/>
      <c r="D17" s="76" t="s">
        <v>3196</v>
      </c>
      <c r="G17" s="694" t="s">
        <v>3197</v>
      </c>
      <c r="H17" s="694"/>
      <c r="I17" s="694" t="s">
        <v>3198</v>
      </c>
      <c r="O17" s="208" t="s">
        <v>68</v>
      </c>
      <c r="P17" s="1701"/>
      <c r="Q17" s="1702"/>
      <c r="R17" s="1702"/>
      <c r="S17" s="1703"/>
      <c r="T17" s="1394" t="str">
        <f>IF(OR(UNJC0210_H_SEIKYU_CD="",UNJC0210_H_SEIKYU_MEI=""),"",UNJC0210_H_SEIKYU_MEI)</f>
        <v/>
      </c>
      <c r="U17" s="1395"/>
      <c r="V17" s="1395"/>
      <c r="W17" s="1395"/>
      <c r="X17" s="1395"/>
      <c r="Y17" s="1395"/>
      <c r="Z17" s="1395"/>
      <c r="AA17" s="1395"/>
      <c r="AB17" s="1395"/>
      <c r="AC17" s="1395"/>
      <c r="AD17" s="1395"/>
      <c r="AE17" s="1396"/>
    </row>
    <row r="18" spans="2:31" ht="18.75">
      <c r="B18" s="76" t="s">
        <v>2808</v>
      </c>
      <c r="C18" s="776"/>
      <c r="D18" s="76" t="s">
        <v>3199</v>
      </c>
      <c r="G18" s="694" t="s">
        <v>2257</v>
      </c>
      <c r="H18" s="694" t="str">
        <f>ADDRESS(ROW(A1),COLUMN(A1))&amp;":"&amp;ADDRESS(ROW(K1),COLUMN(K1))</f>
        <v>$A$1:$K$1</v>
      </c>
      <c r="I18" s="694" t="s">
        <v>3200</v>
      </c>
    </row>
    <row r="19" spans="2:31">
      <c r="B19" s="76" t="s">
        <v>3201</v>
      </c>
      <c r="C19" s="776"/>
      <c r="D19" s="76" t="s">
        <v>3202</v>
      </c>
      <c r="O19" s="208" t="s">
        <v>39</v>
      </c>
      <c r="P19" s="1695"/>
      <c r="Q19" s="1696"/>
      <c r="R19" s="1696"/>
      <c r="S19" s="1697"/>
      <c r="T19" s="77" t="str">
        <f>IF(UNJC0210_H_FREEWD_KBN=1,"AND",IF(UNJC0210_H_FREEWD_KBN=2,"OR","NAND"))</f>
        <v>AND</v>
      </c>
      <c r="U19" s="1695"/>
      <c r="V19" s="1696"/>
      <c r="W19" s="1696"/>
      <c r="X19" s="1697"/>
      <c r="Y19" s="77" t="str">
        <f>IF(UNJC0210_H_FREEWD_KBN=1,"AND",IF(UNJC0210_H_FREEWD_KBN=2,"OR","NAND"))</f>
        <v>AND</v>
      </c>
      <c r="Z19" s="1695"/>
      <c r="AA19" s="1696"/>
      <c r="AB19" s="1696"/>
      <c r="AC19" s="1697"/>
    </row>
    <row r="20" spans="2:31">
      <c r="B20" s="76" t="s">
        <v>3203</v>
      </c>
      <c r="C20" s="776"/>
      <c r="D20" s="76" t="s">
        <v>3204</v>
      </c>
    </row>
    <row r="21" spans="2:31">
      <c r="B21" s="76" t="s">
        <v>3205</v>
      </c>
      <c r="C21" s="776"/>
      <c r="D21" s="76" t="s">
        <v>3206</v>
      </c>
    </row>
    <row r="22" spans="2:31">
      <c r="B22" s="76" t="s">
        <v>2263</v>
      </c>
      <c r="C22" s="776"/>
      <c r="D22" s="76" t="s">
        <v>3207</v>
      </c>
    </row>
    <row r="23" spans="2:31">
      <c r="B23" s="76" t="s">
        <v>3208</v>
      </c>
      <c r="C23" s="776"/>
      <c r="D23" s="76" t="s">
        <v>3209</v>
      </c>
    </row>
    <row r="24" spans="2:31">
      <c r="B24" s="76" t="s">
        <v>2267</v>
      </c>
      <c r="C24" s="776"/>
      <c r="D24" s="76" t="s">
        <v>3210</v>
      </c>
    </row>
    <row r="25" spans="2:31">
      <c r="B25" s="76" t="s">
        <v>3211</v>
      </c>
      <c r="C25" s="776"/>
      <c r="D25" s="76" t="s">
        <v>3212</v>
      </c>
    </row>
    <row r="26" spans="2:31">
      <c r="B26" s="76" t="s">
        <v>3213</v>
      </c>
      <c r="C26" s="76"/>
      <c r="D26" s="76" t="s">
        <v>3214</v>
      </c>
    </row>
    <row r="27" spans="2:31">
      <c r="B27" s="76" t="s">
        <v>3215</v>
      </c>
      <c r="C27" s="76"/>
      <c r="D27" s="76" t="s">
        <v>3216</v>
      </c>
    </row>
    <row r="28" spans="2:31">
      <c r="B28" s="76" t="s">
        <v>2817</v>
      </c>
      <c r="C28" s="776"/>
      <c r="D28" s="76" t="s">
        <v>3217</v>
      </c>
    </row>
    <row r="29" spans="2:31">
      <c r="B29" s="76" t="s">
        <v>3218</v>
      </c>
      <c r="C29" s="776"/>
      <c r="D29" s="76" t="s">
        <v>3219</v>
      </c>
    </row>
    <row r="30" spans="2:31">
      <c r="B30" s="76" t="s">
        <v>3067</v>
      </c>
      <c r="C30" s="76"/>
      <c r="D30" s="76" t="s">
        <v>3220</v>
      </c>
    </row>
    <row r="31" spans="2:31">
      <c r="B31" s="76" t="s">
        <v>3221</v>
      </c>
      <c r="C31" s="76"/>
      <c r="D31" s="76" t="s">
        <v>3222</v>
      </c>
    </row>
    <row r="32" spans="2:31">
      <c r="B32" s="272" t="s">
        <v>3223</v>
      </c>
      <c r="C32" s="272"/>
      <c r="D32" s="272" t="s">
        <v>3224</v>
      </c>
    </row>
    <row r="33" spans="2:4">
      <c r="B33" s="76" t="s">
        <v>3225</v>
      </c>
      <c r="C33" s="76"/>
      <c r="D33" s="76" t="s">
        <v>3226</v>
      </c>
    </row>
    <row r="34" spans="2:4">
      <c r="B34" s="76" t="s">
        <v>829</v>
      </c>
      <c r="C34" s="76"/>
      <c r="D34" s="76" t="s">
        <v>3227</v>
      </c>
    </row>
    <row r="35" spans="2:4">
      <c r="B35" s="76" t="s">
        <v>1829</v>
      </c>
      <c r="C35" s="76"/>
      <c r="D35" s="76" t="s">
        <v>3228</v>
      </c>
    </row>
    <row r="36" spans="2:4">
      <c r="B36" s="76" t="s">
        <v>3229</v>
      </c>
      <c r="C36" s="76"/>
      <c r="D36" s="76" t="s">
        <v>3230</v>
      </c>
    </row>
    <row r="37" spans="2:4">
      <c r="B37" s="76" t="s">
        <v>2823</v>
      </c>
      <c r="C37" s="76"/>
      <c r="D37" s="76" t="s">
        <v>3231</v>
      </c>
    </row>
    <row r="38" spans="2:4">
      <c r="B38" s="76" t="s">
        <v>3073</v>
      </c>
      <c r="C38" s="76"/>
      <c r="D38" s="76" t="s">
        <v>3232</v>
      </c>
    </row>
    <row r="39" spans="2:4">
      <c r="B39" s="76" t="s">
        <v>2284</v>
      </c>
      <c r="C39" s="76"/>
      <c r="D39" s="76" t="s">
        <v>3233</v>
      </c>
    </row>
    <row r="40" spans="2:4">
      <c r="B40" s="76" t="s">
        <v>3234</v>
      </c>
      <c r="C40" s="76"/>
      <c r="D40" s="76" t="s">
        <v>3235</v>
      </c>
    </row>
    <row r="41" spans="2:4">
      <c r="B41" s="76" t="s">
        <v>3236</v>
      </c>
      <c r="C41" s="76"/>
      <c r="D41" s="76" t="s">
        <v>3237</v>
      </c>
    </row>
  </sheetData>
  <sheetProtection sheet="1" objects="1" scenarios="1" selectLockedCells="1"/>
  <mergeCells count="33">
    <mergeCell ref="P17:S17"/>
    <mergeCell ref="T17:AE17"/>
    <mergeCell ref="P19:S19"/>
    <mergeCell ref="U19:X19"/>
    <mergeCell ref="Z19:AC19"/>
    <mergeCell ref="P12:S12"/>
    <mergeCell ref="P13:S13"/>
    <mergeCell ref="U13:X13"/>
    <mergeCell ref="P16:S16"/>
    <mergeCell ref="T16:AE16"/>
    <mergeCell ref="P15:S15"/>
    <mergeCell ref="T15:AE15"/>
    <mergeCell ref="AC8:AF8"/>
    <mergeCell ref="AH8:AK8"/>
    <mergeCell ref="P10:W10"/>
    <mergeCell ref="P8:S8"/>
    <mergeCell ref="T8:W8"/>
    <mergeCell ref="AC9:AF9"/>
    <mergeCell ref="AH9:AK9"/>
    <mergeCell ref="P9:W9"/>
    <mergeCell ref="AC10:AF10"/>
    <mergeCell ref="AH10:AK10"/>
    <mergeCell ref="B1:D1"/>
    <mergeCell ref="P3:S3"/>
    <mergeCell ref="X3:Y3"/>
    <mergeCell ref="P5:S5"/>
    <mergeCell ref="AC5:AF5"/>
    <mergeCell ref="AH5:AK5"/>
    <mergeCell ref="AC6:AF6"/>
    <mergeCell ref="AH6:AK6"/>
    <mergeCell ref="P7:S7"/>
    <mergeCell ref="AC7:AF7"/>
    <mergeCell ref="AH7:AK7"/>
  </mergeCells>
  <phoneticPr fontId="2"/>
  <dataValidations count="3">
    <dataValidation type="list" allowBlank="1" showInputMessage="1" showErrorMessage="1" sqref="X3:Y3">
      <formula1>UNJC0210_IF_LIST_JOTAI</formula1>
    </dataValidation>
    <dataValidation type="date" allowBlank="1" showInputMessage="1" showErrorMessage="1" sqref="AC5:AF5 AC6:AF6 AC7:AF7 AC8:AF8 AC9:AF9 AC10:AF10 AH10:AK10 AH9:AK9 AH8:AK8 AH7:AK7 AH6:AK6 AH5:AK5 P13:S13 U13:X13">
      <formula1>36526</formula1>
      <formula2>73415</formula2>
    </dataValidation>
    <dataValidation type="custom" allowBlank="1" showInputMessage="1" showErrorMessage="1" sqref="P8:S8">
      <formula1>AND(LEN(P8)=LENB(P8),LEN(P8)&lt;=9)</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03297" r:id="rId4" name="UNJC0190_H_FREEWD_AND">
              <controlPr defaultSize="0" autoFill="0" autoLine="0" autoPict="0">
                <anchor moveWithCells="1">
                  <from>
                    <xdr:col>29</xdr:col>
                    <xdr:colOff>66675</xdr:colOff>
                    <xdr:row>17</xdr:row>
                    <xdr:rowOff>190500</xdr:rowOff>
                  </from>
                  <to>
                    <xdr:col>31</xdr:col>
                    <xdr:colOff>9525</xdr:colOff>
                    <xdr:row>18</xdr:row>
                    <xdr:rowOff>200025</xdr:rowOff>
                  </to>
                </anchor>
              </controlPr>
            </control>
          </mc:Choice>
        </mc:AlternateContent>
        <mc:AlternateContent xmlns:mc="http://schemas.openxmlformats.org/markup-compatibility/2006">
          <mc:Choice Requires="x14">
            <control shapeId="2103298" r:id="rId5" name="UNJC0190_H_FREEWD_OR">
              <controlPr defaultSize="0" autoFill="0" autoLine="0" autoPict="0">
                <anchor moveWithCells="1">
                  <from>
                    <xdr:col>30</xdr:col>
                    <xdr:colOff>276225</xdr:colOff>
                    <xdr:row>17</xdr:row>
                    <xdr:rowOff>190500</xdr:rowOff>
                  </from>
                  <to>
                    <xdr:col>32</xdr:col>
                    <xdr:colOff>152400</xdr:colOff>
                    <xdr:row>18</xdr:row>
                    <xdr:rowOff>200025</xdr:rowOff>
                  </to>
                </anchor>
              </controlPr>
            </control>
          </mc:Choice>
        </mc:AlternateContent>
        <mc:AlternateContent xmlns:mc="http://schemas.openxmlformats.org/markup-compatibility/2006">
          <mc:Choice Requires="x14">
            <control shapeId="2103299" r:id="rId6" name="UNJC0190_H_FREEWD_NAND">
              <controlPr defaultSize="0" autoFill="0" autoLine="0" autoPict="0">
                <anchor moveWithCells="1">
                  <from>
                    <xdr:col>32</xdr:col>
                    <xdr:colOff>133350</xdr:colOff>
                    <xdr:row>17</xdr:row>
                    <xdr:rowOff>190500</xdr:rowOff>
                  </from>
                  <to>
                    <xdr:col>34</xdr:col>
                    <xdr:colOff>123825</xdr:colOff>
                    <xdr:row>18</xdr:row>
                    <xdr:rowOff>200025</xdr:rowOff>
                  </to>
                </anchor>
              </controlPr>
            </control>
          </mc:Choice>
        </mc:AlternateContent>
        <mc:AlternateContent xmlns:mc="http://schemas.openxmlformats.org/markup-compatibility/2006">
          <mc:Choice Requires="x14">
            <control shapeId="2103300" r:id="rId7" name="Check Box 4">
              <controlPr defaultSize="0" autoFill="0" autoLine="0" autoPict="0">
                <anchor moveWithCells="1">
                  <from>
                    <xdr:col>27</xdr:col>
                    <xdr:colOff>190500</xdr:colOff>
                    <xdr:row>1</xdr:row>
                    <xdr:rowOff>190500</xdr:rowOff>
                  </from>
                  <to>
                    <xdr:col>30</xdr:col>
                    <xdr:colOff>266700</xdr:colOff>
                    <xdr:row>3</xdr:row>
                    <xdr:rowOff>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FFC000"/>
  </sheetPr>
  <dimension ref="A1:AE47"/>
  <sheetViews>
    <sheetView showGridLines="0" showRowColHeaders="0" topLeftCell="G21" zoomScaleNormal="100" workbookViewId="0">
      <selection sqref="A1:F1 I23:L23"/>
    </sheetView>
  </sheetViews>
  <sheetFormatPr defaultRowHeight="16.5"/>
  <cols>
    <col min="1" max="1" width="3.625" style="231" hidden="1" customWidth="1"/>
    <col min="2" max="2" width="18.625" style="231" hidden="1" customWidth="1"/>
    <col min="3" max="3" width="26.375" style="231" hidden="1" customWidth="1"/>
    <col min="4" max="4" width="37" style="231" hidden="1" customWidth="1"/>
    <col min="5" max="5" width="3.875" style="231" hidden="1" customWidth="1"/>
    <col min="6" max="6" width="3.625" style="817" hidden="1" customWidth="1"/>
    <col min="7" max="7" width="3.375" style="207" customWidth="1"/>
    <col min="8" max="8" width="3.375" style="927" customWidth="1"/>
    <col min="9" max="12" width="7.75" style="927" hidden="1" customWidth="1"/>
    <col min="13" max="13" width="3.375" style="927" customWidth="1"/>
    <col min="14" max="14" width="9.625" style="927" bestFit="1" customWidth="1"/>
    <col min="15" max="15" width="9.625" style="927" customWidth="1"/>
    <col min="16" max="16" width="11.25" style="927" customWidth="1"/>
    <col min="17" max="17" width="12.625" style="927" customWidth="1"/>
    <col min="18" max="18" width="12.5" style="927" bestFit="1" customWidth="1"/>
    <col min="19" max="19" width="14.125" style="927" customWidth="1"/>
    <col min="20" max="20" width="6.125" style="927" customWidth="1"/>
    <col min="21" max="21" width="15.375" style="927" customWidth="1"/>
    <col min="22" max="23" width="22.5" style="927" customWidth="1"/>
    <col min="24" max="24" width="20" style="927" customWidth="1"/>
    <col min="25" max="25" width="21.25" style="927" customWidth="1"/>
    <col min="26" max="26" width="21.125" style="927" customWidth="1"/>
    <col min="27" max="27" width="18.75" style="927" customWidth="1"/>
    <col min="28" max="28" width="7.75" style="927" customWidth="1"/>
    <col min="29" max="29" width="10.875" style="927" customWidth="1"/>
    <col min="30" max="30" width="14.25" style="927" customWidth="1"/>
    <col min="31" max="31" width="66.625" style="927" customWidth="1"/>
    <col min="32" max="32" width="3.375" style="915" customWidth="1"/>
    <col min="33" max="33" width="9.25" style="915" customWidth="1"/>
    <col min="34" max="16384" width="9" style="915"/>
  </cols>
  <sheetData>
    <row r="1" spans="1:6" s="207" customFormat="1" ht="6" hidden="1" customHeight="1">
      <c r="A1" s="231"/>
      <c r="B1" s="231"/>
      <c r="C1" s="231"/>
      <c r="D1" s="231"/>
      <c r="E1" s="231"/>
      <c r="F1" s="817"/>
    </row>
    <row r="2" spans="1:6" s="207" customFormat="1" ht="6" hidden="1" customHeight="1">
      <c r="A2" s="231"/>
      <c r="B2" s="231"/>
      <c r="C2" s="231"/>
      <c r="D2" s="231"/>
      <c r="E2" s="231"/>
      <c r="F2" s="817"/>
    </row>
    <row r="3" spans="1:6" s="207" customFormat="1" ht="6" hidden="1" customHeight="1">
      <c r="A3" s="231"/>
      <c r="B3" s="231"/>
      <c r="C3" s="231"/>
      <c r="D3" s="231"/>
      <c r="E3" s="231"/>
      <c r="F3" s="817"/>
    </row>
    <row r="4" spans="1:6" s="207" customFormat="1" ht="6" hidden="1" customHeight="1">
      <c r="A4" s="231"/>
      <c r="B4" s="231"/>
      <c r="C4" s="231"/>
      <c r="D4" s="231"/>
      <c r="E4" s="231"/>
      <c r="F4" s="817"/>
    </row>
    <row r="5" spans="1:6" s="207" customFormat="1" ht="6" hidden="1" customHeight="1">
      <c r="A5" s="231"/>
      <c r="B5" s="231"/>
      <c r="C5" s="231"/>
      <c r="D5" s="231"/>
      <c r="E5" s="231"/>
      <c r="F5" s="817"/>
    </row>
    <row r="6" spans="1:6" s="207" customFormat="1" ht="6" hidden="1" customHeight="1">
      <c r="A6" s="231"/>
      <c r="B6" s="231"/>
      <c r="C6" s="231"/>
      <c r="D6" s="231"/>
      <c r="E6" s="231"/>
      <c r="F6" s="817"/>
    </row>
    <row r="7" spans="1:6" s="207" customFormat="1" ht="6" hidden="1" customHeight="1">
      <c r="A7" s="231"/>
      <c r="B7" s="231"/>
      <c r="C7" s="231"/>
      <c r="D7" s="231"/>
      <c r="E7" s="231"/>
      <c r="F7" s="817"/>
    </row>
    <row r="8" spans="1:6" s="207" customFormat="1" ht="6" hidden="1" customHeight="1">
      <c r="A8" s="231"/>
      <c r="B8" s="231"/>
      <c r="C8" s="231"/>
      <c r="D8" s="231"/>
      <c r="E8" s="231"/>
      <c r="F8" s="817"/>
    </row>
    <row r="9" spans="1:6" s="207" customFormat="1" ht="6" hidden="1" customHeight="1">
      <c r="A9" s="231"/>
      <c r="B9" s="231"/>
      <c r="C9" s="231"/>
      <c r="D9" s="231"/>
      <c r="E9" s="231"/>
      <c r="F9" s="817"/>
    </row>
    <row r="10" spans="1:6" s="207" customFormat="1" ht="6" hidden="1" customHeight="1">
      <c r="A10" s="231"/>
      <c r="B10" s="231"/>
      <c r="C10" s="231"/>
      <c r="D10" s="231"/>
      <c r="E10" s="231"/>
      <c r="F10" s="817"/>
    </row>
    <row r="11" spans="1:6" s="207" customFormat="1" ht="6" hidden="1" customHeight="1">
      <c r="A11" s="231"/>
      <c r="B11" s="231"/>
      <c r="C11" s="231"/>
      <c r="D11" s="231"/>
      <c r="E11" s="231"/>
      <c r="F11" s="817"/>
    </row>
    <row r="12" spans="1:6" s="207" customFormat="1" ht="6" hidden="1" customHeight="1">
      <c r="A12" s="231"/>
      <c r="B12" s="231"/>
      <c r="C12" s="231"/>
      <c r="D12" s="231"/>
      <c r="E12" s="231"/>
      <c r="F12" s="817"/>
    </row>
    <row r="13" spans="1:6" s="207" customFormat="1" ht="6" hidden="1" customHeight="1">
      <c r="A13" s="231"/>
      <c r="B13" s="231"/>
      <c r="C13" s="231"/>
      <c r="D13" s="231"/>
      <c r="E13" s="231"/>
      <c r="F13" s="817"/>
    </row>
    <row r="14" spans="1:6" s="207" customFormat="1" ht="6" hidden="1" customHeight="1">
      <c r="A14" s="231"/>
      <c r="B14" s="231"/>
      <c r="C14" s="231"/>
      <c r="D14" s="231"/>
      <c r="E14" s="231"/>
      <c r="F14" s="817"/>
    </row>
    <row r="15" spans="1:6" s="207" customFormat="1" ht="6" hidden="1" customHeight="1">
      <c r="A15" s="231"/>
      <c r="B15" s="231"/>
      <c r="C15" s="231"/>
      <c r="D15" s="231"/>
      <c r="E15" s="231"/>
      <c r="F15" s="817"/>
    </row>
    <row r="16" spans="1:6" s="207" customFormat="1" ht="6" hidden="1" customHeight="1">
      <c r="A16" s="231"/>
      <c r="B16" s="231"/>
      <c r="C16" s="231"/>
      <c r="D16" s="231"/>
      <c r="E16" s="231"/>
      <c r="F16" s="817"/>
    </row>
    <row r="17" spans="1:31" s="207" customFormat="1" ht="6" hidden="1" customHeight="1">
      <c r="A17" s="231"/>
      <c r="B17" s="231"/>
      <c r="C17" s="231"/>
      <c r="D17" s="231"/>
      <c r="E17" s="231"/>
      <c r="F17" s="817"/>
    </row>
    <row r="18" spans="1:31" s="207" customFormat="1" ht="6" hidden="1" customHeight="1">
      <c r="A18" s="231"/>
      <c r="B18" s="231"/>
      <c r="C18" s="231"/>
      <c r="D18" s="231"/>
      <c r="E18" s="231"/>
      <c r="F18" s="817"/>
    </row>
    <row r="19" spans="1:31" s="207" customFormat="1" ht="6" hidden="1" customHeight="1">
      <c r="A19" s="231"/>
      <c r="B19" s="231"/>
      <c r="C19" s="231"/>
      <c r="D19" s="231"/>
      <c r="E19" s="231"/>
      <c r="F19" s="817"/>
    </row>
    <row r="20" spans="1:31" s="207" customFormat="1" ht="6" hidden="1" customHeight="1">
      <c r="A20" s="231"/>
      <c r="B20" s="231"/>
      <c r="C20" s="231"/>
      <c r="D20" s="231"/>
      <c r="E20" s="231"/>
      <c r="F20" s="817"/>
      <c r="N20" s="208"/>
      <c r="O20" s="208"/>
      <c r="P20" s="208"/>
      <c r="Q20" s="208"/>
      <c r="R20" s="208"/>
      <c r="U20" s="208"/>
      <c r="V20" s="208"/>
      <c r="W20" s="208"/>
      <c r="X20" s="208"/>
      <c r="Y20" s="208"/>
      <c r="Z20" s="208"/>
      <c r="AA20" s="208"/>
      <c r="AB20" s="208"/>
      <c r="AC20" s="208"/>
      <c r="AD20" s="208"/>
      <c r="AE20" s="208"/>
    </row>
    <row r="21" spans="1:31" s="207" customFormat="1">
      <c r="A21" s="231"/>
      <c r="B21" s="231"/>
      <c r="C21" s="231"/>
      <c r="D21" s="231"/>
      <c r="E21" s="231"/>
      <c r="F21" s="817"/>
      <c r="G21" s="207" t="str">
        <f>"("&amp;UNJC0210_B_PAGE_NO&amp;"/"&amp;UNJC0210_B_ALL_PAGE_NUM&amp;")"</f>
        <v>(1/1)</v>
      </c>
      <c r="N21" s="208"/>
      <c r="O21" s="208"/>
      <c r="P21" s="208"/>
      <c r="Q21" s="208"/>
      <c r="R21" s="208"/>
      <c r="U21" s="208"/>
      <c r="V21" s="208"/>
      <c r="W21" s="208"/>
      <c r="X21" s="208"/>
      <c r="Y21" s="208"/>
      <c r="Z21" s="208"/>
      <c r="AA21" s="208"/>
      <c r="AB21" s="208"/>
      <c r="AC21" s="208"/>
      <c r="AD21" s="208"/>
      <c r="AE21" s="208"/>
    </row>
    <row r="22" spans="1:31" s="207" customFormat="1" ht="9" hidden="1" customHeight="1">
      <c r="A22" s="231"/>
      <c r="B22" s="231"/>
      <c r="C22" s="231"/>
      <c r="D22" s="231"/>
      <c r="E22" s="231"/>
      <c r="F22" s="817"/>
      <c r="I22" s="833" t="s">
        <v>2287</v>
      </c>
      <c r="J22" s="833" t="s">
        <v>3238</v>
      </c>
      <c r="K22" s="833" t="s">
        <v>3239</v>
      </c>
      <c r="L22" s="833" t="s">
        <v>3240</v>
      </c>
      <c r="M22" s="833" t="s">
        <v>3241</v>
      </c>
      <c r="N22" s="833" t="s">
        <v>2296</v>
      </c>
      <c r="O22" s="833" t="s">
        <v>2297</v>
      </c>
      <c r="P22" s="833" t="s">
        <v>2298</v>
      </c>
      <c r="Q22" s="833" t="s">
        <v>2299</v>
      </c>
      <c r="R22" s="833" t="s">
        <v>2300</v>
      </c>
      <c r="S22" s="833" t="s">
        <v>2301</v>
      </c>
      <c r="T22" s="833" t="s">
        <v>2302</v>
      </c>
      <c r="U22" s="833" t="s">
        <v>2303</v>
      </c>
      <c r="V22" s="833" t="s">
        <v>2304</v>
      </c>
      <c r="W22" s="833" t="s">
        <v>2305</v>
      </c>
      <c r="X22" s="833" t="s">
        <v>2306</v>
      </c>
      <c r="Y22" s="833" t="s">
        <v>2308</v>
      </c>
      <c r="Z22" s="833" t="s">
        <v>2309</v>
      </c>
      <c r="AA22" s="833" t="s">
        <v>3242</v>
      </c>
      <c r="AB22" s="833" t="s">
        <v>2899</v>
      </c>
      <c r="AC22" s="833" t="s">
        <v>2901</v>
      </c>
      <c r="AD22" s="833" t="s">
        <v>2902</v>
      </c>
      <c r="AE22" s="833" t="s">
        <v>3243</v>
      </c>
    </row>
    <row r="23" spans="1:31">
      <c r="G23" s="114"/>
      <c r="H23" s="926" t="s">
        <v>0</v>
      </c>
      <c r="I23" s="933" t="s">
        <v>3244</v>
      </c>
      <c r="J23" s="933" t="s">
        <v>1122</v>
      </c>
      <c r="K23" s="933" t="s">
        <v>1123</v>
      </c>
      <c r="L23" s="933" t="s">
        <v>3245</v>
      </c>
      <c r="M23" s="926" t="s">
        <v>3246</v>
      </c>
      <c r="N23" s="926" t="s">
        <v>2416</v>
      </c>
      <c r="O23" s="926" t="s">
        <v>2417</v>
      </c>
      <c r="P23" s="926" t="s">
        <v>920</v>
      </c>
      <c r="Q23" s="926" t="s">
        <v>827</v>
      </c>
      <c r="R23" s="934" t="s">
        <v>29</v>
      </c>
      <c r="S23" s="926" t="s">
        <v>28</v>
      </c>
      <c r="T23" s="926" t="s">
        <v>78</v>
      </c>
      <c r="U23" s="926" t="s">
        <v>2851</v>
      </c>
      <c r="V23" s="926" t="s">
        <v>829</v>
      </c>
      <c r="W23" s="926" t="s">
        <v>4</v>
      </c>
      <c r="X23" s="926" t="s">
        <v>1524</v>
      </c>
      <c r="Y23" s="926" t="s">
        <v>62</v>
      </c>
      <c r="Z23" s="926" t="s">
        <v>63</v>
      </c>
      <c r="AA23" s="935" t="s">
        <v>1115</v>
      </c>
      <c r="AB23" s="935" t="s">
        <v>1679</v>
      </c>
      <c r="AC23" s="936" t="s">
        <v>2908</v>
      </c>
      <c r="AD23" s="936" t="s">
        <v>3215</v>
      </c>
      <c r="AE23" s="926" t="s">
        <v>1</v>
      </c>
    </row>
    <row r="24" spans="1:31">
      <c r="B24" s="231" t="s">
        <v>3247</v>
      </c>
    </row>
    <row r="25" spans="1:31">
      <c r="B25" s="835" t="s">
        <v>3248</v>
      </c>
      <c r="C25" s="76">
        <v>50</v>
      </c>
      <c r="D25" s="76" t="s">
        <v>3249</v>
      </c>
    </row>
    <row r="26" spans="1:31">
      <c r="B26" s="835" t="s">
        <v>3250</v>
      </c>
      <c r="C26" s="76">
        <v>10</v>
      </c>
      <c r="D26" s="76" t="s">
        <v>3251</v>
      </c>
      <c r="E26" s="231" t="s">
        <v>3252</v>
      </c>
    </row>
    <row r="27" spans="1:31">
      <c r="B27" s="835" t="s">
        <v>3253</v>
      </c>
      <c r="C27" s="76">
        <v>1</v>
      </c>
      <c r="D27" s="76" t="s">
        <v>3254</v>
      </c>
    </row>
    <row r="28" spans="1:31">
      <c r="B28" s="835" t="s">
        <v>3255</v>
      </c>
      <c r="C28" s="76">
        <f>IF(OR(UNJC0210_B_SEARCH_NUM=0,UNJC0210_B_PAGE_MAXVIEWNUM=0),1,ROUNDUP(UNJC0210_B_SEARCH_NUM/UNJC0210_B_PAGE_MAXVIEWNUM,0))</f>
        <v>1</v>
      </c>
      <c r="D28" s="76" t="s">
        <v>3256</v>
      </c>
    </row>
    <row r="29" spans="1:31">
      <c r="B29" s="835" t="s">
        <v>3257</v>
      </c>
      <c r="C29" s="76">
        <v>50</v>
      </c>
      <c r="D29" s="76" t="s">
        <v>3258</v>
      </c>
      <c r="E29" s="231" t="s">
        <v>3259</v>
      </c>
    </row>
    <row r="30" spans="1:31">
      <c r="B30" s="835" t="s">
        <v>3260</v>
      </c>
      <c r="C30" s="76">
        <f>UNJC0210_B_PAGE_NO+1</f>
        <v>2</v>
      </c>
      <c r="D30" s="76" t="s">
        <v>3261</v>
      </c>
    </row>
    <row r="31" spans="1:31">
      <c r="B31" s="835" t="s">
        <v>3262</v>
      </c>
      <c r="C31" s="76">
        <f>UNJC0210_B_PAGE_NO-1</f>
        <v>0</v>
      </c>
      <c r="D31" s="76" t="s">
        <v>3263</v>
      </c>
    </row>
    <row r="33" spans="2:4">
      <c r="B33" s="231" t="s">
        <v>3264</v>
      </c>
    </row>
    <row r="34" spans="2:4">
      <c r="B34" s="835" t="s">
        <v>3265</v>
      </c>
      <c r="C34" s="836" t="str">
        <f>"UNJC0210_B!"&amp;ADDRESS(ROW(UNJC0210_B_DataList),COLUMN(UNJC0210_B_SENTAKU_FLG))</f>
        <v>UNJC0210_B!$I$24</v>
      </c>
      <c r="D34" s="76" t="s">
        <v>3266</v>
      </c>
    </row>
    <row r="36" spans="2:4">
      <c r="B36" s="231" t="s">
        <v>3267</v>
      </c>
    </row>
    <row r="37" spans="2:4">
      <c r="B37" s="835" t="s">
        <v>3268</v>
      </c>
      <c r="C37" s="836" t="str">
        <f>ADDRESS(ROW(A1),COLUMN(A1))&amp;":"&amp;ADDRESS(ROW(A20),COLUMN(A20))&amp;","&amp;ADDRESS(ROW(A22),COLUMN(A22))</f>
        <v>$A$1:$A$20,$A$22</v>
      </c>
      <c r="D37" s="76" t="s">
        <v>3269</v>
      </c>
    </row>
    <row r="38" spans="2:4">
      <c r="B38" s="835" t="s">
        <v>3270</v>
      </c>
      <c r="C38" s="76" t="str">
        <f>ADDRESS(ROW(A1),COLUMN(A1))&amp;":"&amp;ADDRESS(ROW(F1),COLUMN(F1))&amp;","&amp;ADDRESS(ROW(UNJC0210_B_SENTAKU_FLG),COLUMN(UNJC0210_B_SENTAKU_FLG))&amp;":"&amp;ADDRESS(ROW(UNJC0210_B_W_ROW),COLUMN(UNJC0210_B_W_ROW))</f>
        <v>$A$1:$F$1,$I$23:$L$23</v>
      </c>
      <c r="D38" s="76" t="s">
        <v>3271</v>
      </c>
    </row>
    <row r="39" spans="2:4">
      <c r="B39" s="835" t="s">
        <v>3272</v>
      </c>
      <c r="C39" s="76" t="str">
        <f>ADDRESS(ROW(UNJC0210_B_DataList),COLUMN(UNJC0210_B_PRINT_MARK))</f>
        <v>$M$24</v>
      </c>
      <c r="D39" s="76" t="s">
        <v>3273</v>
      </c>
    </row>
    <row r="40" spans="2:4" ht="18.75" customHeight="1"/>
    <row r="41" spans="2:4">
      <c r="B41" s="231" t="s">
        <v>3274</v>
      </c>
    </row>
    <row r="42" spans="2:4">
      <c r="B42" s="835" t="s">
        <v>3275</v>
      </c>
      <c r="C42" s="76" t="str">
        <f>IF(UNJC0210_B_VIEW_NUM=0,"",
"UNJC0210_B!"&amp;ADDRESS(ROW(UNJC0210_B_DataList),COLUMN(UNJC0210_B_DataList))&amp;":"&amp;ADDRESS(ROW(UNJC0210_B_DataList)+UNJC0210_B_VIEW_NUM-1,COLUMN(UNJC0210_B_DataList)+COLUMNS(UNJC0210_IF_BODY_COPY_MOTO)-1))</f>
        <v>UNJC0210_B!$H$24:$AE$73</v>
      </c>
      <c r="D42" s="76" t="s">
        <v>3276</v>
      </c>
    </row>
    <row r="43" spans="2:4">
      <c r="B43" s="835" t="s">
        <v>3277</v>
      </c>
      <c r="C43" s="76" t="str">
        <f>IF(UNJC0210_B_VIEW_NUM=0,"",
"UNJC0210_B!"&amp;ADDRESS(ROW(UNJC0210_B_DataList),COLUMN(UNJC0210_B_DataList))&amp;":"&amp;ADDRESS(ROW(UNJC0210_B_DataList)+UNJC0210_B_VIEW_NUM-1,COLUMN(UNJC0210_B_DataList)))</f>
        <v>UNJC0210_B!$H$24:$H$73</v>
      </c>
      <c r="D43" s="76" t="s">
        <v>3278</v>
      </c>
    </row>
    <row r="45" spans="2:4">
      <c r="B45" s="231" t="s">
        <v>3279</v>
      </c>
    </row>
    <row r="46" spans="2:4">
      <c r="B46" s="835" t="s">
        <v>3280</v>
      </c>
      <c r="C46" s="76">
        <f>IF(UNJC0210_B_ALL_PAGE_NUM&gt;UNJC0210_B_PAGE_NO,1,2)</f>
        <v>2</v>
      </c>
      <c r="D46" s="76" t="s">
        <v>3281</v>
      </c>
    </row>
    <row r="47" spans="2:4">
      <c r="B47" s="835" t="s">
        <v>3282</v>
      </c>
      <c r="C47" s="76">
        <f>IF(UNJC0210_B_PAGE_NO&gt;1,1,2)</f>
        <v>2</v>
      </c>
      <c r="D47" s="76" t="s">
        <v>3283</v>
      </c>
    </row>
  </sheetData>
  <sheetProtection sheet="1" objects="1" scenarios="1" selectLockedCells="1"/>
  <phoneticPr fontId="2"/>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CI31"/>
  <sheetViews>
    <sheetView tabSelected="1" topLeftCell="BK1" zoomScale="85" zoomScaleNormal="85" workbookViewId="0">
      <selection activeCell="BM2" sqref="BM2"/>
    </sheetView>
  </sheetViews>
  <sheetFormatPr defaultRowHeight="16.5" customHeight="1"/>
  <cols>
    <col min="1" max="1" width="4.625" style="691" customWidth="1"/>
    <col min="2" max="2" width="17.375" style="691" bestFit="1" customWidth="1"/>
    <col min="3" max="3" width="15.125" style="691" bestFit="1" customWidth="1"/>
    <col min="4" max="4" width="32.75" style="691" bestFit="1" customWidth="1"/>
    <col min="5" max="7" width="4.5" style="691" customWidth="1"/>
    <col min="8" max="8" width="2.625" style="691" customWidth="1"/>
    <col min="9" max="9" width="21.625" style="691" bestFit="1" customWidth="1"/>
    <col min="10" max="10" width="26.125" style="691" customWidth="1"/>
    <col min="11" max="11" width="4.75" style="691" customWidth="1"/>
    <col min="12" max="35" width="4.125" style="691" customWidth="1"/>
    <col min="36" max="37" width="3.625" style="691" customWidth="1"/>
    <col min="38" max="38" width="3.375" style="691" customWidth="1"/>
    <col min="39" max="42" width="7.75" style="691" customWidth="1"/>
    <col min="43" max="43" width="3.375" style="691" customWidth="1"/>
    <col min="44" max="44" width="9.625" style="691" bestFit="1" customWidth="1"/>
    <col min="45" max="45" width="9.625" style="691" customWidth="1"/>
    <col min="46" max="46" width="11.25" style="691" customWidth="1"/>
    <col min="47" max="47" width="12.625" style="691" customWidth="1"/>
    <col min="48" max="48" width="12.5" style="691" bestFit="1" customWidth="1"/>
    <col min="49" max="49" width="14.125" style="691" customWidth="1"/>
    <col min="50" max="50" width="6.125" style="691" customWidth="1"/>
    <col min="51" max="51" width="10.375" style="691" customWidth="1"/>
    <col min="52" max="52" width="16" style="691" customWidth="1"/>
    <col min="53" max="53" width="14.625" style="691" customWidth="1"/>
    <col min="54" max="55" width="15" style="691" customWidth="1"/>
    <col min="56" max="56" width="10.75" style="691" customWidth="1"/>
    <col min="57" max="57" width="15" style="691" customWidth="1"/>
    <col min="58" max="58" width="7.75" style="691" customWidth="1"/>
    <col min="59" max="59" width="10.875" style="691" customWidth="1"/>
    <col min="60" max="60" width="14.25" style="691" customWidth="1"/>
    <col min="61" max="61" width="66.625" style="691" customWidth="1"/>
    <col min="62" max="64" width="9" style="691"/>
    <col min="65" max="65" width="33.75" style="691" bestFit="1" customWidth="1"/>
    <col min="66" max="66" width="25.375" style="691" customWidth="1"/>
    <col min="67" max="16384" width="9" style="691"/>
  </cols>
  <sheetData>
    <row r="1" spans="1:87" ht="16.5" customHeight="1">
      <c r="A1" s="691" t="s">
        <v>3284</v>
      </c>
      <c r="H1" s="691" t="s">
        <v>632</v>
      </c>
    </row>
    <row r="2" spans="1:87" ht="16.5" customHeight="1">
      <c r="L2" s="691" t="s">
        <v>3285</v>
      </c>
      <c r="AK2" s="691" t="s">
        <v>467</v>
      </c>
      <c r="BP2" s="691" t="s">
        <v>3286</v>
      </c>
    </row>
    <row r="3" spans="1:87" ht="16.5" customHeight="1">
      <c r="AL3" s="691" t="s">
        <v>3287</v>
      </c>
      <c r="BL3" s="279" t="s">
        <v>866</v>
      </c>
      <c r="BM3" s="278"/>
      <c r="BN3" s="278"/>
      <c r="BP3" s="837"/>
      <c r="BQ3" s="838"/>
      <c r="BR3" s="1957"/>
      <c r="BS3" s="1957"/>
      <c r="BT3" s="1957"/>
      <c r="BU3" s="1957"/>
      <c r="BV3" s="1957"/>
      <c r="BW3" s="838"/>
      <c r="BX3" s="838"/>
      <c r="BY3" s="838"/>
      <c r="BZ3" s="838"/>
      <c r="CA3" s="838"/>
      <c r="CB3" s="838"/>
      <c r="CC3" s="838"/>
      <c r="CD3" s="838"/>
      <c r="CE3" s="838"/>
      <c r="CF3" s="838"/>
      <c r="CG3" s="1957"/>
      <c r="CH3" s="838"/>
      <c r="CI3" s="1247"/>
    </row>
    <row r="4" spans="1:87" ht="16.5" customHeight="1">
      <c r="M4" s="691" t="s">
        <v>3288</v>
      </c>
      <c r="AL4" s="691" t="s">
        <v>3289</v>
      </c>
      <c r="BL4" s="278"/>
      <c r="BM4" s="278" t="s">
        <v>3290</v>
      </c>
      <c r="BN4" s="273"/>
    </row>
    <row r="5" spans="1:87" ht="16.5" customHeight="1">
      <c r="B5" s="708" t="s">
        <v>120</v>
      </c>
      <c r="D5" s="231"/>
      <c r="H5" s="708" t="s">
        <v>865</v>
      </c>
      <c r="M5" s="1689"/>
      <c r="N5" s="1783"/>
      <c r="O5" s="1783"/>
      <c r="P5" s="1784"/>
      <c r="Q5" s="207"/>
      <c r="R5" s="207"/>
      <c r="S5" s="207"/>
      <c r="T5" s="208" t="s">
        <v>2792</v>
      </c>
      <c r="U5" s="1714" t="s">
        <v>3547</v>
      </c>
      <c r="V5" s="1716"/>
      <c r="W5" s="207"/>
      <c r="X5" s="207"/>
      <c r="Y5" s="207"/>
      <c r="Z5" s="207"/>
      <c r="AA5" s="207"/>
      <c r="AB5" s="207"/>
      <c r="AC5" s="207"/>
      <c r="AD5" s="207"/>
      <c r="AE5" s="207"/>
      <c r="AF5" s="207"/>
      <c r="AG5" s="207"/>
      <c r="AH5" s="207"/>
      <c r="AL5" s="829" t="s">
        <v>0</v>
      </c>
      <c r="AM5" s="834" t="s">
        <v>3244</v>
      </c>
      <c r="AN5" s="834" t="s">
        <v>1122</v>
      </c>
      <c r="AO5" s="834" t="s">
        <v>1123</v>
      </c>
      <c r="AP5" s="834" t="s">
        <v>3245</v>
      </c>
      <c r="AQ5" s="829" t="s">
        <v>3246</v>
      </c>
      <c r="AR5" s="829" t="s">
        <v>2416</v>
      </c>
      <c r="AS5" s="829" t="s">
        <v>2417</v>
      </c>
      <c r="AT5" s="829" t="s">
        <v>920</v>
      </c>
      <c r="AU5" s="829" t="s">
        <v>827</v>
      </c>
      <c r="AV5" s="829" t="s">
        <v>29</v>
      </c>
      <c r="AW5" s="829" t="s">
        <v>28</v>
      </c>
      <c r="AX5" s="829" t="s">
        <v>78</v>
      </c>
      <c r="AY5" s="829" t="s">
        <v>2851</v>
      </c>
      <c r="AZ5" s="829" t="s">
        <v>829</v>
      </c>
      <c r="BA5" s="829" t="s">
        <v>4</v>
      </c>
      <c r="BB5" s="829" t="s">
        <v>1524</v>
      </c>
      <c r="BC5" s="829" t="s">
        <v>62</v>
      </c>
      <c r="BD5" s="829" t="s">
        <v>63</v>
      </c>
      <c r="BE5" s="3" t="s">
        <v>1115</v>
      </c>
      <c r="BF5" s="3" t="s">
        <v>1679</v>
      </c>
      <c r="BG5" s="790" t="s">
        <v>2908</v>
      </c>
      <c r="BH5" s="790" t="s">
        <v>3215</v>
      </c>
      <c r="BI5" s="829" t="s">
        <v>1</v>
      </c>
      <c r="BL5" s="278"/>
      <c r="BM5" s="278" t="s">
        <v>3291</v>
      </c>
      <c r="BN5" s="273" t="str">
        <f>ADDRESS(ROW(UNJC0210_IF_SENTAKU)+1,COLUMN(UNJC0210_IF_SENTAKU))</f>
        <v>$BP$6</v>
      </c>
      <c r="BP5" s="829" t="s">
        <v>0</v>
      </c>
      <c r="BQ5" s="829" t="s">
        <v>3246</v>
      </c>
      <c r="BR5" s="829" t="s">
        <v>2416</v>
      </c>
      <c r="BS5" s="829" t="s">
        <v>2417</v>
      </c>
      <c r="BT5" s="829" t="s">
        <v>920</v>
      </c>
      <c r="BU5" s="829" t="s">
        <v>827</v>
      </c>
      <c r="BV5" s="599" t="s">
        <v>29</v>
      </c>
      <c r="BW5" s="829" t="s">
        <v>28</v>
      </c>
      <c r="BX5" s="829" t="s">
        <v>78</v>
      </c>
      <c r="BY5" s="829" t="s">
        <v>2851</v>
      </c>
      <c r="BZ5" s="829" t="s">
        <v>829</v>
      </c>
      <c r="CA5" s="829" t="s">
        <v>4</v>
      </c>
      <c r="CB5" s="829" t="s">
        <v>1524</v>
      </c>
      <c r="CC5" s="829" t="s">
        <v>62</v>
      </c>
      <c r="CD5" s="829" t="s">
        <v>63</v>
      </c>
      <c r="CE5" s="3" t="s">
        <v>1115</v>
      </c>
      <c r="CF5" s="3" t="s">
        <v>1679</v>
      </c>
      <c r="CG5" s="790" t="s">
        <v>2908</v>
      </c>
      <c r="CH5" s="790" t="s">
        <v>3215</v>
      </c>
      <c r="CI5" s="829" t="s">
        <v>1</v>
      </c>
    </row>
    <row r="6" spans="1:87" ht="16.5" customHeight="1">
      <c r="B6" s="696" t="s">
        <v>121</v>
      </c>
      <c r="C6" s="697"/>
      <c r="D6" s="76" t="s">
        <v>3292</v>
      </c>
      <c r="I6" s="691" t="s">
        <v>868</v>
      </c>
      <c r="M6" s="207"/>
      <c r="N6" s="207"/>
      <c r="O6" s="207"/>
      <c r="P6" s="207"/>
      <c r="Q6" s="207"/>
      <c r="R6" s="207"/>
      <c r="S6" s="207"/>
      <c r="T6" s="207"/>
      <c r="U6" s="207"/>
      <c r="V6" s="207"/>
      <c r="W6" s="207"/>
      <c r="X6" s="207"/>
      <c r="Y6" s="207"/>
      <c r="Z6" s="207"/>
      <c r="AA6" s="207"/>
      <c r="AB6" s="207"/>
      <c r="AC6" s="207"/>
      <c r="AD6" s="207"/>
      <c r="AE6" s="207"/>
      <c r="AF6" s="207"/>
      <c r="AG6" s="207"/>
      <c r="AH6" s="207"/>
      <c r="AL6" s="831"/>
      <c r="AM6" s="204" t="b">
        <v>0</v>
      </c>
      <c r="AN6" s="831"/>
      <c r="AO6" s="831"/>
      <c r="AP6" s="831"/>
      <c r="AQ6" s="209"/>
      <c r="AR6" s="839"/>
      <c r="AS6" s="839"/>
      <c r="AT6" s="839"/>
      <c r="AU6" s="839"/>
      <c r="AV6" s="839"/>
      <c r="AW6" s="172"/>
      <c r="AX6" s="172"/>
      <c r="AY6" s="172"/>
      <c r="AZ6" s="830"/>
      <c r="BA6" s="830"/>
      <c r="BB6" s="830"/>
      <c r="BC6" s="830"/>
      <c r="BD6" s="830"/>
      <c r="BE6" s="830"/>
      <c r="BF6" s="172"/>
      <c r="BG6" s="839"/>
      <c r="BH6" s="830"/>
      <c r="BI6" s="830"/>
      <c r="BL6" s="278"/>
      <c r="BM6" s="278" t="s">
        <v>3293</v>
      </c>
      <c r="BN6" s="273" t="str">
        <f ca="1">IF(UNJC0210_IF_EXCEL_DATA_CNT=0,"",
"UNJC0210_IF!"&amp;UNJC0210_IF_EXCEL_LIST_START &amp;":" &amp; ADDRESS(ROW(INDIRECT(UNJC0210_IF_EXCEL_LIST_START))+UNJC0210_IF_EXCEL_DATA_CNT-1,COLUMN(INDIRECT(UNJC0210_IF_EXCEL_LIST_START))+COLUMNS(UNJC0210_IF_EXCEL_LIST_COPY_MOTO)-1))</f>
        <v/>
      </c>
    </row>
    <row r="7" spans="1:87" ht="16.5" customHeight="1">
      <c r="B7" s="696" t="s">
        <v>2449</v>
      </c>
      <c r="C7" s="697"/>
      <c r="D7" s="76" t="s">
        <v>3294</v>
      </c>
      <c r="J7" s="832" t="s">
        <v>3295</v>
      </c>
      <c r="K7" s="832"/>
      <c r="M7" s="1711"/>
      <c r="N7" s="1712"/>
      <c r="O7" s="1712"/>
      <c r="P7" s="1713"/>
      <c r="Q7" s="207"/>
      <c r="R7" s="207"/>
      <c r="S7" s="207"/>
      <c r="T7" s="207"/>
      <c r="U7" s="207"/>
      <c r="V7" s="207"/>
      <c r="W7" s="207"/>
      <c r="X7" s="207"/>
      <c r="Y7" s="208" t="s">
        <v>4429</v>
      </c>
      <c r="Z7" s="1261"/>
      <c r="AA7" s="1262"/>
      <c r="AB7" s="1262"/>
      <c r="AC7" s="1263"/>
      <c r="AD7" s="960" t="s">
        <v>26</v>
      </c>
      <c r="AE7" s="1261"/>
      <c r="AF7" s="1262"/>
      <c r="AG7" s="1262"/>
      <c r="AH7" s="1263"/>
      <c r="BL7" s="278"/>
      <c r="BM7" s="278" t="s">
        <v>3296</v>
      </c>
      <c r="BN7" s="617" t="str">
        <f ca="1">"裏書ラベル" &amp;"_"&amp;TEXT(NOW(),"YYYYMMDD!_hhmmss")</f>
        <v>裏書ラベル_20170927_151616</v>
      </c>
    </row>
    <row r="8" spans="1:87" ht="16.5" customHeight="1">
      <c r="B8" s="696" t="s">
        <v>2451</v>
      </c>
      <c r="C8" s="76"/>
      <c r="D8" s="76" t="s">
        <v>3297</v>
      </c>
      <c r="I8" s="85" t="s">
        <v>3169</v>
      </c>
      <c r="J8" s="715"/>
      <c r="M8" s="204"/>
      <c r="N8" s="207"/>
      <c r="O8" s="207"/>
      <c r="P8" s="207"/>
      <c r="Q8" s="207"/>
      <c r="R8" s="207"/>
      <c r="S8" s="207"/>
      <c r="T8" s="207"/>
      <c r="U8" s="207"/>
      <c r="V8" s="207"/>
      <c r="W8" s="207"/>
      <c r="X8" s="207"/>
      <c r="Y8" s="208" t="s">
        <v>4430</v>
      </c>
      <c r="Z8" s="1261"/>
      <c r="AA8" s="1262"/>
      <c r="AB8" s="1262"/>
      <c r="AC8" s="1263"/>
      <c r="AD8" s="960" t="s">
        <v>26</v>
      </c>
      <c r="AE8" s="1261"/>
      <c r="AF8" s="1262"/>
      <c r="AG8" s="1262"/>
      <c r="AH8" s="1263"/>
      <c r="BL8" s="278"/>
    </row>
    <row r="9" spans="1:87" ht="16.5" customHeight="1">
      <c r="B9" s="696" t="s">
        <v>2452</v>
      </c>
      <c r="C9" s="697"/>
      <c r="D9" s="76" t="s">
        <v>3298</v>
      </c>
      <c r="I9" s="716" t="s">
        <v>163</v>
      </c>
      <c r="J9" s="888">
        <v>1</v>
      </c>
      <c r="M9" s="1723"/>
      <c r="N9" s="1803"/>
      <c r="O9" s="1803"/>
      <c r="P9" s="1804"/>
      <c r="Q9" s="207"/>
      <c r="R9" s="207"/>
      <c r="S9" s="207"/>
      <c r="T9" s="207"/>
      <c r="U9" s="207"/>
      <c r="V9" s="207"/>
      <c r="W9" s="207"/>
      <c r="X9" s="207"/>
      <c r="Y9" s="208" t="s">
        <v>4431</v>
      </c>
      <c r="Z9" s="1261"/>
      <c r="AA9" s="1262"/>
      <c r="AB9" s="1262"/>
      <c r="AC9" s="1263"/>
      <c r="AD9" s="960" t="s">
        <v>26</v>
      </c>
      <c r="AE9" s="1261"/>
      <c r="AF9" s="1262"/>
      <c r="AG9" s="1262"/>
      <c r="AH9" s="1263"/>
    </row>
    <row r="10" spans="1:87" ht="16.5" customHeight="1">
      <c r="B10" s="231"/>
      <c r="C10" s="231"/>
      <c r="D10" s="231"/>
      <c r="I10" s="716" t="s">
        <v>3175</v>
      </c>
      <c r="J10" s="888" t="b">
        <v>0</v>
      </c>
      <c r="M10" s="1290"/>
      <c r="N10" s="1746"/>
      <c r="O10" s="1746"/>
      <c r="P10" s="1746"/>
      <c r="Q10" s="1748" t="str">
        <f>IFERROR(IF(UNJC0210_H_BUNSEKI_HOHO="","",INDEX(UNJC_BUNSEKI_HOHO_IF_LIST,MATCH(UNJC0210_H_BUNSEKI_HOHO,UNJC_BUNSEKI_HOHO_IF_LIST2,0),2)),"")</f>
        <v/>
      </c>
      <c r="R10" s="1749"/>
      <c r="S10" s="1749"/>
      <c r="T10" s="1750"/>
      <c r="U10" s="207"/>
      <c r="V10" s="207"/>
      <c r="W10" s="207"/>
      <c r="X10" s="207"/>
      <c r="Y10" s="208" t="s">
        <v>4432</v>
      </c>
      <c r="Z10" s="1261"/>
      <c r="AA10" s="1262"/>
      <c r="AB10" s="1262"/>
      <c r="AC10" s="1263"/>
      <c r="AD10" s="960" t="s">
        <v>26</v>
      </c>
      <c r="AE10" s="1261"/>
      <c r="AF10" s="1262"/>
      <c r="AG10" s="1262"/>
      <c r="AH10" s="1263"/>
    </row>
    <row r="11" spans="1:87" ht="16.5" customHeight="1">
      <c r="B11" s="403" t="s">
        <v>3299</v>
      </c>
      <c r="C11" s="231" t="s">
        <v>3300</v>
      </c>
      <c r="D11" s="231"/>
      <c r="I11" s="716" t="s">
        <v>2232</v>
      </c>
      <c r="J11" s="888"/>
      <c r="M11" s="1338"/>
      <c r="N11" s="1339"/>
      <c r="O11" s="1339"/>
      <c r="P11" s="1339"/>
      <c r="Q11" s="1339"/>
      <c r="R11" s="1339"/>
      <c r="S11" s="1339"/>
      <c r="T11" s="1340"/>
      <c r="U11" s="207"/>
      <c r="V11" s="207"/>
      <c r="W11" s="207"/>
      <c r="X11" s="207"/>
      <c r="Y11" s="208" t="s">
        <v>4433</v>
      </c>
      <c r="Z11" s="1261"/>
      <c r="AA11" s="1262"/>
      <c r="AB11" s="1262"/>
      <c r="AC11" s="1263"/>
      <c r="AD11" s="960" t="s">
        <v>26</v>
      </c>
      <c r="AE11" s="1261"/>
      <c r="AF11" s="1262"/>
      <c r="AG11" s="1262"/>
      <c r="AH11" s="1263"/>
    </row>
    <row r="12" spans="1:87" ht="16.5" customHeight="1">
      <c r="B12" s="835" t="s">
        <v>104</v>
      </c>
      <c r="C12" s="76"/>
      <c r="D12" s="76" t="s">
        <v>3301</v>
      </c>
      <c r="I12" s="691" t="s">
        <v>3588</v>
      </c>
      <c r="J12" s="888"/>
      <c r="M12" s="1390"/>
      <c r="N12" s="1391"/>
      <c r="O12" s="1391"/>
      <c r="P12" s="1391"/>
      <c r="Q12" s="1391"/>
      <c r="R12" s="1391"/>
      <c r="S12" s="1391"/>
      <c r="T12" s="1392"/>
      <c r="U12" s="207"/>
      <c r="V12" s="207"/>
      <c r="W12" s="207"/>
      <c r="X12" s="207"/>
      <c r="Y12" s="208" t="s">
        <v>4411</v>
      </c>
      <c r="Z12" s="1261"/>
      <c r="AA12" s="1262"/>
      <c r="AB12" s="1262"/>
      <c r="AC12" s="1263"/>
      <c r="AD12" s="960" t="s">
        <v>26</v>
      </c>
      <c r="AE12" s="1261"/>
      <c r="AF12" s="1262"/>
      <c r="AG12" s="1262"/>
      <c r="AH12" s="1263"/>
    </row>
    <row r="13" spans="1:87" ht="16.5" customHeight="1">
      <c r="B13" s="835" t="s">
        <v>3302</v>
      </c>
      <c r="C13" s="76">
        <f>IF(AND(UNJC0210_H_SYOUHIN_BUNRUI_MEI&lt;&gt;"",UNJC0210_H_SYOUHIN_BUNRUI_CD&lt;&gt;""),1,2)</f>
        <v>2</v>
      </c>
      <c r="D13" s="76" t="s">
        <v>3303</v>
      </c>
      <c r="I13" s="691" t="s">
        <v>4</v>
      </c>
      <c r="J13" s="888"/>
      <c r="M13" s="207"/>
      <c r="N13" s="207"/>
      <c r="O13" s="207"/>
      <c r="P13" s="207"/>
      <c r="Q13" s="207"/>
      <c r="R13" s="207"/>
      <c r="S13" s="207"/>
      <c r="T13" s="207"/>
      <c r="U13" s="207"/>
      <c r="V13" s="207"/>
      <c r="W13" s="207"/>
      <c r="X13" s="207"/>
      <c r="Y13" s="207"/>
      <c r="Z13" s="207"/>
      <c r="AA13" s="207"/>
      <c r="AB13" s="207"/>
      <c r="AC13" s="207"/>
      <c r="AD13" s="207"/>
      <c r="AE13" s="207"/>
      <c r="AF13" s="207"/>
      <c r="AG13" s="207"/>
      <c r="AH13" s="207"/>
    </row>
    <row r="14" spans="1:87" ht="16.5" customHeight="1">
      <c r="I14" s="691" t="s">
        <v>2813</v>
      </c>
      <c r="J14" s="888"/>
      <c r="M14" s="1708"/>
      <c r="N14" s="1805"/>
      <c r="O14" s="1805"/>
      <c r="P14" s="1806"/>
      <c r="Q14" s="207"/>
      <c r="R14" s="207"/>
      <c r="S14" s="207"/>
      <c r="T14" s="207"/>
      <c r="U14" s="207"/>
      <c r="V14" s="207"/>
      <c r="W14" s="207"/>
      <c r="X14" s="207"/>
      <c r="Y14" s="207"/>
      <c r="Z14" s="207"/>
      <c r="AA14" s="207"/>
      <c r="AB14" s="207"/>
      <c r="AC14" s="207"/>
      <c r="AD14" s="207"/>
      <c r="AE14" s="207"/>
      <c r="AF14" s="960"/>
      <c r="AG14" s="207"/>
      <c r="AH14" s="207"/>
    </row>
    <row r="15" spans="1:87" ht="16.5" customHeight="1">
      <c r="B15" s="708" t="s">
        <v>111</v>
      </c>
      <c r="C15" s="280"/>
      <c r="D15" s="280"/>
      <c r="M15" s="1261"/>
      <c r="N15" s="1262"/>
      <c r="O15" s="1262"/>
      <c r="P15" s="1263"/>
      <c r="Q15" s="960" t="s">
        <v>26</v>
      </c>
      <c r="R15" s="1261"/>
      <c r="S15" s="1262"/>
      <c r="T15" s="1262"/>
      <c r="U15" s="1263"/>
      <c r="V15" s="207"/>
      <c r="W15" s="207"/>
      <c r="X15" s="207"/>
      <c r="Y15" s="207"/>
      <c r="Z15" s="207"/>
      <c r="AA15" s="207"/>
      <c r="AB15" s="207"/>
      <c r="AC15" s="207"/>
      <c r="AD15" s="207"/>
      <c r="AE15" s="207"/>
      <c r="AF15" s="207"/>
      <c r="AG15" s="207"/>
      <c r="AH15" s="207"/>
    </row>
    <row r="16" spans="1:87" ht="16.5" customHeight="1">
      <c r="B16" s="696" t="s">
        <v>1122</v>
      </c>
      <c r="C16" s="76"/>
      <c r="D16" s="697" t="s">
        <v>3304</v>
      </c>
      <c r="M16" s="207"/>
      <c r="N16" s="207"/>
      <c r="O16" s="207"/>
      <c r="P16" s="207"/>
      <c r="Q16" s="207"/>
      <c r="R16" s="207"/>
      <c r="S16" s="207"/>
      <c r="T16" s="207"/>
      <c r="U16" s="207"/>
      <c r="V16" s="207"/>
      <c r="W16" s="207"/>
      <c r="X16" s="207"/>
      <c r="Y16" s="207"/>
      <c r="Z16" s="207"/>
      <c r="AA16" s="207"/>
      <c r="AB16" s="207"/>
      <c r="AC16" s="207"/>
      <c r="AD16" s="207"/>
      <c r="AE16" s="207"/>
      <c r="AF16" s="207"/>
      <c r="AG16" s="207"/>
      <c r="AH16" s="207"/>
    </row>
    <row r="17" spans="1:34" ht="16.5" customHeight="1">
      <c r="B17" s="696" t="s">
        <v>110</v>
      </c>
      <c r="C17" s="76">
        <v>0</v>
      </c>
      <c r="D17" s="697" t="s">
        <v>3305</v>
      </c>
      <c r="M17" s="1701"/>
      <c r="N17" s="1702"/>
      <c r="O17" s="1702"/>
      <c r="P17" s="1703"/>
      <c r="Q17" s="1394" t="str">
        <f>IF(OR(UNJC0210_H_BUNSEKI_KOMOKU_CD="",UNJC0210_H_BUNSEKI_KOMOKU_MEI=""),"",UNJC0210_H_BUNSEKI_KOMOKU_MEI)</f>
        <v/>
      </c>
      <c r="R17" s="1395"/>
      <c r="S17" s="1395"/>
      <c r="T17" s="1395"/>
      <c r="U17" s="1395"/>
      <c r="V17" s="1395"/>
      <c r="W17" s="1395"/>
      <c r="X17" s="1395"/>
      <c r="Y17" s="1395"/>
      <c r="Z17" s="1395"/>
      <c r="AA17" s="1395"/>
      <c r="AB17" s="1396"/>
      <c r="AC17" s="207"/>
      <c r="AD17" s="207"/>
      <c r="AE17" s="207"/>
      <c r="AF17" s="207"/>
      <c r="AG17" s="207"/>
      <c r="AH17" s="207"/>
    </row>
    <row r="18" spans="1:34" ht="16.5" customHeight="1">
      <c r="B18" s="696" t="s">
        <v>109</v>
      </c>
      <c r="C18" s="76">
        <v>0</v>
      </c>
      <c r="D18" s="697" t="s">
        <v>3306</v>
      </c>
      <c r="M18" s="1701"/>
      <c r="N18" s="1702"/>
      <c r="O18" s="1702"/>
      <c r="P18" s="1703"/>
      <c r="Q18" s="1695"/>
      <c r="R18" s="1696"/>
      <c r="S18" s="1696"/>
      <c r="T18" s="1696"/>
      <c r="U18" s="1696"/>
      <c r="V18" s="1696"/>
      <c r="W18" s="1696"/>
      <c r="X18" s="1696"/>
      <c r="Y18" s="1696"/>
      <c r="Z18" s="1696"/>
      <c r="AA18" s="1696"/>
      <c r="AB18" s="1697"/>
      <c r="AC18" s="207"/>
      <c r="AD18" s="207"/>
      <c r="AE18" s="208"/>
      <c r="AF18" s="207"/>
      <c r="AG18" s="207"/>
      <c r="AH18" s="207"/>
    </row>
    <row r="19" spans="1:34" ht="16.5" customHeight="1">
      <c r="B19" s="696" t="s">
        <v>1324</v>
      </c>
      <c r="C19" s="76">
        <v>0</v>
      </c>
      <c r="D19" s="697" t="s">
        <v>3307</v>
      </c>
      <c r="M19" s="1701"/>
      <c r="N19" s="1702"/>
      <c r="O19" s="1702"/>
      <c r="P19" s="1703"/>
      <c r="Q19" s="1394" t="str">
        <f>IF(UNJC0210_H_SEIKYU_CD="","",UNJC0210_H_SEIKYU_MEI)</f>
        <v/>
      </c>
      <c r="R19" s="1395"/>
      <c r="S19" s="1395"/>
      <c r="T19" s="1395"/>
      <c r="U19" s="1395"/>
      <c r="V19" s="1395"/>
      <c r="W19" s="1395"/>
      <c r="X19" s="1395"/>
      <c r="Y19" s="1395"/>
      <c r="Z19" s="1395"/>
      <c r="AA19" s="1395"/>
      <c r="AB19" s="1396"/>
      <c r="AC19" s="207"/>
      <c r="AD19" s="207"/>
      <c r="AE19" s="207"/>
      <c r="AF19" s="207"/>
      <c r="AG19" s="207"/>
      <c r="AH19" s="207"/>
    </row>
    <row r="20" spans="1:34" ht="16.5" customHeight="1">
      <c r="M20" s="207"/>
      <c r="N20" s="207"/>
      <c r="O20" s="207"/>
      <c r="P20" s="207"/>
      <c r="Q20" s="207"/>
      <c r="R20" s="207"/>
      <c r="S20" s="207"/>
      <c r="T20" s="207"/>
      <c r="U20" s="207"/>
      <c r="V20" s="207"/>
      <c r="W20" s="207"/>
      <c r="X20" s="207"/>
      <c r="Y20" s="207"/>
      <c r="Z20" s="207"/>
      <c r="AA20" s="207"/>
      <c r="AB20" s="207"/>
      <c r="AC20" s="207"/>
      <c r="AD20" s="207"/>
      <c r="AE20" s="207"/>
      <c r="AF20" s="207"/>
      <c r="AG20" s="207"/>
      <c r="AH20" s="207"/>
    </row>
    <row r="21" spans="1:34" ht="16.5" customHeight="1">
      <c r="M21" s="1695"/>
      <c r="N21" s="1696"/>
      <c r="O21" s="1696"/>
      <c r="P21" s="1697"/>
      <c r="Q21" s="77" t="str">
        <f>IF(UNJC0210_H_FREEWD_KBN=1,"AND",IF(UNJC0210_H_FREEWD_KBN=2,"OR","NAND"))</f>
        <v>AND</v>
      </c>
      <c r="R21" s="1695"/>
      <c r="S21" s="1696"/>
      <c r="T21" s="1696"/>
      <c r="U21" s="1697"/>
      <c r="V21" s="77" t="str">
        <f>IF(UNJC0210_H_FREEWD_KBN=1,"AND",IF(UNJC0210_H_FREEWD_KBN=2,"OR","NAND"))</f>
        <v>AND</v>
      </c>
      <c r="W21" s="1695"/>
      <c r="X21" s="1696"/>
      <c r="Y21" s="1696"/>
      <c r="Z21" s="1697"/>
      <c r="AA21" s="207"/>
      <c r="AB21" s="207"/>
      <c r="AC21" s="207"/>
      <c r="AD21" s="207"/>
      <c r="AE21" s="207"/>
      <c r="AF21" s="207"/>
      <c r="AG21" s="207"/>
      <c r="AH21" s="207"/>
    </row>
    <row r="24" spans="1:34" ht="16.5" customHeight="1">
      <c r="A24" s="279" t="s">
        <v>3308</v>
      </c>
      <c r="B24" s="278"/>
      <c r="C24" s="278"/>
    </row>
    <row r="25" spans="1:34" ht="16.5" customHeight="1">
      <c r="A25" s="278"/>
      <c r="C25" s="278"/>
    </row>
    <row r="26" spans="1:34" ht="16.5" customHeight="1">
      <c r="A26" s="278"/>
      <c r="B26" s="255" t="s">
        <v>99</v>
      </c>
      <c r="C26" s="255" t="s">
        <v>1679</v>
      </c>
    </row>
    <row r="27" spans="1:34" ht="16.5" customHeight="1">
      <c r="A27" s="278"/>
      <c r="B27" s="101" t="s">
        <v>3309</v>
      </c>
      <c r="C27" s="840">
        <v>2</v>
      </c>
    </row>
    <row r="28" spans="1:34" ht="16.5" customHeight="1">
      <c r="A28" s="278"/>
      <c r="B28" s="101" t="s">
        <v>3310</v>
      </c>
      <c r="C28" s="341" t="s">
        <v>3311</v>
      </c>
    </row>
    <row r="29" spans="1:34" ht="16.5" customHeight="1">
      <c r="A29" s="278"/>
      <c r="B29" s="341" t="s">
        <v>907</v>
      </c>
      <c r="C29" s="255" t="s">
        <v>906</v>
      </c>
    </row>
    <row r="30" spans="1:34" ht="16.5" customHeight="1">
      <c r="A30" s="278" t="s">
        <v>3312</v>
      </c>
      <c r="B30" s="342" t="s">
        <v>3313</v>
      </c>
      <c r="C30" s="841">
        <v>1</v>
      </c>
    </row>
    <row r="31" spans="1:34" ht="16.5" customHeight="1">
      <c r="A31" s="278"/>
      <c r="B31" s="691" t="s">
        <v>3171</v>
      </c>
      <c r="C31" s="691">
        <v>2</v>
      </c>
    </row>
  </sheetData>
  <mergeCells count="32">
    <mergeCell ref="M19:P19"/>
    <mergeCell ref="Q19:AB19"/>
    <mergeCell ref="M21:P21"/>
    <mergeCell ref="R21:U21"/>
    <mergeCell ref="W21:Z21"/>
    <mergeCell ref="M15:P15"/>
    <mergeCell ref="M18:P18"/>
    <mergeCell ref="Q18:AB18"/>
    <mergeCell ref="M14:P14"/>
    <mergeCell ref="R15:U15"/>
    <mergeCell ref="M17:P17"/>
    <mergeCell ref="Q17:AB17"/>
    <mergeCell ref="M11:T11"/>
    <mergeCell ref="Z11:AC11"/>
    <mergeCell ref="AE11:AH11"/>
    <mergeCell ref="M12:T12"/>
    <mergeCell ref="Z12:AC12"/>
    <mergeCell ref="AE12:AH12"/>
    <mergeCell ref="M9:P9"/>
    <mergeCell ref="Z9:AC9"/>
    <mergeCell ref="AE9:AH9"/>
    <mergeCell ref="Z10:AC10"/>
    <mergeCell ref="AE10:AH10"/>
    <mergeCell ref="M10:P10"/>
    <mergeCell ref="Q10:T10"/>
    <mergeCell ref="Z8:AC8"/>
    <mergeCell ref="AE8:AH8"/>
    <mergeCell ref="M5:P5"/>
    <mergeCell ref="U5:V5"/>
    <mergeCell ref="M7:P7"/>
    <mergeCell ref="Z7:AC7"/>
    <mergeCell ref="AE7:AH7"/>
  </mergeCells>
  <phoneticPr fontId="2"/>
  <dataValidations count="3">
    <dataValidation type="list" allowBlank="1" showInputMessage="1" showErrorMessage="1" sqref="U5:V5">
      <formula1>UNJC0210_IF_LIST_JOTAI</formula1>
    </dataValidation>
    <dataValidation type="date" allowBlank="1" showInputMessage="1" showErrorMessage="1" sqref="Z7:AC7 Z8:AC8 Z9:AC9 Z10:AC10 Z11:AC11 Z12:AC12 AE12:AH12 AE11:AH11 AE10:AH10 AE9:AH9 AE8:AH8 AE7:AH7 M15:P15 R15:U15">
      <formula1>36526</formula1>
      <formula2>73415</formula2>
    </dataValidation>
    <dataValidation type="custom" allowBlank="1" showInputMessage="1" showErrorMessage="1" sqref="M10:P10">
      <formula1>AND(LEN(P8)=LENB(P8),LEN(P8)&lt;=9)</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04321" r:id="rId4" name="Check Box 1">
              <controlPr defaultSize="0" autoFill="0" autoLine="0" autoPict="0" macro="[0]!UNJC0210_CLICK_CHECKBOX">
                <anchor moveWithCells="1">
                  <from>
                    <xdr:col>37</xdr:col>
                    <xdr:colOff>28575</xdr:colOff>
                    <xdr:row>5</xdr:row>
                    <xdr:rowOff>38100</xdr:rowOff>
                  </from>
                  <to>
                    <xdr:col>37</xdr:col>
                    <xdr:colOff>228600</xdr:colOff>
                    <xdr:row>5</xdr:row>
                    <xdr:rowOff>190500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B1:I91"/>
  <sheetViews>
    <sheetView topLeftCell="A15" zoomScale="70" zoomScaleNormal="70" workbookViewId="0">
      <selection activeCell="E15" sqref="E15"/>
    </sheetView>
  </sheetViews>
  <sheetFormatPr defaultRowHeight="18.75"/>
  <cols>
    <col min="1" max="1" width="3.625" style="691" customWidth="1"/>
    <col min="2" max="3" width="2.625" style="691" customWidth="1"/>
    <col min="4" max="4" width="27.75" style="691" bestFit="1" customWidth="1"/>
    <col min="5" max="5" width="62.5" style="691" customWidth="1"/>
    <col min="6" max="6" width="10.625" style="691" customWidth="1"/>
    <col min="7" max="7" width="45" style="691" bestFit="1" customWidth="1"/>
    <col min="8" max="8" width="9" style="691"/>
    <col min="9" max="9" width="11" style="691" bestFit="1" customWidth="1"/>
    <col min="10" max="16384" width="9" style="691"/>
  </cols>
  <sheetData>
    <row r="1" spans="2:7">
      <c r="B1" s="691" t="s">
        <v>2457</v>
      </c>
    </row>
    <row r="2" spans="2:7">
      <c r="B2" s="1809" t="s">
        <v>2458</v>
      </c>
      <c r="C2" s="1809"/>
      <c r="D2" s="1809"/>
      <c r="E2" s="693" t="s">
        <v>2459</v>
      </c>
      <c r="F2" s="693" t="s">
        <v>2460</v>
      </c>
      <c r="G2" s="693" t="s">
        <v>2461</v>
      </c>
    </row>
    <row r="3" spans="2:7">
      <c r="B3" s="1810"/>
      <c r="C3" s="1810"/>
      <c r="D3" s="1810"/>
      <c r="E3" s="842"/>
      <c r="F3" s="842"/>
      <c r="G3" s="709" t="s">
        <v>2462</v>
      </c>
    </row>
    <row r="4" spans="2:7">
      <c r="B4" s="843"/>
      <c r="C4" s="1811" t="s">
        <v>2463</v>
      </c>
      <c r="D4" s="1811"/>
      <c r="E4" s="844"/>
      <c r="F4" s="844"/>
      <c r="G4" s="845" t="s">
        <v>484</v>
      </c>
    </row>
    <row r="5" spans="2:7">
      <c r="B5" s="843"/>
      <c r="C5" s="1811" t="s">
        <v>2464</v>
      </c>
      <c r="D5" s="1811"/>
      <c r="E5" s="845"/>
      <c r="F5" s="845"/>
      <c r="G5" s="845" t="s">
        <v>484</v>
      </c>
    </row>
    <row r="6" spans="2:7">
      <c r="B6" s="846"/>
      <c r="C6" s="1811" t="s">
        <v>2465</v>
      </c>
      <c r="D6" s="1811"/>
      <c r="E6" s="845"/>
      <c r="F6" s="845"/>
      <c r="G6" s="845" t="s">
        <v>484</v>
      </c>
    </row>
    <row r="8" spans="2:7">
      <c r="B8" s="1810" t="s">
        <v>3314</v>
      </c>
      <c r="C8" s="1810"/>
      <c r="D8" s="1810"/>
      <c r="E8" s="842"/>
      <c r="F8" s="842"/>
      <c r="G8" s="709" t="s">
        <v>2462</v>
      </c>
    </row>
    <row r="9" spans="2:7" ht="42.75" customHeight="1">
      <c r="B9" s="843"/>
      <c r="C9" s="1807" t="s">
        <v>3315</v>
      </c>
      <c r="D9" s="1808"/>
      <c r="E9" s="844" t="str">
        <f>E10&amp;$E$32&amp;$E$33</f>
        <v>SELECT COUNT(*)
  FROM W_URAGAKI_LABEL
 WHERE W_URAGAKI_LABEL.W_USER_ID = ''
   AND W_URAGAKI_LABEL.W_SERIAL = '0'</v>
      </c>
      <c r="F9" s="844"/>
      <c r="G9" s="845" t="s">
        <v>3316</v>
      </c>
    </row>
    <row r="10" spans="2:7">
      <c r="B10" s="843"/>
      <c r="C10" s="847"/>
      <c r="D10" s="848" t="s">
        <v>3317</v>
      </c>
      <c r="E10" s="844" t="s">
        <v>3318</v>
      </c>
      <c r="F10" s="844"/>
      <c r="G10" s="845" t="s">
        <v>484</v>
      </c>
    </row>
    <row r="11" spans="2:7" ht="36" customHeight="1">
      <c r="B11" s="843"/>
      <c r="C11" s="1807" t="s">
        <v>3319</v>
      </c>
      <c r="D11" s="1808"/>
      <c r="E11" s="844" t="str">
        <f>E12&amp;$E$32&amp;$E$33&amp;UNJC0210_SQL_SORT&amp;$E$35</f>
        <v>SELECT *
  FROM W_URAGAKI_LABEL
 WHERE W_URAGAKI_LABEL.W_USER_ID = ''
   AND W_URAGAKI_LABEL.W_SERIAL = '0' ORDER BY JURI_NO ASC ,JURI_EDA_NO ASC
  OFFSET 0*50 ROWS
 FETCH NEXT 50 ROWS ONLY</v>
      </c>
      <c r="F11" s="844"/>
      <c r="G11" s="845" t="s">
        <v>3320</v>
      </c>
    </row>
    <row r="12" spans="2:7">
      <c r="B12" s="843"/>
      <c r="C12" s="847"/>
      <c r="D12" s="848" t="s">
        <v>3321</v>
      </c>
      <c r="E12" s="844" t="s">
        <v>3322</v>
      </c>
      <c r="F12" s="844"/>
      <c r="G12" s="845" t="s">
        <v>484</v>
      </c>
    </row>
    <row r="13" spans="2:7" ht="36.75" customHeight="1">
      <c r="B13" s="843"/>
      <c r="C13" s="1807" t="s">
        <v>3323</v>
      </c>
      <c r="D13" s="1808"/>
      <c r="E13" s="844" t="str">
        <f>E14&amp;$E$32&amp;$E$33&amp;UNJC0210_SQL_SORT&amp;$E$35</f>
        <v>SELECT SELECT_FLG
      ,W_USER_ID
      ,W_SERIAL
      ,W_ROW
      ,URAGAKI_PRINT_DISP
      ,IRAI_DATE
      ,KANRYO_DATE
      ,CHUKAN_DATE_1
      ,KANSEI_DATE
      ,NOHIN_DATE
      ,JURI_NO
      ,JURI_EDA_NO
      ,BUSHO_MEI
      ,ATENA
      ,SEIKYU_MEI
      ,BUNSEKI_HOHO
      ,SHIRYO_SHURUI
      ,SHIRYO_MEI
      ,BUNSEKI_MEI
      ,STATE_MEI
      ,SOKUTEI_DATE
      ,SOKUTEISHA_MEI
      ,K_BIKO
  FROM W_URAGAKI_LABEL
 WHERE W_URAGAKI_LABEL.W_USER_ID = ''
   AND W_URAGAKI_LABEL.W_SERIAL = '0' ORDER BY JURI_NO ASC ,JURI_EDA_NO ASC
  OFFSET 0*50 ROWS
 FETCH NEXT 50 ROWS ONLY</v>
      </c>
      <c r="F13" s="844"/>
      <c r="G13" s="845" t="s">
        <v>3324</v>
      </c>
    </row>
    <row r="14" spans="2:7" ht="20.25" customHeight="1">
      <c r="B14" s="843"/>
      <c r="C14" s="847"/>
      <c r="D14" s="848" t="s">
        <v>3325</v>
      </c>
      <c r="E14" s="844" t="s">
        <v>3326</v>
      </c>
      <c r="F14" s="844"/>
      <c r="G14" s="845" t="s">
        <v>484</v>
      </c>
    </row>
    <row r="15" spans="2:7" ht="51.75" customHeight="1">
      <c r="B15" s="849"/>
      <c r="C15" s="1807" t="s">
        <v>3327</v>
      </c>
      <c r="D15" s="1808"/>
      <c r="E15" s="850" t="str">
        <f>E16&amp;$E$32&amp;$E$33&amp;UNJC0210_SQL_SORT</f>
        <v>SELECT SELECT_FLG
      ,URAGAKI_PRINT_DISP
      ,IRAI_DATE
      ,KANRYO_DATE
      ,CHUKAN_DATE_1
      ,KANSEI_DATE
      ,NOHIN_DATE
      ,JURI_NO
      ,JURI_EDA_NO
      ,BUSHO_MEI
      ,ATENA
      ,SEIKYU_MEI
      ,BUNSEKI_HOHO
      ,SHIRYO_SHURUI
      ,SHIRYO_MEI
      ,BUNSEKI_MEI
      ,STATE_MEI
      ,SOKUTEI_DATE
      ,SOKUTEISHA_MEI
      ,K_BIKO
  FROM W_URAGAKI_LABEL
 WHERE W_URAGAKI_LABEL.W_USER_ID = ''
   AND W_URAGAKI_LABEL.W_SERIAL = '0' ORDER BY JURI_NO ASC ,JURI_EDA_NO ASC</v>
      </c>
      <c r="F15" s="850"/>
      <c r="G15" s="845" t="s">
        <v>3328</v>
      </c>
    </row>
    <row r="16" spans="2:7" ht="20.25" customHeight="1">
      <c r="B16" s="849"/>
      <c r="C16" s="851"/>
      <c r="D16" s="848" t="s">
        <v>3329</v>
      </c>
      <c r="E16" s="844" t="s">
        <v>3330</v>
      </c>
      <c r="F16" s="850"/>
      <c r="G16" s="845" t="s">
        <v>484</v>
      </c>
    </row>
    <row r="17" spans="2:7">
      <c r="B17" s="1810" t="s">
        <v>3331</v>
      </c>
      <c r="C17" s="1810"/>
      <c r="D17" s="1810"/>
      <c r="E17" s="842"/>
      <c r="F17" s="842"/>
      <c r="G17" s="709" t="s">
        <v>2462</v>
      </c>
    </row>
    <row r="18" spans="2:7" ht="211.5" customHeight="1">
      <c r="B18" s="849"/>
      <c r="C18" s="1807" t="s">
        <v>3332</v>
      </c>
      <c r="D18" s="1808"/>
      <c r="E18" s="850" t="str">
        <f>E19&amp;E20&amp;E21&amp;$E$32&amp;E22&amp;E23</f>
        <v>SELECT W_URAGAKI_LABEL.JURI_NO
      ,W_URAGAKI_LABEL.SOKUTEI_DATE
      ,W_URAGAKI_LABEL.SOKUTEISHA_MEI
      ,W_URAGAKI_LABEL.BUNSEKI_MEI
      ,W_URAGAKI_LABEL.BUNSEKI_FLOW
      ,CONVERT(VARCHAR(10), W_URAGAKI_LABEL.NYURYOKU_DATETIME,111)
      ,W_URAGAKI_LABEL.ATENA
      ,W_URAGAKI_LABEL.SEIKYU_MEI
      ,W_URAGAKI_LABEL.JURI_EDA_NO
      ,W_URAGAKI_LABEL.SHIRYO_MEI
      ,W_URAGAKI_LABEL.K_BIKO
      ,ROW_NUMBER() OVER (ORDER BY W_URAGAKI_LABEL.JURI_NO, W_URAGAKI_LABEL.JURI_EDA_NO)
, COLUMN_01, COLUMN_02, COLUMN_03, COLUMN_04, COLUMN_05, COLUMN_06, COLUMN_07, COLUMN_08
  FROM W_URAGAKI_LABEL
  LEFT JOIN
       T_KOMOKU_SAMPLE
    ON T_KOMOKU_SAMPLE.JURI_NO = W_URAGAKI_LABEL.JURI_NO
   AND T_KOMOKU_SAMPLE.JURI_EDA_NO = W_URAGAKI_LABEL.JURI_EDA_NO
   AND T_KOMOKU_SAMPLE.SEQ = W_URAGAKI_LABEL.SEQ
 WHERE W_URAGAKI_LABEL.W_USER_ID = ''
   AND W_URAGAKI_LABEL.W_SERIAL = '0'
   AND W_URAGAKI_LABEL.SELECT_FLG = 'True'</v>
      </c>
      <c r="F18" s="850"/>
      <c r="G18" s="845" t="s">
        <v>3333</v>
      </c>
    </row>
    <row r="19" spans="2:7" ht="18" customHeight="1">
      <c r="B19" s="849"/>
      <c r="C19" s="851"/>
      <c r="D19" s="852" t="s">
        <v>3043</v>
      </c>
      <c r="E19" s="853" t="s">
        <v>4530</v>
      </c>
      <c r="F19" s="853"/>
      <c r="G19" s="845" t="s">
        <v>484</v>
      </c>
    </row>
    <row r="20" spans="2:7" ht="37.5">
      <c r="B20" s="849"/>
      <c r="C20" s="854"/>
      <c r="D20" s="848" t="s">
        <v>3046</v>
      </c>
      <c r="E20" s="850" t="str">
        <f>UNJC0210_GETCOLUMNLIST()</f>
        <v>, COLUMN_01, COLUMN_02, COLUMN_03, COLUMN_04, COLUMN_05, COLUMN_06, COLUMN_07, COLUMN_08</v>
      </c>
      <c r="F20" s="850"/>
      <c r="G20" s="845" t="s">
        <v>484</v>
      </c>
    </row>
    <row r="21" spans="2:7">
      <c r="B21" s="849"/>
      <c r="C21" s="855"/>
      <c r="D21" s="848" t="s">
        <v>3049</v>
      </c>
      <c r="E21" s="850"/>
      <c r="F21" s="850"/>
      <c r="G21" s="845" t="s">
        <v>484</v>
      </c>
    </row>
    <row r="22" spans="2:7" ht="42" customHeight="1">
      <c r="B22" s="849"/>
      <c r="C22" s="851"/>
      <c r="D22" s="848" t="s">
        <v>1460</v>
      </c>
      <c r="E22" s="850" t="s">
        <v>3334</v>
      </c>
      <c r="F22" s="850"/>
      <c r="G22" s="845"/>
    </row>
    <row r="23" spans="2:7" ht="19.5" customHeight="1">
      <c r="B23" s="849"/>
      <c r="C23" s="851"/>
      <c r="D23" s="848" t="s">
        <v>2465</v>
      </c>
      <c r="E23" s="844" t="str">
        <f>"
 WHERE W_URAGAKI_LABEL.W_USER_ID = '"&amp;UNJC0210_IF_W_USER_ID&amp;"'
   AND W_URAGAKI_LABEL.W_SERIAL = '"&amp;UNJC0210_IF_W_SERIAL&amp;"'
   AND W_URAGAKI_LABEL.SELECT_FLG = 'True'"</f>
        <v xml:space="preserve">
 WHERE W_URAGAKI_LABEL.W_USER_ID = ''
   AND W_URAGAKI_LABEL.W_SERIAL = '0'
   AND W_URAGAKI_LABEL.SELECT_FLG = 'True'</v>
      </c>
      <c r="F23" s="845"/>
      <c r="G23" s="845" t="s">
        <v>484</v>
      </c>
    </row>
    <row r="24" spans="2:7" ht="206.25">
      <c r="B24" s="849"/>
      <c r="C24" s="1807" t="s">
        <v>3335</v>
      </c>
      <c r="D24" s="1808"/>
      <c r="E24" s="850" t="str">
        <f>E25&amp;E26&amp;E27</f>
        <v>SELECT SHOHIN_BUNRUI
      ,KOBAN
      ,MEISHO
      ,NYURYOKU
      ,KATA
      ,ALL_KETA
      ,SHOSU_KETA
      ,SETTEICHI
      ,URAGAKI_FLG
  FROM M_KOMOKU_SAMPLE
 WHERE SHOHIN_BUNRUI = ''</v>
      </c>
      <c r="F24" s="850"/>
      <c r="G24" s="845" t="s">
        <v>3336</v>
      </c>
    </row>
    <row r="25" spans="2:7" ht="20.25" customHeight="1">
      <c r="B25" s="843"/>
      <c r="C25" s="855"/>
      <c r="D25" s="848" t="s">
        <v>3325</v>
      </c>
      <c r="E25" s="844" t="s">
        <v>4534</v>
      </c>
      <c r="F25" s="844"/>
      <c r="G25" s="845" t="s">
        <v>484</v>
      </c>
    </row>
    <row r="26" spans="2:7" ht="19.5" customHeight="1">
      <c r="B26" s="843"/>
      <c r="C26" s="855"/>
      <c r="D26" s="848" t="s">
        <v>2464</v>
      </c>
      <c r="E26" s="844" t="s">
        <v>3337</v>
      </c>
      <c r="F26" s="845"/>
      <c r="G26" s="845" t="s">
        <v>484</v>
      </c>
    </row>
    <row r="27" spans="2:7" ht="21" customHeight="1">
      <c r="B27" s="843"/>
      <c r="C27" s="855"/>
      <c r="D27" s="848" t="s">
        <v>2465</v>
      </c>
      <c r="E27" s="844" t="str">
        <f>"
 WHERE SHOHIN_BUNRUI = '"&amp;UNJC0210_H_SYOUHIN_BUNRUI_CD_S&amp;"'"</f>
        <v xml:space="preserve">
 WHERE SHOHIN_BUNRUI = ''</v>
      </c>
      <c r="F27" s="845"/>
      <c r="G27" s="845" t="s">
        <v>484</v>
      </c>
    </row>
    <row r="28" spans="2:7" ht="93.75">
      <c r="B28" s="849"/>
      <c r="C28" s="1807" t="s">
        <v>3338</v>
      </c>
      <c r="D28" s="1808"/>
      <c r="E28" s="850" t="str">
        <f>E29&amp;$E$32&amp;E30</f>
        <v>SELECT COUNT(*)
  FROM W_URAGAKI_LABEL
 WHERE W_URAGAKI_LABEL.W_USER_ID = ''
   AND W_URAGAKI_LABEL.W_SERIAL = '0'
   AND W_URAGAKI_LABEL.SELECT_FLG = 'True'</v>
      </c>
      <c r="F28" s="850"/>
      <c r="G28" s="845" t="s">
        <v>3339</v>
      </c>
    </row>
    <row r="29" spans="2:7" ht="18" customHeight="1">
      <c r="B29" s="849"/>
      <c r="C29" s="851"/>
      <c r="D29" s="848" t="s">
        <v>3340</v>
      </c>
      <c r="E29" s="844" t="s">
        <v>3318</v>
      </c>
      <c r="F29" s="853"/>
      <c r="G29" s="845" t="s">
        <v>484</v>
      </c>
    </row>
    <row r="30" spans="2:7" ht="19.5" customHeight="1">
      <c r="B30" s="849"/>
      <c r="C30" s="851"/>
      <c r="D30" s="848" t="s">
        <v>2465</v>
      </c>
      <c r="E30" s="844" t="str">
        <f>"
 WHERE W_URAGAKI_LABEL.W_USER_ID = '"&amp;UNJC0210_IF_W_USER_ID&amp;"'
   AND W_URAGAKI_LABEL.W_SERIAL = '"&amp;UNJC0210_IF_W_SERIAL&amp;"'
   AND W_URAGAKI_LABEL.SELECT_FLG = 'True'"</f>
        <v xml:space="preserve">
 WHERE W_URAGAKI_LABEL.W_USER_ID = ''
   AND W_URAGAKI_LABEL.W_SERIAL = '0'
   AND W_URAGAKI_LABEL.SELECT_FLG = 'True'</v>
      </c>
      <c r="F30" s="845"/>
      <c r="G30" s="845" t="s">
        <v>484</v>
      </c>
    </row>
    <row r="31" spans="2:7">
      <c r="B31" s="1810" t="s">
        <v>3341</v>
      </c>
      <c r="C31" s="1810"/>
      <c r="D31" s="1810"/>
      <c r="E31" s="842"/>
      <c r="F31" s="842"/>
      <c r="G31" s="709"/>
    </row>
    <row r="32" spans="2:7" ht="19.5" customHeight="1">
      <c r="B32" s="843"/>
      <c r="C32" s="855"/>
      <c r="D32" s="848" t="s">
        <v>2464</v>
      </c>
      <c r="E32" s="844" t="s">
        <v>3342</v>
      </c>
      <c r="F32" s="845"/>
      <c r="G32" s="845" t="s">
        <v>484</v>
      </c>
    </row>
    <row r="33" spans="2:9" ht="21" customHeight="1">
      <c r="B33" s="843"/>
      <c r="C33" s="855"/>
      <c r="D33" s="848" t="s">
        <v>2465</v>
      </c>
      <c r="E33" s="844" t="str">
        <f>"
 WHERE W_URAGAKI_LABEL.W_USER_ID = '"&amp;UNJC0210_IF_W_USER_ID&amp;"'
   AND W_URAGAKI_LABEL.W_SERIAL = '"&amp;UNJC0210_IF_W_SERIAL&amp;"'"</f>
        <v xml:space="preserve">
 WHERE W_URAGAKI_LABEL.W_USER_ID = ''
   AND W_URAGAKI_LABEL.W_SERIAL = '0'</v>
      </c>
      <c r="F33" s="845"/>
      <c r="G33" s="845" t="s">
        <v>484</v>
      </c>
    </row>
    <row r="34" spans="2:9">
      <c r="B34" s="843"/>
      <c r="C34" s="855"/>
      <c r="D34" s="848" t="s">
        <v>1448</v>
      </c>
      <c r="E34" s="850" t="s">
        <v>3343</v>
      </c>
      <c r="F34" s="856"/>
      <c r="G34" s="845" t="s">
        <v>3344</v>
      </c>
    </row>
    <row r="35" spans="2:9">
      <c r="B35" s="846"/>
      <c r="C35" s="855"/>
      <c r="D35" s="848" t="s">
        <v>3345</v>
      </c>
      <c r="E35" s="856" t="str">
        <f xml:space="preserve"> "
  OFFSET "&amp;(UNJC0210_B_PAGE_NO-1)&amp;"*"&amp;UNJC0210_B_PAGE_MAXVIEWNUM&amp;" ROWS
 FETCH NEXT "&amp;UNJC0210_B_PAGE_MAXVIEWNUM&amp;" ROWS ONLY"</f>
        <v xml:space="preserve">
  OFFSET 0*50 ROWS
 FETCH NEXT 50 ROWS ONLY</v>
      </c>
      <c r="F35" s="856"/>
      <c r="G35" s="845" t="s">
        <v>484</v>
      </c>
    </row>
    <row r="42" spans="2:9">
      <c r="B42" s="1813" t="s">
        <v>3346</v>
      </c>
      <c r="C42" s="1814"/>
      <c r="D42" s="1815"/>
      <c r="E42" s="857"/>
      <c r="F42" s="857"/>
      <c r="G42" s="709" t="s">
        <v>2462</v>
      </c>
    </row>
    <row r="43" spans="2:9" ht="153.75" customHeight="1">
      <c r="B43" s="858"/>
      <c r="C43" s="1807" t="s">
        <v>3347</v>
      </c>
      <c r="D43" s="1808"/>
      <c r="E43" s="850" t="str">
        <f>"EXEC SP_LOAD_URAGAKI_LABEL "
&amp; "'" &amp; UNJC0210_IF_W_USER_ID &amp; "'"
&amp; ",'" &amp; UNJC0210_IF_W_SERIAL &amp; "'"
&amp; "," &amp; UNJC0210_IF_W_MODE
&amp; ",'" &amp; E44 &amp; "'"</f>
        <v>EXEC SP_LOAD_URAGAKI_LABEL '','0',0,' WHERE 1=1   AND URAGAKI_PRINT_FLG = ''False''                           '</v>
      </c>
      <c r="F43" s="850"/>
      <c r="G43" s="845" t="s">
        <v>3348</v>
      </c>
    </row>
    <row r="44" spans="2:9" ht="39" customHeight="1">
      <c r="B44" s="849"/>
      <c r="C44" s="1816" t="s">
        <v>2465</v>
      </c>
      <c r="D44" s="1816"/>
      <c r="E44" s="850" t="str">
        <f>" WHERE 1=1"
&amp; IF(F45,E45,"") &amp; " "
&amp; IF(F46,E46,"") &amp; " "
&amp; IF(F48,E48,"") &amp; " "
&amp; IF(F49,E49,"") &amp; " "
&amp; IF(F50,E50,"") &amp; " "
&amp; IF(F51,E51,"") &amp; " "
&amp; IF(F52,E52,"") &amp; " "
&amp; IF(F53,E53,"") &amp; " "
&amp; IF(F54,E54,"") &amp; " "
&amp; IF(F55,E55,"") &amp; " "
&amp; IF(F56,E56,"") &amp; " "
&amp; IF(F57,E57,"") &amp; " "
&amp; IF(F58,E58,"") &amp; " "
&amp; IF(F59,E59,"") &amp; " "
&amp; IF(F60,E60,"") &amp; " "
&amp; IF(F61,E61,"") &amp; " "
&amp; IF(F62,E62,"") &amp; " "
&amp; IF(F63,E63,"") &amp; " "
&amp; IF(F64,E64,"") &amp; " "
&amp; IF(F65,E65,"") &amp; " "
&amp; IF(F66,E66,"") &amp; " "
&amp; IF(F67,E67,"") &amp; " "
&amp; IF(F68,E68,"") &amp; " "
&amp; IF(F69,E69,"") &amp; " "
&amp; IF(F70,E70,"") &amp; " "
&amp; IF(F71,E71,"") &amp; " "
&amp; IF(F72,E72,"") &amp; " "
&amp; IF(F73,E73,"") &amp; " "
&amp; IF(F74,E74,"") &amp; " "</f>
        <v xml:space="preserve"> WHERE 1=1   AND URAGAKI_PRINT_FLG = ''False''                           </v>
      </c>
      <c r="F44" s="856"/>
      <c r="G44" s="845"/>
    </row>
    <row r="45" spans="2:9">
      <c r="B45" s="849"/>
      <c r="C45" s="854"/>
      <c r="D45" s="848" t="s">
        <v>3349</v>
      </c>
      <c r="E45" s="856" t="str">
        <f>" AND SHOHIN_BUNRUI = ''"&amp; UNJC0210_H_SYOUHIN_BUNRUI_CD_S &amp; "''"</f>
        <v xml:space="preserve"> AND SHOHIN_BUNRUI = ''''</v>
      </c>
      <c r="F45" s="856" t="b">
        <f>AND(NOT(ISBLANK(UNJC0210_H_SYOUHIN_BUNRUI_CD_S)),NOT(ISBLANK(UNJC0210_H_SYOUHIN_BUNRUI_MEI_S)))</f>
        <v>0</v>
      </c>
      <c r="G45" s="845"/>
      <c r="I45" s="691" t="s">
        <v>3350</v>
      </c>
    </row>
    <row r="46" spans="2:9">
      <c r="B46" s="849"/>
      <c r="C46" s="854"/>
      <c r="D46" s="848" t="s">
        <v>3067</v>
      </c>
      <c r="E46" s="856" t="str">
        <f>" AND STATE_KBN = ''"&amp; UNJC0210_H_JOTAI_START_CD_S &amp; "''"</f>
        <v xml:space="preserve"> AND STATE_KBN = ''''</v>
      </c>
      <c r="F46" s="856" t="b">
        <f>NOT(ISBLANK(UNJC0210_H_JOTAI_START_CD_S))</f>
        <v>0</v>
      </c>
      <c r="G46" s="845"/>
      <c r="I46" s="691" t="s">
        <v>3220</v>
      </c>
    </row>
    <row r="47" spans="2:9">
      <c r="B47" s="849"/>
      <c r="C47" s="854"/>
      <c r="D47" s="859" t="s">
        <v>3351</v>
      </c>
      <c r="E47" s="860"/>
      <c r="F47" s="860"/>
      <c r="G47" s="861" t="s">
        <v>346</v>
      </c>
      <c r="I47" s="691" t="s">
        <v>3224</v>
      </c>
    </row>
    <row r="48" spans="2:9">
      <c r="B48" s="849"/>
      <c r="C48" s="854"/>
      <c r="D48" s="848" t="s">
        <v>3352</v>
      </c>
      <c r="E48" s="856" t="str">
        <f>" AND URAGAKI_PRINT_FLG = ''False''"</f>
        <v xml:space="preserve"> AND URAGAKI_PRINT_FLG = ''False''</v>
      </c>
      <c r="F48" s="856" t="b">
        <f>IF(UNJC0210_H_PRINT_VIEW_S=FALSE,TRUE,FALSE)</f>
        <v>1</v>
      </c>
      <c r="G48" s="845"/>
      <c r="I48" s="691" t="s">
        <v>3353</v>
      </c>
    </row>
    <row r="49" spans="2:9">
      <c r="B49" s="849"/>
      <c r="C49" s="854"/>
      <c r="D49" s="848" t="s">
        <v>338</v>
      </c>
      <c r="E49" s="856" t="str">
        <f>" AND JURI_NO = ''"&amp; UNJC0210_H_JURI_NO_S &amp; "''"</f>
        <v xml:space="preserve"> AND JURI_NO = ''''</v>
      </c>
      <c r="F49" s="856" t="b">
        <f>NOT(ISBLANK(UNJC0210_H_JURI_NO_S))</f>
        <v>0</v>
      </c>
      <c r="G49" s="845"/>
      <c r="I49" s="691" t="s">
        <v>3354</v>
      </c>
    </row>
    <row r="50" spans="2:9">
      <c r="B50" s="849"/>
      <c r="C50" s="854"/>
      <c r="D50" s="848" t="s">
        <v>78</v>
      </c>
      <c r="E50" s="856" t="str">
        <f>" AND JURI_EDA_NO = "&amp; UNJC0210_H_EDA_S</f>
        <v xml:space="preserve"> AND JURI_EDA_NO = </v>
      </c>
      <c r="F50" s="856" t="b">
        <f>NOT(ISBLANK(UNJC0210_H_EDA_S))</f>
        <v>0</v>
      </c>
      <c r="G50" s="845"/>
      <c r="I50" s="691" t="s">
        <v>3355</v>
      </c>
    </row>
    <row r="51" spans="2:9">
      <c r="B51" s="849"/>
      <c r="C51" s="854"/>
      <c r="D51" s="848" t="s">
        <v>3356</v>
      </c>
      <c r="E51" s="856" t="str">
        <f>" AND BUSHO_CD = ''"&amp; UNJC0210_H_BUSHO_CD_S &amp; "''"</f>
        <v xml:space="preserve"> AND BUSHO_CD = ''''</v>
      </c>
      <c r="F51" s="856" t="b">
        <f>AND(NOT(ISBLANK(UNJC0210_H_BUSHO_CD_S)),NOT(ISBLANK(UNJC0210_H_BUSHO_MEI_S)))</f>
        <v>0</v>
      </c>
      <c r="G51" s="845"/>
      <c r="I51" s="691" t="s">
        <v>3357</v>
      </c>
    </row>
    <row r="52" spans="2:9">
      <c r="B52" s="849"/>
      <c r="C52" s="854"/>
      <c r="D52" s="848" t="s">
        <v>3358</v>
      </c>
      <c r="E52" s="856" t="str">
        <f>" AND FREEWD LIKE ''%"&amp; UNJC0210_H_BUNSEKI_KOMOKU_CD_S &amp; "%''"</f>
        <v xml:space="preserve"> AND FREEWD LIKE ''%%''</v>
      </c>
      <c r="F52" s="856" t="b">
        <f>NOT(ISBLANK(UNJC0210_H_BUNSEKI_KOMOKU_CD_S))</f>
        <v>0</v>
      </c>
      <c r="G52" s="845"/>
      <c r="I52" s="691" t="s">
        <v>3589</v>
      </c>
    </row>
    <row r="53" spans="2:9">
      <c r="B53" s="849"/>
      <c r="C53" s="854"/>
      <c r="D53" s="848" t="s">
        <v>1524</v>
      </c>
      <c r="E53" s="856" t="str">
        <f>" AND BUNSEKI_HOHO_CD = ''"&amp; UNJC0210_H_BUNSEKI_HOHO_S &amp; "''"</f>
        <v xml:space="preserve"> AND BUNSEKI_HOHO_CD = ''''</v>
      </c>
      <c r="F53" s="856" t="b">
        <f>NOT(ISBLANK(UNJC0210_H_BUNSEKI_HOHO_S))</f>
        <v>0</v>
      </c>
      <c r="G53" s="845"/>
      <c r="I53" s="691" t="s">
        <v>3359</v>
      </c>
    </row>
    <row r="54" spans="2:9">
      <c r="B54" s="849"/>
      <c r="C54" s="854"/>
      <c r="D54" s="848" t="s">
        <v>62</v>
      </c>
      <c r="E54" s="856" t="str">
        <f>" AND SHIRYO_SHURUI LIKE ''%"&amp; UNJC0210_H_SIRYO_SHURUI_S &amp; "%''"</f>
        <v xml:space="preserve"> AND SHIRYO_SHURUI LIKE ''%%''</v>
      </c>
      <c r="F54" s="856" t="b">
        <f>NOT(ISBLANK(UNJC0210_H_SIRYO_SHURUI_S))</f>
        <v>0</v>
      </c>
      <c r="G54" s="845"/>
      <c r="I54" s="691" t="s">
        <v>3360</v>
      </c>
    </row>
    <row r="55" spans="2:9">
      <c r="B55" s="849"/>
      <c r="C55" s="854"/>
      <c r="D55" s="848" t="s">
        <v>63</v>
      </c>
      <c r="E55" s="856" t="str">
        <f>" AND SHIRYO_MEI LIKE ''%"&amp; UNJC0210_H_SIRYO_MEI_S &amp; "%''"</f>
        <v xml:space="preserve"> AND SHIRYO_MEI LIKE ''%%''</v>
      </c>
      <c r="F55" s="856" t="b">
        <f>NOT(ISBLANK(UNJC0210_H_SIRYO_MEI_S))</f>
        <v>0</v>
      </c>
      <c r="G55" s="845"/>
      <c r="I55" s="691" t="s">
        <v>3361</v>
      </c>
    </row>
    <row r="56" spans="2:9">
      <c r="B56" s="849"/>
      <c r="C56" s="854"/>
      <c r="D56" s="848" t="s">
        <v>2249</v>
      </c>
      <c r="E56" s="856" t="str">
        <f>" AND REPLACE(CONVERT(date,NYURYOKU_DATETIME),''-'',''/'') &gt;= ''"&amp;TEXT(UNJC0210_H_NYURYOKU_DATE_START_S,"YYYY/MM/DD")&amp;"''"</f>
        <v xml:space="preserve"> AND REPLACE(CONVERT(date,NYURYOKU_DATETIME),''-'',''/'') &gt;= ''1900/01/00''</v>
      </c>
      <c r="F56" s="856" t="b">
        <f>NOT(ISBLANK(UNJC0210_H_NYURYOKU_DATE_START_S))</f>
        <v>0</v>
      </c>
      <c r="G56" s="845"/>
      <c r="I56" s="691" t="s">
        <v>3362</v>
      </c>
    </row>
    <row r="57" spans="2:9">
      <c r="B57" s="849"/>
      <c r="C57" s="854"/>
      <c r="D57" s="848" t="s">
        <v>2251</v>
      </c>
      <c r="E57" s="862" t="str">
        <f>" AND REPLACE(CONVERT(date,NYURYOKU_DATETIME),''-'',''/'') &lt;= ''"&amp;TEXT(UNJC0210_H_NYURYOKU_DATE_END_S,"YYYY/MM/DD")&amp;"''"</f>
        <v xml:space="preserve"> AND REPLACE(CONVERT(date,NYURYOKU_DATETIME),''-'',''/'') &lt;= ''1900/01/00''</v>
      </c>
      <c r="F57" s="856" t="b">
        <f>NOT(ISBLANK(UNJC0210_H_NYURYOKU_DATE_END_S))</f>
        <v>0</v>
      </c>
      <c r="G57" s="845"/>
      <c r="I57" s="691" t="s">
        <v>3363</v>
      </c>
    </row>
    <row r="58" spans="2:9">
      <c r="B58" s="849"/>
      <c r="C58" s="854"/>
      <c r="D58" s="848" t="s">
        <v>2253</v>
      </c>
      <c r="E58" s="862" t="str">
        <f>" AND IRAI_DATE &gt;= ''"&amp;TEXT(UNJC0210_H_IRAI_DATE_START_S,"YYYY/MM/DD")&amp;"''"</f>
        <v xml:space="preserve"> AND IRAI_DATE &gt;= ''1900/01/00''</v>
      </c>
      <c r="F58" s="856" t="b">
        <f>NOT(ISBLANK(UNJC0210_H_IRAI_DATE_START_S))</f>
        <v>0</v>
      </c>
      <c r="G58" s="845"/>
      <c r="I58" s="691" t="s">
        <v>3194</v>
      </c>
    </row>
    <row r="59" spans="2:9">
      <c r="B59" s="849"/>
      <c r="C59" s="854"/>
      <c r="D59" s="848" t="s">
        <v>3195</v>
      </c>
      <c r="E59" s="862" t="str">
        <f>" AND IRAI_DATE &lt;= ''"&amp;TEXT(UNJC0210_H_IRAI_DATE_END_S,"YYYY/MM/DD")&amp;"''"</f>
        <v xml:space="preserve"> AND IRAI_DATE &lt;= ''1900/01/00''</v>
      </c>
      <c r="F59" s="856" t="b">
        <f>NOT(ISBLANK(UNJC0210_H_IRAI_DATE_END_S))</f>
        <v>0</v>
      </c>
      <c r="G59" s="845"/>
      <c r="I59" s="691" t="s">
        <v>3196</v>
      </c>
    </row>
    <row r="60" spans="2:9">
      <c r="B60" s="849"/>
      <c r="C60" s="854"/>
      <c r="D60" s="848" t="s">
        <v>2808</v>
      </c>
      <c r="E60" s="856" t="str">
        <f>" AND KANRYO_DATE &gt;= ''"&amp;TEXT(UNJC0210_H_KANRYO_DATE_START_S,"YYYY/MM/DD")&amp;"''"</f>
        <v xml:space="preserve"> AND KANRYO_DATE &gt;= ''1900/01/00''</v>
      </c>
      <c r="F60" s="856" t="b">
        <f>NOT(ISBLANK(UNJC0210_H_KANRYO_DATE_START_S))</f>
        <v>0</v>
      </c>
      <c r="G60" s="845"/>
      <c r="I60" s="691" t="s">
        <v>3364</v>
      </c>
    </row>
    <row r="61" spans="2:9">
      <c r="B61" s="849"/>
      <c r="C61" s="854"/>
      <c r="D61" s="848" t="s">
        <v>3201</v>
      </c>
      <c r="E61" s="856" t="str">
        <f>" AND KANRYO_DATE &lt;= ''"&amp;TEXT(UNJC0210_H_KANRYO_DATE_END_S,"YYYY/MM/DD")&amp;"''"</f>
        <v xml:space="preserve"> AND KANRYO_DATE &lt;= ''1900/01/00''</v>
      </c>
      <c r="F61" s="856" t="b">
        <f>NOT(ISBLANK(UNJC0210_H_KANRYO_DATE_END_S))</f>
        <v>0</v>
      </c>
      <c r="G61" s="845"/>
      <c r="I61" s="691" t="s">
        <v>3365</v>
      </c>
    </row>
    <row r="62" spans="2:9">
      <c r="B62" s="849"/>
      <c r="C62" s="854"/>
      <c r="D62" s="848" t="s">
        <v>3203</v>
      </c>
      <c r="E62" s="856" t="str">
        <f>" AND CHUKAN_DATE_1 &gt;= ''"&amp;TEXT(UNJC0210_H_HOUKOKU_DATE_START_S,"YYYY/MM/DD")&amp;"''"</f>
        <v xml:space="preserve"> AND CHUKAN_DATE_1 &gt;= ''1900/01/00''</v>
      </c>
      <c r="F62" s="856" t="b">
        <f>NOT(ISBLANK(UNJC0210_H_HOUKOKU_DATE_START_S))</f>
        <v>0</v>
      </c>
      <c r="G62" s="845"/>
      <c r="I62" s="691" t="s">
        <v>3366</v>
      </c>
    </row>
    <row r="63" spans="2:9">
      <c r="B63" s="849"/>
      <c r="C63" s="854"/>
      <c r="D63" s="848" t="s">
        <v>3205</v>
      </c>
      <c r="E63" s="856" t="str">
        <f>" AND CHUKAN_DATE_1 &lt;= ''"&amp;TEXT(UNJC0210_H_HOUKOKU_DATE_END_S,"YYYY/MM/DD")&amp;"''"</f>
        <v xml:space="preserve"> AND CHUKAN_DATE_1 &lt;= ''1900/01/00''</v>
      </c>
      <c r="F63" s="856" t="b">
        <f>NOT(ISBLANK(UNJC0210_H_HOUKOKU_DATE_END_S))</f>
        <v>0</v>
      </c>
      <c r="G63" s="845"/>
      <c r="I63" s="691" t="s">
        <v>3367</v>
      </c>
    </row>
    <row r="64" spans="2:9">
      <c r="B64" s="849"/>
      <c r="C64" s="854"/>
      <c r="D64" s="848" t="s">
        <v>2263</v>
      </c>
      <c r="E64" s="856" t="str">
        <f>" AND KANSEI_DATE &gt;= ''"&amp;TEXT(UNJC0210_H_SOKUHOU_DATE_START_S,"YYYY/MM/DD")&amp;"''"</f>
        <v xml:space="preserve"> AND KANSEI_DATE &gt;= ''1900/01/00''</v>
      </c>
      <c r="F64" s="856" t="b">
        <f>NOT(ISBLANK(UNJC0210_H_SOKUHOU_DATE_START_S))</f>
        <v>0</v>
      </c>
      <c r="G64" s="845"/>
      <c r="I64" s="691" t="s">
        <v>3368</v>
      </c>
    </row>
    <row r="65" spans="2:9">
      <c r="B65" s="849"/>
      <c r="C65" s="854"/>
      <c r="D65" s="848" t="s">
        <v>3208</v>
      </c>
      <c r="E65" s="856" t="str">
        <f>" AND KANSEI_DATE &lt;= ''"&amp;TEXT(UNJC0210_H_SOKUHOU_DATE_END_S,"YYYY/MM/DD")&amp;"''"</f>
        <v xml:space="preserve"> AND KANSEI_DATE &lt;= ''1900/01/00''</v>
      </c>
      <c r="F65" s="856" t="b">
        <f>NOT(ISBLANK(UNJC0210_H_SOKUHOU_DATE_END_S))</f>
        <v>0</v>
      </c>
      <c r="G65" s="845"/>
      <c r="I65" s="691" t="s">
        <v>3369</v>
      </c>
    </row>
    <row r="66" spans="2:9">
      <c r="B66" s="849"/>
      <c r="C66" s="854"/>
      <c r="D66" s="848" t="s">
        <v>3370</v>
      </c>
      <c r="E66" s="856" t="str">
        <f>" AND NOHIN_DATE &gt;= ''"&amp;TEXT(UNJC0210_H_NOUHIN_DATE_START_S,"YYYY/MM/DD")&amp;"''"</f>
        <v xml:space="preserve"> AND NOHIN_DATE &gt;= ''1900/01/00''</v>
      </c>
      <c r="F66" s="856" t="b">
        <f>NOT(ISBLANK(UNJC0210_H_NOUHIN_DATE_START_S))</f>
        <v>0</v>
      </c>
      <c r="G66" s="845"/>
      <c r="I66" s="691" t="s">
        <v>3371</v>
      </c>
    </row>
    <row r="67" spans="2:9">
      <c r="B67" s="849"/>
      <c r="C67" s="854"/>
      <c r="D67" s="848" t="s">
        <v>3372</v>
      </c>
      <c r="E67" s="856" t="str">
        <f>" AND NOHIN_DATE &lt;= ''"&amp;TEXT(UNJC0210_H_NOUHIN_DATE_END_S,"YYYY/MM/DD")&amp;"''"</f>
        <v xml:space="preserve"> AND NOHIN_DATE &lt;= ''1900/01/00''</v>
      </c>
      <c r="F67" s="856" t="b">
        <f>NOT(ISBLANK(UNJC0210_H_NOUHIN_DATE_END_S))</f>
        <v>0</v>
      </c>
      <c r="G67" s="845"/>
      <c r="I67" s="691" t="s">
        <v>3373</v>
      </c>
    </row>
    <row r="68" spans="2:9">
      <c r="B68" s="849"/>
      <c r="C68" s="854"/>
      <c r="D68" s="848" t="s">
        <v>3374</v>
      </c>
      <c r="E68" s="856" t="str">
        <f>" AND SOKUTEISHA_CD = ''"&amp; UNJC0210_H_SOKUTEI_SHA_CD_S &amp; "''"</f>
        <v xml:space="preserve"> AND SOKUTEISHA_CD = ''''</v>
      </c>
      <c r="F68" s="856" t="b">
        <f>AND(NOT(ISBLANK(UNJC0210_H_SOKUTEI_SHA_CD_S)),NOT(ISBLANK(UNJC0210_H_SOKUTEI_SHA_MEI_S)))</f>
        <v>0</v>
      </c>
      <c r="G68" s="845"/>
      <c r="I68" s="691" t="s">
        <v>3375</v>
      </c>
    </row>
    <row r="69" spans="2:9">
      <c r="B69" s="849"/>
      <c r="C69" s="854"/>
      <c r="D69" s="848" t="s">
        <v>2817</v>
      </c>
      <c r="E69" s="856" t="str">
        <f>" AND SOKUTEI_DATE &gt;= ''"&amp;TEXT(UNJC0210_H_SOKUTEI_DATE_START_S,"YYYY/MM/DD")&amp;"''"</f>
        <v xml:space="preserve"> AND SOKUTEI_DATE &gt;= ''1900/01/00''</v>
      </c>
      <c r="F69" s="856" t="b">
        <f>NOT(ISBLANK(UNJC0210_H_SOKUTEI_DATE_START_S))</f>
        <v>0</v>
      </c>
      <c r="G69" s="845"/>
      <c r="I69" s="691" t="s">
        <v>3376</v>
      </c>
    </row>
    <row r="70" spans="2:9">
      <c r="B70" s="849"/>
      <c r="C70" s="854"/>
      <c r="D70" s="848" t="s">
        <v>3218</v>
      </c>
      <c r="E70" s="856" t="str">
        <f>" AND SOKUTEI_DATE &lt;= ''"&amp;TEXT(UNJC0210_H_SOKUTEI_DATE_END_S,"YYYY/MM/DD")&amp;"''"</f>
        <v xml:space="preserve"> AND SOKUTEI_DATE &lt;= ''1900/01/00''</v>
      </c>
      <c r="F70" s="856" t="b">
        <f>NOT(ISBLANK(UNJC0210_H_SOKUTEI_DATE_END_S))</f>
        <v>0</v>
      </c>
      <c r="G70" s="845"/>
      <c r="I70" s="691" t="s">
        <v>3377</v>
      </c>
    </row>
    <row r="71" spans="2:9">
      <c r="B71" s="849"/>
      <c r="C71" s="854"/>
      <c r="D71" s="848" t="s">
        <v>3225</v>
      </c>
      <c r="E71" s="856" t="str">
        <f>" AND ATENA_CD = ''"&amp; UNJC0210_H_ATENA_CD_S &amp; "''"</f>
        <v xml:space="preserve"> AND ATENA_CD = ''''</v>
      </c>
      <c r="F71" s="856" t="b">
        <f>NOT(ISBLANK(UNJC0210_H_ATENA_CD_S))</f>
        <v>0</v>
      </c>
      <c r="G71" s="845"/>
      <c r="I71" s="691" t="s">
        <v>3378</v>
      </c>
    </row>
    <row r="72" spans="2:9">
      <c r="B72" s="849"/>
      <c r="C72" s="854"/>
      <c r="D72" s="848" t="s">
        <v>829</v>
      </c>
      <c r="E72" s="856" t="str">
        <f>" AND ATENA LIKE ''%"&amp; UNJC0210_H_ATENA_S &amp; "%''"</f>
        <v xml:space="preserve"> AND ATENA LIKE ''%%''</v>
      </c>
      <c r="F72" s="856" t="b">
        <f>NOT(ISBLANK(UNJC0210_H_ATENA_S))</f>
        <v>0</v>
      </c>
      <c r="G72" s="845"/>
      <c r="I72" s="691" t="s">
        <v>3379</v>
      </c>
    </row>
    <row r="73" spans="2:9">
      <c r="B73" s="849"/>
      <c r="C73" s="854"/>
      <c r="D73" s="848" t="s">
        <v>271</v>
      </c>
      <c r="E73" s="856" t="str">
        <f>" AND SEIKYU_CD = ''"&amp; UNJC0210_H_SEIKYU_CD_S &amp; "''"</f>
        <v xml:space="preserve"> AND SEIKYU_CD = ''''</v>
      </c>
      <c r="F73" s="856" t="b">
        <f>AND(NOT(ISBLANK(UNJC0210_H_SEIKYU_CD_S)),NOT(ISBLANK(UNJC0210_H_SEIKYU_MEI_S)))</f>
        <v>0</v>
      </c>
      <c r="G73" s="845"/>
      <c r="I73" s="691" t="s">
        <v>3380</v>
      </c>
    </row>
    <row r="74" spans="2:9">
      <c r="B74" s="849"/>
      <c r="C74" s="854"/>
      <c r="D74" s="848" t="s">
        <v>2153</v>
      </c>
      <c r="E74" s="856" t="str">
        <f>" AND "&amp; IF(UNJC0210_H_FREEWD_KBN_S=3,"NOT","") &amp;"("&amp; IF(F75,E75,"") &amp; IF(F76,E76,"") &amp;IF(F77,E77,"") &amp;" )"</f>
        <v xml:space="preserve"> AND ( )</v>
      </c>
      <c r="F74" s="856" t="b">
        <f>NOT(ISBLANK(UNJC0210_H_FREEWD_1_S))</f>
        <v>0</v>
      </c>
      <c r="G74" s="845"/>
      <c r="I74" s="691" t="s">
        <v>3381</v>
      </c>
    </row>
    <row r="75" spans="2:9">
      <c r="B75" s="849"/>
      <c r="C75" s="854"/>
      <c r="D75" s="848" t="s">
        <v>2545</v>
      </c>
      <c r="E75" s="856" t="str">
        <f>" FREEWD LIKE ''%"&amp; UNJC0210_H_FREEWD_1_S &amp; "%''"</f>
        <v xml:space="preserve"> FREEWD LIKE ''%%''</v>
      </c>
      <c r="F75" s="856" t="b">
        <f>NOT(ISBLANK(UNJC0210_H_FREEWD_1_S))</f>
        <v>0</v>
      </c>
      <c r="G75" s="845"/>
      <c r="I75" s="691" t="s">
        <v>3382</v>
      </c>
    </row>
    <row r="76" spans="2:9">
      <c r="B76" s="849"/>
      <c r="C76" s="854"/>
      <c r="D76" s="848" t="s">
        <v>2282</v>
      </c>
      <c r="E76" s="856" t="str">
        <f>" "&amp;IF(F75, E78, "") &amp; " FREEWD LIKE  ''%"&amp; UNJC0210_H_FREEWD_2_S &amp; "%''"</f>
        <v xml:space="preserve">  FREEWD LIKE  ''%%''</v>
      </c>
      <c r="F76" s="856" t="b">
        <f>NOT(ISBLANK(UNJC0210_H_FREEWD_2_S))</f>
        <v>0</v>
      </c>
      <c r="G76" s="845"/>
      <c r="I76" s="691" t="s">
        <v>3232</v>
      </c>
    </row>
    <row r="77" spans="2:9">
      <c r="B77" s="849"/>
      <c r="C77" s="854"/>
      <c r="D77" s="848" t="s">
        <v>2284</v>
      </c>
      <c r="E77" s="856" t="str">
        <f>" "&amp;IF(OR(F75,F76),E78,"") &amp; " FREEWD LIKE  ''%"&amp; UNJC0210_H_FREEWD_3_S &amp; "%''"</f>
        <v xml:space="preserve">  FREEWD LIKE  ''%%''</v>
      </c>
      <c r="F77" s="856" t="b">
        <f>NOT(ISBLANK(UNJC0210_H_FREEWD_3_S))</f>
        <v>0</v>
      </c>
      <c r="G77" s="845"/>
      <c r="I77" s="691" t="s">
        <v>3383</v>
      </c>
    </row>
    <row r="78" spans="2:9">
      <c r="B78" s="849"/>
      <c r="C78" s="854"/>
      <c r="D78" s="863" t="s">
        <v>3384</v>
      </c>
      <c r="E78" s="856" t="str">
        <f>IF(UNJC0210_H_FREEWD_KBN_S=1, "AND",IF(UNJC0210_H_FREEWD_KBN_S=2,"OR","AND"))</f>
        <v>AND</v>
      </c>
      <c r="F78" s="856"/>
      <c r="G78" s="845"/>
      <c r="I78" s="691" t="s">
        <v>3381</v>
      </c>
    </row>
    <row r="82" spans="2:7">
      <c r="E82" s="784"/>
    </row>
    <row r="83" spans="2:7">
      <c r="B83" s="1810" t="s">
        <v>3385</v>
      </c>
      <c r="C83" s="1810"/>
      <c r="D83" s="1812"/>
      <c r="E83" s="842"/>
      <c r="F83" s="842"/>
      <c r="G83" s="709" t="s">
        <v>2462</v>
      </c>
    </row>
    <row r="84" spans="2:7" ht="40.5" customHeight="1">
      <c r="B84" s="843"/>
      <c r="C84" s="864"/>
      <c r="D84" s="865" t="s">
        <v>3386</v>
      </c>
      <c r="E84" s="723" t="s">
        <v>3387</v>
      </c>
      <c r="F84" s="845"/>
      <c r="G84" s="845" t="s">
        <v>3388</v>
      </c>
    </row>
    <row r="85" spans="2:7" ht="40.5" customHeight="1">
      <c r="B85" s="846"/>
      <c r="C85" s="866"/>
      <c r="D85" s="865" t="s">
        <v>3389</v>
      </c>
      <c r="E85" s="722" t="s">
        <v>4535</v>
      </c>
      <c r="F85" s="845"/>
      <c r="G85" s="845" t="s">
        <v>3390</v>
      </c>
    </row>
    <row r="88" spans="2:7">
      <c r="B88" s="1810" t="s">
        <v>3391</v>
      </c>
      <c r="C88" s="1812"/>
      <c r="D88" s="1812"/>
      <c r="E88" s="842"/>
      <c r="F88" s="842"/>
      <c r="G88" s="709" t="s">
        <v>2462</v>
      </c>
    </row>
    <row r="89" spans="2:7">
      <c r="B89" s="843"/>
      <c r="C89" s="864"/>
      <c r="D89" s="865" t="s">
        <v>3392</v>
      </c>
      <c r="E89" s="723" t="s">
        <v>3393</v>
      </c>
      <c r="F89" s="845"/>
      <c r="G89" s="845" t="s">
        <v>3394</v>
      </c>
    </row>
    <row r="90" spans="2:7" ht="49.5" customHeight="1">
      <c r="B90" s="843"/>
      <c r="C90" s="866"/>
      <c r="D90" s="865" t="s">
        <v>3395</v>
      </c>
      <c r="E90" s="722" t="s">
        <v>3396</v>
      </c>
      <c r="F90" s="845"/>
      <c r="G90" s="845" t="s">
        <v>3397</v>
      </c>
    </row>
    <row r="91" spans="2:7" ht="67.5">
      <c r="B91" s="846"/>
      <c r="C91" s="866"/>
      <c r="D91" s="865" t="s">
        <v>3398</v>
      </c>
      <c r="E91" s="722" t="s">
        <v>3399</v>
      </c>
      <c r="F91" s="845"/>
      <c r="G91" s="845" t="s">
        <v>3400</v>
      </c>
    </row>
  </sheetData>
  <mergeCells count="20">
    <mergeCell ref="B83:D83"/>
    <mergeCell ref="B88:D88"/>
    <mergeCell ref="C24:D24"/>
    <mergeCell ref="C28:D28"/>
    <mergeCell ref="B31:D31"/>
    <mergeCell ref="B42:D42"/>
    <mergeCell ref="C43:D43"/>
    <mergeCell ref="C44:D44"/>
    <mergeCell ref="C18:D18"/>
    <mergeCell ref="B2:D2"/>
    <mergeCell ref="B3:D3"/>
    <mergeCell ref="C4:D4"/>
    <mergeCell ref="C5:D5"/>
    <mergeCell ref="C6:D6"/>
    <mergeCell ref="B8:D8"/>
    <mergeCell ref="C9:D9"/>
    <mergeCell ref="C11:D11"/>
    <mergeCell ref="C13:D13"/>
    <mergeCell ref="C15:D15"/>
    <mergeCell ref="B17:D17"/>
  </mergeCells>
  <phoneticPr fontId="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theme="9" tint="0.59999389629810485"/>
  </sheetPr>
  <dimension ref="A1"/>
  <sheetViews>
    <sheetView zoomScaleNormal="100" zoomScaleSheetLayoutView="100" workbookViewId="0">
      <selection sqref="A1:XFD1048576"/>
    </sheetView>
  </sheetViews>
  <sheetFormatPr defaultColWidth="2.875" defaultRowHeight="17.45" customHeight="1"/>
  <sheetData>
    <row r="1" spans="1:1" ht="17.45" customHeight="1">
      <c r="A1" s="995"/>
    </row>
  </sheetData>
  <phoneticPr fontId="2"/>
  <pageMargins left="0.98425196850393704" right="0.70866141732283472" top="0.74803149606299213" bottom="0.74803149606299213" header="0.31496062992125984" footer="0.31496062992125984"/>
  <pageSetup paperSize="9" orientation="portrait" verticalDpi="0"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B1:BR94"/>
  <sheetViews>
    <sheetView zoomScale="70" zoomScaleNormal="70" workbookViewId="0">
      <selection activeCell="C13" sqref="C13"/>
    </sheetView>
  </sheetViews>
  <sheetFormatPr defaultColWidth="8.625" defaultRowHeight="16.5"/>
  <cols>
    <col min="1" max="1" width="2.625" style="231" customWidth="1"/>
    <col min="2" max="2" width="19.625" style="231" bestFit="1" customWidth="1"/>
    <col min="3" max="3" width="36.375" style="231" bestFit="1" customWidth="1"/>
    <col min="4" max="4" width="35.75" style="231" bestFit="1" customWidth="1"/>
    <col min="5" max="5" width="2.625" style="231" customWidth="1"/>
    <col min="6" max="6" width="0.875" style="231" customWidth="1"/>
    <col min="7" max="7" width="2.875" style="231" customWidth="1"/>
    <col min="8" max="8" width="4.625" style="230" customWidth="1"/>
    <col min="9" max="20" width="2.875" style="230" customWidth="1"/>
    <col min="21" max="35" width="2.875" style="231" customWidth="1"/>
    <col min="36" max="36" width="0.875" style="231" customWidth="1"/>
    <col min="37" max="37" width="3.625" style="231" customWidth="1"/>
    <col min="38" max="38" width="19.5" style="231" bestFit="1" customWidth="1"/>
    <col min="39" max="39" width="3.625" style="231" customWidth="1"/>
    <col min="40" max="40" width="12" style="231" bestFit="1" customWidth="1"/>
    <col min="41" max="41" width="5.5" style="231" bestFit="1" customWidth="1"/>
    <col min="42" max="42" width="12.5" style="231" bestFit="1" customWidth="1"/>
    <col min="43" max="43" width="9.25" style="231" bestFit="1" customWidth="1"/>
    <col min="44" max="45" width="7.375" style="231" bestFit="1" customWidth="1"/>
    <col min="46" max="46" width="9.25" style="231" bestFit="1" customWidth="1"/>
    <col min="47" max="47" width="18.25" style="231" bestFit="1" customWidth="1"/>
    <col min="48" max="48" width="9.25" style="231" customWidth="1"/>
    <col min="49" max="49" width="3.625" style="231" customWidth="1"/>
    <col min="50" max="50" width="11.875" style="231" bestFit="1" customWidth="1"/>
    <col min="51" max="51" width="12.5" style="231" bestFit="1" customWidth="1"/>
    <col min="52" max="52" width="7.375" style="231" bestFit="1" customWidth="1"/>
    <col min="53" max="53" width="9.25" style="231" bestFit="1" customWidth="1"/>
    <col min="54" max="54" width="11.25" style="231" bestFit="1" customWidth="1"/>
    <col min="55" max="55" width="12.5" style="231" bestFit="1" customWidth="1"/>
    <col min="56" max="56" width="11.25" style="231" bestFit="1" customWidth="1"/>
    <col min="57" max="57" width="7.375" style="231" bestFit="1" customWidth="1"/>
    <col min="58" max="58" width="5.5" style="231" bestFit="1" customWidth="1"/>
    <col min="59" max="61" width="13.125" style="231" bestFit="1" customWidth="1"/>
    <col min="62" max="16384" width="8.625" style="231"/>
  </cols>
  <sheetData>
    <row r="1" spans="2:70" ht="17.25">
      <c r="F1" s="867"/>
      <c r="G1" s="1210"/>
      <c r="H1" s="1210"/>
      <c r="I1" s="1210"/>
      <c r="J1" s="1211"/>
      <c r="K1" s="1211"/>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2" t="str">
        <f>IF(UNJC0210_H_SYOUHIN_BUNRUI_MEI="","",UNJC0210_H_SYOUHIN_BUNRUI_MEI)</f>
        <v/>
      </c>
      <c r="AJ1" s="867"/>
    </row>
    <row r="2" spans="2:70" ht="18.75">
      <c r="C2" s="1823" t="s">
        <v>3401</v>
      </c>
      <c r="D2" s="1823"/>
      <c r="F2" s="867"/>
      <c r="G2" s="1210"/>
      <c r="H2" s="1210"/>
      <c r="I2" s="1210"/>
      <c r="J2" s="1210"/>
      <c r="K2" s="1210"/>
      <c r="L2" s="1210"/>
      <c r="M2" s="1210"/>
      <c r="N2" s="1210"/>
      <c r="O2" s="1210"/>
      <c r="P2" s="1210"/>
      <c r="Q2" s="1210"/>
      <c r="R2" s="1210"/>
      <c r="S2" s="1210"/>
      <c r="T2" s="1210"/>
      <c r="U2" s="1210"/>
      <c r="V2" s="1210"/>
      <c r="W2" s="1210"/>
      <c r="X2" s="1213"/>
      <c r="Y2" s="1824" t="s">
        <v>1612</v>
      </c>
      <c r="Z2" s="1824"/>
      <c r="AA2" s="1211"/>
      <c r="AB2" s="1819" t="s">
        <v>2226</v>
      </c>
      <c r="AC2" s="1819"/>
      <c r="AD2" s="1819"/>
      <c r="AE2" s="1819"/>
      <c r="AF2" s="1819"/>
      <c r="AG2" s="1819"/>
      <c r="AH2" s="1819"/>
      <c r="AI2" s="1210"/>
      <c r="AJ2" s="867"/>
      <c r="AL2" s="709" t="s">
        <v>2927</v>
      </c>
      <c r="AM2" s="797"/>
      <c r="AN2" s="709" t="s">
        <v>100</v>
      </c>
      <c r="AO2" s="693">
        <v>8</v>
      </c>
      <c r="AP2" s="691"/>
      <c r="AQ2" s="691"/>
      <c r="AR2" s="691"/>
      <c r="AS2" s="691"/>
      <c r="AT2" s="691"/>
      <c r="AU2" s="691"/>
      <c r="AV2" s="691"/>
      <c r="AX2" s="709" t="s">
        <v>100</v>
      </c>
      <c r="AY2" s="693">
        <v>11</v>
      </c>
      <c r="AZ2" s="691"/>
      <c r="BA2" s="691"/>
      <c r="BB2" s="691"/>
      <c r="BC2" s="691"/>
      <c r="BD2" s="691"/>
      <c r="BE2" s="691"/>
      <c r="BJ2" s="231" t="s">
        <v>3404</v>
      </c>
    </row>
    <row r="3" spans="2:70" ht="18.75">
      <c r="C3" s="76" t="str">
        <f>ADDRESS(ROW(UNJC0210_PRINT_IF_COPY_AREA),COLUMN(UNJC0210_PRINT_IF_COPY_AREA),3) &amp; ":" &amp; ADDRESS(ROW(UNJC0210_PRINT_IF_COPY_AREA)+ROWS(UNJC0210_PRINT_IF_COPY_AREA)-1,COLUMN(UNJC0210_PRINT_IF_COPY_AREA)+COLUMNS(UNJC0210_PRINT_IF_COPY_AREA)-1,3)</f>
        <v>$G1:$AI46</v>
      </c>
      <c r="D3" s="835" t="s">
        <v>3405</v>
      </c>
      <c r="F3" s="867"/>
      <c r="G3" s="1210"/>
      <c r="H3" s="1210"/>
      <c r="I3" s="1210"/>
      <c r="J3" s="1210"/>
      <c r="K3" s="1210"/>
      <c r="L3" s="1210"/>
      <c r="M3" s="1210"/>
      <c r="N3" s="1210"/>
      <c r="O3" s="1210"/>
      <c r="P3" s="1210"/>
      <c r="Q3" s="1210"/>
      <c r="R3" s="1210"/>
      <c r="S3" s="1210"/>
      <c r="T3" s="1210"/>
      <c r="U3" s="1210"/>
      <c r="V3" s="1210"/>
      <c r="W3" s="1210"/>
      <c r="X3" s="1820" t="s">
        <v>3402</v>
      </c>
      <c r="Y3" s="1820"/>
      <c r="Z3" s="1820"/>
      <c r="AA3" s="1211"/>
      <c r="AB3" s="1819" t="s">
        <v>3403</v>
      </c>
      <c r="AC3" s="1819"/>
      <c r="AD3" s="1819"/>
      <c r="AE3" s="1819"/>
      <c r="AF3" s="1819"/>
      <c r="AG3" s="1819"/>
      <c r="AH3" s="1819"/>
      <c r="AI3" s="1210"/>
      <c r="AJ3" s="867"/>
      <c r="AL3" s="694" t="s">
        <v>2932</v>
      </c>
      <c r="AN3" s="709" t="s">
        <v>3407</v>
      </c>
      <c r="AO3" s="709" t="s">
        <v>2886</v>
      </c>
      <c r="AP3" s="709" t="s">
        <v>2887</v>
      </c>
      <c r="AQ3" s="709" t="s">
        <v>2888</v>
      </c>
      <c r="AR3" s="709" t="s">
        <v>2889</v>
      </c>
      <c r="AS3" s="709" t="s">
        <v>2890</v>
      </c>
      <c r="AT3" s="709" t="s">
        <v>2891</v>
      </c>
      <c r="AU3" s="709" t="s">
        <v>2892</v>
      </c>
      <c r="AV3" s="709" t="s">
        <v>4526</v>
      </c>
      <c r="AX3" s="709" t="s">
        <v>338</v>
      </c>
      <c r="AY3" s="709" t="s">
        <v>3408</v>
      </c>
      <c r="AZ3" s="709" t="s">
        <v>2909</v>
      </c>
      <c r="BA3" s="709" t="s">
        <v>1595</v>
      </c>
      <c r="BB3" s="709" t="s">
        <v>3409</v>
      </c>
      <c r="BC3" s="709" t="s">
        <v>867</v>
      </c>
      <c r="BD3" s="709" t="s">
        <v>829</v>
      </c>
      <c r="BE3" s="709" t="s">
        <v>3410</v>
      </c>
      <c r="BF3" s="709" t="s">
        <v>78</v>
      </c>
      <c r="BG3" s="709" t="s">
        <v>63</v>
      </c>
      <c r="BH3" s="709" t="s">
        <v>1</v>
      </c>
      <c r="BI3" s="709" t="s">
        <v>4527</v>
      </c>
      <c r="BJ3" s="709"/>
    </row>
    <row r="4" spans="2:70" ht="18.75">
      <c r="C4" s="76" t="str">
        <f>ADDRESS(ROW(UNJC0210_PRINT_IF_COPY_AREA_SUB),COLUMN(UNJC0210_PRINT_IF_COPY_AREA_SUB),3) &amp; ":" &amp; ADDRESS(ROW(UNJC0210_PRINT_IF_COPY_AREA_SUB)+ROWS(UNJC0210_PRINT_IF_COPY_AREA_SUB)-1,COLUMN(UNJC0210_PRINT_IF_COPY_AREA_SUB)+COLUMNS(UNJC0210_PRINT_IF_COPY_AREA_SUB)-1,3)</f>
        <v>$G48:$AI93</v>
      </c>
      <c r="D4" s="835" t="s">
        <v>3411</v>
      </c>
      <c r="F4" s="867"/>
      <c r="G4" s="1210"/>
      <c r="H4" s="1210"/>
      <c r="I4" s="1214"/>
      <c r="J4" s="1210"/>
      <c r="K4" s="1210"/>
      <c r="L4" s="1210"/>
      <c r="M4" s="1210"/>
      <c r="N4" s="1210"/>
      <c r="O4" s="1210"/>
      <c r="P4" s="1210"/>
      <c r="Q4" s="1210"/>
      <c r="R4" s="1210"/>
      <c r="S4" s="1210"/>
      <c r="T4" s="1210"/>
      <c r="U4" s="1210"/>
      <c r="V4" s="1210"/>
      <c r="W4" s="1210"/>
      <c r="X4" s="1820" t="s">
        <v>3406</v>
      </c>
      <c r="Y4" s="1820"/>
      <c r="Z4" s="1820"/>
      <c r="AA4" s="1211"/>
      <c r="AB4" s="1819" t="s">
        <v>2237</v>
      </c>
      <c r="AC4" s="1819"/>
      <c r="AD4" s="1819"/>
      <c r="AE4" s="1819"/>
      <c r="AF4" s="1819"/>
      <c r="AG4" s="1819"/>
      <c r="AH4" s="1819"/>
      <c r="AI4" s="1210"/>
      <c r="AJ4" s="867"/>
      <c r="AL4" s="694" t="s">
        <v>2935</v>
      </c>
      <c r="AN4" s="785">
        <v>1</v>
      </c>
      <c r="AO4" s="691" t="s">
        <v>3413</v>
      </c>
      <c r="AP4" s="691" t="s">
        <v>3414</v>
      </c>
      <c r="AQ4" s="691">
        <v>1</v>
      </c>
      <c r="AR4" s="691">
        <v>1</v>
      </c>
      <c r="AS4" s="691">
        <v>10</v>
      </c>
      <c r="AT4" s="691"/>
      <c r="AU4" s="701"/>
      <c r="AV4" s="785" t="b">
        <v>1</v>
      </c>
      <c r="AX4" s="868" t="s">
        <v>2226</v>
      </c>
      <c r="AY4" s="582">
        <v>42483</v>
      </c>
      <c r="AZ4" s="231" t="s">
        <v>3415</v>
      </c>
      <c r="BA4" s="231" t="s">
        <v>3416</v>
      </c>
      <c r="BB4" s="231" t="s">
        <v>3417</v>
      </c>
      <c r="BC4" s="582">
        <v>42483</v>
      </c>
      <c r="BD4" s="231" t="s">
        <v>3418</v>
      </c>
      <c r="BE4" s="231" t="s">
        <v>3419</v>
      </c>
      <c r="BF4" s="231">
        <v>1</v>
      </c>
      <c r="BG4" s="231" t="s">
        <v>3420</v>
      </c>
      <c r="BH4" s="328" t="s">
        <v>4528</v>
      </c>
      <c r="BI4" s="868">
        <v>1</v>
      </c>
      <c r="BJ4" s="231">
        <v>1</v>
      </c>
      <c r="BK4" s="231">
        <v>10</v>
      </c>
      <c r="BL4" s="231">
        <v>100</v>
      </c>
      <c r="BM4" s="231">
        <v>120</v>
      </c>
      <c r="BN4" s="231">
        <v>130</v>
      </c>
      <c r="BO4" s="231">
        <v>1</v>
      </c>
      <c r="BP4" s="231">
        <v>1</v>
      </c>
      <c r="BQ4" s="231" t="s">
        <v>3421</v>
      </c>
      <c r="BR4" s="231">
        <v>1</v>
      </c>
    </row>
    <row r="5" spans="2:70" ht="18.75">
      <c r="C5" s="76" t="str">
        <f>ADDRESS(ROW(UNJC0210_PRINT_IF_PASTE_AREA),COLUMN(UNJC0210_PRINT_IF_PASTE_AREA),3) &amp; ":" &amp; ADDRESS(ROW(UNJC0210_PRINT_IF_PASTE_AREA)+ROWS(UNJC0210_PRINT_IF_PASTE_AREA)-1,COLUMN(UNJC0210_PRINT_IF_PASTE_AREA)+COLUMNS(UNJC0210_PRINT_IF_PASTE_AREA)-1,3)</f>
        <v>$G12:$AI46</v>
      </c>
      <c r="D5" s="835" t="s">
        <v>3422</v>
      </c>
      <c r="F5" s="867"/>
      <c r="G5" s="1210"/>
      <c r="H5" s="1210"/>
      <c r="I5" s="1819" t="s">
        <v>1595</v>
      </c>
      <c r="J5" s="1819"/>
      <c r="K5" s="1819"/>
      <c r="L5" s="1210" t="s">
        <v>3412</v>
      </c>
      <c r="M5" s="1819" t="s">
        <v>2237</v>
      </c>
      <c r="N5" s="1819"/>
      <c r="O5" s="1819"/>
      <c r="P5" s="1819"/>
      <c r="Q5" s="1819"/>
      <c r="R5" s="1819"/>
      <c r="S5" s="1819"/>
      <c r="T5" s="1819"/>
      <c r="U5" s="1819"/>
      <c r="V5" s="1819"/>
      <c r="W5" s="1819"/>
      <c r="X5" s="1819"/>
      <c r="Y5" s="1819"/>
      <c r="Z5" s="1819"/>
      <c r="AA5" s="1819"/>
      <c r="AB5" s="1819"/>
      <c r="AC5" s="1819"/>
      <c r="AD5" s="1819"/>
      <c r="AE5" s="1819"/>
      <c r="AF5" s="1819"/>
      <c r="AG5" s="1819"/>
      <c r="AH5" s="1819"/>
      <c r="AI5" s="1210"/>
      <c r="AJ5" s="867"/>
      <c r="AL5" s="694" t="s">
        <v>2938</v>
      </c>
      <c r="AN5" s="701">
        <v>1</v>
      </c>
      <c r="AO5" s="691" t="s">
        <v>3424</v>
      </c>
      <c r="AP5" s="691" t="s">
        <v>3425</v>
      </c>
      <c r="AQ5" s="691">
        <v>1</v>
      </c>
      <c r="AR5" s="691">
        <v>2</v>
      </c>
      <c r="AS5" s="691">
        <v>3</v>
      </c>
      <c r="AT5" s="691">
        <v>1</v>
      </c>
      <c r="AU5" s="691"/>
      <c r="AV5" s="691" t="b">
        <v>1</v>
      </c>
      <c r="AX5" s="231" t="s">
        <v>2226</v>
      </c>
      <c r="AY5" s="582">
        <v>42483</v>
      </c>
      <c r="AZ5" s="231" t="s">
        <v>3415</v>
      </c>
      <c r="BA5" s="231" t="s">
        <v>3426</v>
      </c>
      <c r="BB5" s="231" t="s">
        <v>3427</v>
      </c>
      <c r="BC5" s="582">
        <v>42483</v>
      </c>
      <c r="BD5" s="231" t="s">
        <v>3428</v>
      </c>
      <c r="BE5" s="231" t="s">
        <v>3429</v>
      </c>
      <c r="BF5" s="231">
        <v>2</v>
      </c>
      <c r="BG5" s="231" t="s">
        <v>3430</v>
      </c>
      <c r="BH5" s="231" t="s">
        <v>3430</v>
      </c>
      <c r="BI5" s="231">
        <v>2</v>
      </c>
      <c r="BJ5" s="231">
        <v>2</v>
      </c>
      <c r="BK5" s="231">
        <v>10</v>
      </c>
      <c r="BL5" s="231">
        <v>100</v>
      </c>
      <c r="BM5" s="231">
        <v>120</v>
      </c>
      <c r="BN5" s="231">
        <v>130</v>
      </c>
      <c r="BP5" s="231">
        <v>1</v>
      </c>
      <c r="BQ5" s="231" t="s">
        <v>3421</v>
      </c>
      <c r="BR5" s="231">
        <v>1</v>
      </c>
    </row>
    <row r="6" spans="2:70" ht="18.75">
      <c r="C6" s="76" t="str">
        <f>ADDRESS(ROW(UNJC0210_PRINT_IF_PASTE_AREA_SUB),COLUMN(UNJC0210_PRINT_IF_PASTE_AREA_SUB),3) &amp; ":" &amp; ADDRESS(ROW(UNJC0210_PRINT_IF_PASTE_AREA_SUB)+ROWS(UNJC0210_PRINT_IF_PASTE_AREA_SUB)-1,COLUMN(UNJC0210_PRINT_IF_PASTE_AREA_SUB)+COLUMNS(UNJC0210_PRINT_IF_PASTE_AREA_SUB)-1,3)</f>
        <v>$G51:$AI93</v>
      </c>
      <c r="D6" s="835" t="s">
        <v>3431</v>
      </c>
      <c r="F6" s="867"/>
      <c r="G6" s="1210"/>
      <c r="H6" s="1210"/>
      <c r="I6" s="1819" t="s">
        <v>3409</v>
      </c>
      <c r="J6" s="1819"/>
      <c r="K6" s="1819"/>
      <c r="L6" s="1821" t="s">
        <v>3412</v>
      </c>
      <c r="M6" s="1822" t="s">
        <v>3423</v>
      </c>
      <c r="N6" s="1822"/>
      <c r="O6" s="1822"/>
      <c r="P6" s="1822"/>
      <c r="Q6" s="1822"/>
      <c r="R6" s="1822"/>
      <c r="S6" s="1822"/>
      <c r="T6" s="1822"/>
      <c r="U6" s="1822"/>
      <c r="V6" s="1822"/>
      <c r="W6" s="1822"/>
      <c r="X6" s="1822"/>
      <c r="Y6" s="1822"/>
      <c r="Z6" s="1822"/>
      <c r="AA6" s="1822"/>
      <c r="AB6" s="1822"/>
      <c r="AC6" s="1822"/>
      <c r="AD6" s="1822"/>
      <c r="AE6" s="1822"/>
      <c r="AF6" s="1822"/>
      <c r="AG6" s="1822"/>
      <c r="AH6" s="1822"/>
      <c r="AI6" s="1210"/>
      <c r="AJ6" s="867"/>
      <c r="AL6" s="694" t="s">
        <v>2942</v>
      </c>
      <c r="AN6" s="701">
        <v>1</v>
      </c>
      <c r="AO6" s="691" t="s">
        <v>3432</v>
      </c>
      <c r="AP6" s="691" t="s">
        <v>3433</v>
      </c>
      <c r="AQ6" s="691">
        <v>1</v>
      </c>
      <c r="AR6" s="691">
        <v>2</v>
      </c>
      <c r="AS6" s="691">
        <v>3</v>
      </c>
      <c r="AT6" s="691">
        <v>2</v>
      </c>
      <c r="AU6" s="691"/>
      <c r="AV6" s="691" t="b">
        <v>1</v>
      </c>
      <c r="AX6" s="231" t="s">
        <v>3434</v>
      </c>
      <c r="AY6" s="582">
        <v>42483</v>
      </c>
      <c r="AZ6" s="231" t="s">
        <v>3415</v>
      </c>
      <c r="BA6" s="231" t="s">
        <v>3435</v>
      </c>
      <c r="BB6" s="231" t="s">
        <v>3436</v>
      </c>
      <c r="BC6" s="582">
        <v>42483</v>
      </c>
      <c r="BD6" s="231" t="s">
        <v>3437</v>
      </c>
      <c r="BE6" s="231" t="s">
        <v>3438</v>
      </c>
      <c r="BF6" s="231">
        <v>3</v>
      </c>
      <c r="BG6" s="231" t="s">
        <v>3439</v>
      </c>
      <c r="BH6" s="231" t="s">
        <v>3439</v>
      </c>
      <c r="BI6" s="231">
        <v>3</v>
      </c>
      <c r="BJ6" s="231">
        <v>3</v>
      </c>
      <c r="BK6" s="231">
        <v>10</v>
      </c>
      <c r="BL6" s="231">
        <v>100</v>
      </c>
      <c r="BM6" s="231">
        <v>120</v>
      </c>
      <c r="BN6" s="231">
        <v>130</v>
      </c>
      <c r="BQ6" s="231" t="s">
        <v>3421</v>
      </c>
      <c r="BR6" s="231">
        <v>2</v>
      </c>
    </row>
    <row r="7" spans="2:70" ht="18.75">
      <c r="F7" s="867"/>
      <c r="G7" s="1210"/>
      <c r="H7" s="1210"/>
      <c r="I7" s="1819"/>
      <c r="J7" s="1819"/>
      <c r="K7" s="1819"/>
      <c r="L7" s="1821"/>
      <c r="M7" s="1822"/>
      <c r="N7" s="1822"/>
      <c r="O7" s="1822"/>
      <c r="P7" s="1822"/>
      <c r="Q7" s="1822"/>
      <c r="R7" s="1822"/>
      <c r="S7" s="1822"/>
      <c r="T7" s="1822"/>
      <c r="U7" s="1822"/>
      <c r="V7" s="1822"/>
      <c r="W7" s="1822"/>
      <c r="X7" s="1822"/>
      <c r="Y7" s="1822"/>
      <c r="Z7" s="1822"/>
      <c r="AA7" s="1822"/>
      <c r="AB7" s="1822"/>
      <c r="AC7" s="1822"/>
      <c r="AD7" s="1822"/>
      <c r="AE7" s="1822"/>
      <c r="AF7" s="1822"/>
      <c r="AG7" s="1822"/>
      <c r="AH7" s="1822"/>
      <c r="AI7" s="1210"/>
      <c r="AJ7" s="867"/>
      <c r="AL7" s="694" t="s">
        <v>2944</v>
      </c>
      <c r="AN7" s="701">
        <v>1</v>
      </c>
      <c r="AO7" s="691" t="s">
        <v>3440</v>
      </c>
      <c r="AP7" s="691" t="s">
        <v>3441</v>
      </c>
      <c r="AQ7" s="691">
        <v>1</v>
      </c>
      <c r="AR7" s="691">
        <v>2</v>
      </c>
      <c r="AS7" s="691">
        <v>3</v>
      </c>
      <c r="AT7" s="691">
        <v>2</v>
      </c>
      <c r="AU7" s="691"/>
      <c r="AV7" s="691" t="b">
        <v>1</v>
      </c>
      <c r="AX7" s="231" t="s">
        <v>3434</v>
      </c>
      <c r="AY7" s="582">
        <v>42483</v>
      </c>
      <c r="AZ7" s="231" t="s">
        <v>3415</v>
      </c>
      <c r="BA7" s="231" t="s">
        <v>3442</v>
      </c>
      <c r="BB7" s="231" t="s">
        <v>3443</v>
      </c>
      <c r="BC7" s="582">
        <v>42483</v>
      </c>
      <c r="BD7" s="231" t="s">
        <v>3444</v>
      </c>
      <c r="BE7" s="231" t="s">
        <v>3445</v>
      </c>
      <c r="BF7" s="231">
        <v>4</v>
      </c>
      <c r="BG7" s="231" t="s">
        <v>3446</v>
      </c>
      <c r="BH7" s="231" t="s">
        <v>3446</v>
      </c>
      <c r="BI7" s="231">
        <v>4</v>
      </c>
      <c r="BJ7" s="231">
        <v>4</v>
      </c>
      <c r="BK7" s="231">
        <v>10</v>
      </c>
      <c r="BL7" s="231">
        <v>100</v>
      </c>
      <c r="BM7" s="231">
        <v>120</v>
      </c>
      <c r="BN7" s="231">
        <v>130</v>
      </c>
      <c r="BQ7" s="231" t="s">
        <v>3421</v>
      </c>
    </row>
    <row r="8" spans="2:70" ht="18.75">
      <c r="B8" s="696" t="s">
        <v>3447</v>
      </c>
      <c r="C8" s="76" t="str">
        <f>IF(UNJC0210_PRINT_IF_ItemizedSampleMasterNumber=0,"",
"UNJC0210_PRINT_IF!"&amp;ADDRESS(ROW(UNJC0210_PRINT_IF_ItemizedSampleMasterList),COLUMN(UNJC0210_PRINT_IF_ItemizedSampleMasterList))&amp;":"&amp;ADDRESS(ROW(UNJC0210_PRINT_IF_ItemizedSampleMasterList)+UNJC0210_PRINT_IF_ItemizedSampleMasterNumber-1,COLUMN(UNJC0210_PRINT_IF_ItemizedSampleMasterList_End)))</f>
        <v>UNJC0210_PRINT_IF!$AN$4:$AV$11</v>
      </c>
      <c r="D8" s="76" t="s">
        <v>3448</v>
      </c>
      <c r="F8" s="867"/>
      <c r="G8" s="1210"/>
      <c r="H8" s="1210"/>
      <c r="I8" s="1819" t="s">
        <v>867</v>
      </c>
      <c r="J8" s="1819"/>
      <c r="K8" s="1819"/>
      <c r="L8" s="1210" t="s">
        <v>3412</v>
      </c>
      <c r="M8" s="1819" t="s">
        <v>3403</v>
      </c>
      <c r="N8" s="1819"/>
      <c r="O8" s="1819"/>
      <c r="P8" s="1819"/>
      <c r="Q8" s="1819"/>
      <c r="R8" s="1819"/>
      <c r="S8" s="1819"/>
      <c r="T8" s="1819"/>
      <c r="U8" s="1819"/>
      <c r="V8" s="1819"/>
      <c r="W8" s="1819"/>
      <c r="X8" s="1819"/>
      <c r="Y8" s="1819"/>
      <c r="Z8" s="1819"/>
      <c r="AA8" s="1819"/>
      <c r="AB8" s="1819"/>
      <c r="AC8" s="1819"/>
      <c r="AD8" s="1819"/>
      <c r="AE8" s="1819"/>
      <c r="AF8" s="1819"/>
      <c r="AG8" s="1819"/>
      <c r="AH8" s="1819"/>
      <c r="AI8" s="1210"/>
      <c r="AJ8" s="867"/>
      <c r="AL8" s="694" t="s">
        <v>2948</v>
      </c>
      <c r="AN8" s="701">
        <v>1</v>
      </c>
      <c r="AO8" s="691" t="s">
        <v>3449</v>
      </c>
      <c r="AP8" s="691" t="s">
        <v>3450</v>
      </c>
      <c r="AQ8" s="691">
        <v>1</v>
      </c>
      <c r="AR8" s="691">
        <v>2</v>
      </c>
      <c r="AS8" s="691">
        <v>3</v>
      </c>
      <c r="AT8" s="691">
        <v>2</v>
      </c>
      <c r="AU8" s="691"/>
      <c r="AV8" s="691" t="b">
        <v>1</v>
      </c>
      <c r="AX8" s="231" t="s">
        <v>3434</v>
      </c>
      <c r="AY8" s="582">
        <v>42483</v>
      </c>
      <c r="AZ8" s="231" t="s">
        <v>3415</v>
      </c>
      <c r="BA8" s="231" t="s">
        <v>3451</v>
      </c>
      <c r="BB8" s="231" t="s">
        <v>3452</v>
      </c>
      <c r="BC8" s="582">
        <v>42483</v>
      </c>
      <c r="BD8" s="231" t="s">
        <v>3453</v>
      </c>
      <c r="BE8" s="231" t="s">
        <v>3454</v>
      </c>
      <c r="BF8" s="231">
        <v>5</v>
      </c>
      <c r="BG8" s="231" t="s">
        <v>3455</v>
      </c>
      <c r="BH8" s="231" t="s">
        <v>3455</v>
      </c>
      <c r="BI8" s="231">
        <v>5</v>
      </c>
      <c r="BJ8" s="231">
        <v>5</v>
      </c>
      <c r="BK8" s="231">
        <v>10</v>
      </c>
      <c r="BL8" s="231">
        <v>100</v>
      </c>
      <c r="BM8" s="231">
        <v>120</v>
      </c>
      <c r="BN8" s="231">
        <v>130</v>
      </c>
      <c r="BQ8" s="231" t="s">
        <v>3421</v>
      </c>
    </row>
    <row r="9" spans="2:70" ht="18.75">
      <c r="B9" s="696" t="s">
        <v>3456</v>
      </c>
      <c r="C9" s="76" t="str">
        <f>IF(UNJC0210_PRINT_IF_LabelListNum=0,"",
"UNJC0210_PRINT_IF!"&amp;ADDRESS(ROW(UNJC0210_PRINT_IF_LabelList),COLUMN(UNJC0210_PRINT_IF_LabelList))&amp;":"&amp;ADDRESS(ROW(UNJC0210_PRINT_IF_LabelList)+UNJC0210_PRINT_IF_LabelListNum-1,COLUMN(UNJC0210_PRINT_IF_LabelList_End)+UNJC0210_PRINT_IF_ItemizedSampleMasterNumber))</f>
        <v>UNJC0210_PRINT_IF!$AX$4:$BQ$14</v>
      </c>
      <c r="D9" s="76" t="s">
        <v>3457</v>
      </c>
      <c r="F9" s="867"/>
      <c r="G9" s="1210"/>
      <c r="H9" s="1210"/>
      <c r="I9" s="1819" t="s">
        <v>829</v>
      </c>
      <c r="J9" s="1819"/>
      <c r="K9" s="1819"/>
      <c r="L9" s="1210" t="s">
        <v>3412</v>
      </c>
      <c r="M9" s="1819" t="s">
        <v>2241</v>
      </c>
      <c r="N9" s="1819"/>
      <c r="O9" s="1819"/>
      <c r="P9" s="1819"/>
      <c r="Q9" s="1819"/>
      <c r="R9" s="1819"/>
      <c r="S9" s="1819"/>
      <c r="T9" s="1819"/>
      <c r="U9" s="1819"/>
      <c r="V9" s="1819"/>
      <c r="W9" s="1819"/>
      <c r="X9" s="1819"/>
      <c r="Y9" s="1819"/>
      <c r="Z9" s="1819"/>
      <c r="AA9" s="1819"/>
      <c r="AB9" s="1819"/>
      <c r="AC9" s="1819"/>
      <c r="AD9" s="1819"/>
      <c r="AE9" s="1819"/>
      <c r="AF9" s="1819"/>
      <c r="AG9" s="1819"/>
      <c r="AH9" s="1819"/>
      <c r="AI9" s="1210"/>
      <c r="AJ9" s="867"/>
      <c r="AL9" s="694" t="s">
        <v>2953</v>
      </c>
      <c r="AN9" s="701">
        <v>1</v>
      </c>
      <c r="AO9" s="691" t="s">
        <v>3458</v>
      </c>
      <c r="AP9" s="691" t="s">
        <v>3459</v>
      </c>
      <c r="AQ9" s="691">
        <v>2</v>
      </c>
      <c r="AR9" s="691">
        <v>2</v>
      </c>
      <c r="AS9" s="691">
        <v>4</v>
      </c>
      <c r="AT9" s="691">
        <v>3</v>
      </c>
      <c r="AU9" s="691" t="s">
        <v>3460</v>
      </c>
      <c r="AV9" s="691" t="b">
        <v>1</v>
      </c>
      <c r="AX9" s="231" t="s">
        <v>3434</v>
      </c>
      <c r="AY9" s="582">
        <v>42483</v>
      </c>
      <c r="AZ9" s="231" t="s">
        <v>3415</v>
      </c>
      <c r="BA9" s="231" t="s">
        <v>3461</v>
      </c>
      <c r="BB9" s="231" t="s">
        <v>3462</v>
      </c>
      <c r="BC9" s="582">
        <v>42483</v>
      </c>
      <c r="BD9" s="231" t="s">
        <v>3463</v>
      </c>
      <c r="BE9" s="231" t="s">
        <v>3464</v>
      </c>
      <c r="BF9" s="231">
        <v>6</v>
      </c>
      <c r="BG9" s="231" t="s">
        <v>3465</v>
      </c>
      <c r="BH9" s="231" t="s">
        <v>3465</v>
      </c>
      <c r="BI9" s="231">
        <v>6</v>
      </c>
      <c r="BJ9" s="231">
        <v>6</v>
      </c>
      <c r="BK9" s="231">
        <v>10</v>
      </c>
      <c r="BL9" s="231">
        <v>100</v>
      </c>
      <c r="BM9" s="231">
        <v>120</v>
      </c>
      <c r="BN9" s="231">
        <v>130</v>
      </c>
      <c r="BQ9" s="231" t="s">
        <v>3421</v>
      </c>
    </row>
    <row r="10" spans="2:70" ht="18.75">
      <c r="F10" s="867"/>
      <c r="G10" s="1210"/>
      <c r="H10" s="1210"/>
      <c r="I10" s="1819" t="s">
        <v>1522</v>
      </c>
      <c r="J10" s="1819"/>
      <c r="K10" s="1819"/>
      <c r="L10" s="1210" t="s">
        <v>3412</v>
      </c>
      <c r="M10" s="1819" t="s">
        <v>2241</v>
      </c>
      <c r="N10" s="1819"/>
      <c r="O10" s="1819"/>
      <c r="P10" s="1819"/>
      <c r="Q10" s="1819"/>
      <c r="R10" s="1819"/>
      <c r="S10" s="1819"/>
      <c r="T10" s="1819"/>
      <c r="U10" s="1819"/>
      <c r="V10" s="1819"/>
      <c r="W10" s="1819"/>
      <c r="X10" s="1819"/>
      <c r="Y10" s="1819"/>
      <c r="Z10" s="1819"/>
      <c r="AA10" s="1819"/>
      <c r="AB10" s="1819"/>
      <c r="AC10" s="1819"/>
      <c r="AD10" s="1819"/>
      <c r="AE10" s="1819"/>
      <c r="AF10" s="1819"/>
      <c r="AG10" s="1819"/>
      <c r="AH10" s="1819"/>
      <c r="AI10" s="1210"/>
      <c r="AJ10" s="867"/>
      <c r="AL10" s="694" t="s">
        <v>2954</v>
      </c>
      <c r="AN10" s="701">
        <v>1</v>
      </c>
      <c r="AO10" s="691" t="s">
        <v>3466</v>
      </c>
      <c r="AP10" s="691" t="s">
        <v>3467</v>
      </c>
      <c r="AQ10" s="691">
        <v>2</v>
      </c>
      <c r="AR10" s="691">
        <v>2</v>
      </c>
      <c r="AS10" s="691">
        <v>2</v>
      </c>
      <c r="AT10" s="691">
        <v>1</v>
      </c>
      <c r="AU10" s="691" t="s">
        <v>3468</v>
      </c>
      <c r="AV10" s="691" t="b">
        <v>1</v>
      </c>
      <c r="AX10" s="231" t="s">
        <v>3434</v>
      </c>
      <c r="AY10" s="582">
        <v>42483</v>
      </c>
      <c r="AZ10" s="231" t="s">
        <v>3415</v>
      </c>
      <c r="BA10" s="231" t="s">
        <v>3469</v>
      </c>
      <c r="BB10" s="231" t="s">
        <v>3470</v>
      </c>
      <c r="BC10" s="582">
        <v>42483</v>
      </c>
      <c r="BD10" s="231" t="s">
        <v>3471</v>
      </c>
      <c r="BE10" s="231" t="s">
        <v>3472</v>
      </c>
      <c r="BF10" s="231">
        <v>7</v>
      </c>
      <c r="BG10" s="231" t="s">
        <v>3473</v>
      </c>
      <c r="BH10" s="231" t="s">
        <v>3473</v>
      </c>
      <c r="BI10" s="231">
        <v>7</v>
      </c>
      <c r="BJ10" s="231">
        <v>7</v>
      </c>
      <c r="BK10" s="231">
        <v>10</v>
      </c>
      <c r="BL10" s="231">
        <v>100</v>
      </c>
      <c r="BM10" s="231">
        <v>120</v>
      </c>
      <c r="BN10" s="231">
        <v>130</v>
      </c>
      <c r="BQ10" s="231" t="s">
        <v>3421</v>
      </c>
    </row>
    <row r="11" spans="2:70" ht="18.75">
      <c r="B11" s="696" t="s">
        <v>3474</v>
      </c>
      <c r="C11" s="697">
        <v>0</v>
      </c>
      <c r="D11" s="76" t="s">
        <v>3475</v>
      </c>
      <c r="F11" s="867"/>
      <c r="G11" s="1210"/>
      <c r="H11" s="1210"/>
      <c r="I11" s="1214"/>
      <c r="J11" s="1210"/>
      <c r="K11" s="1210"/>
      <c r="L11" s="1210"/>
      <c r="M11" s="1210"/>
      <c r="N11" s="1210"/>
      <c r="O11" s="1210"/>
      <c r="P11" s="1210"/>
      <c r="Q11" s="1210"/>
      <c r="R11" s="1210"/>
      <c r="S11" s="1210"/>
      <c r="T11" s="1210"/>
      <c r="U11" s="1210"/>
      <c r="V11" s="1210"/>
      <c r="W11" s="1210"/>
      <c r="X11" s="1210"/>
      <c r="Y11" s="1210"/>
      <c r="Z11" s="1210"/>
      <c r="AA11" s="1210"/>
      <c r="AB11" s="1210"/>
      <c r="AC11" s="1210"/>
      <c r="AD11" s="1210"/>
      <c r="AE11" s="1210"/>
      <c r="AF11" s="1210"/>
      <c r="AG11" s="1210"/>
      <c r="AH11" s="1210"/>
      <c r="AI11" s="1210"/>
      <c r="AJ11" s="867"/>
      <c r="AL11" s="694" t="s">
        <v>2955</v>
      </c>
      <c r="AN11" s="701">
        <v>1</v>
      </c>
      <c r="AO11" s="691" t="s">
        <v>3476</v>
      </c>
      <c r="AP11" s="691" t="s">
        <v>3477</v>
      </c>
      <c r="AQ11" s="691">
        <v>3</v>
      </c>
      <c r="AR11" s="691">
        <v>1</v>
      </c>
      <c r="AS11" s="691">
        <v>10</v>
      </c>
      <c r="AT11" s="691"/>
      <c r="AU11" s="691" t="s">
        <v>3478</v>
      </c>
      <c r="AV11" s="691" t="b">
        <v>1</v>
      </c>
      <c r="AX11" s="231" t="s">
        <v>3434</v>
      </c>
      <c r="AY11" s="582">
        <v>42483</v>
      </c>
      <c r="AZ11" s="231" t="s">
        <v>3415</v>
      </c>
      <c r="BA11" s="231" t="s">
        <v>3479</v>
      </c>
      <c r="BB11" s="231" t="s">
        <v>3480</v>
      </c>
      <c r="BC11" s="582">
        <v>42483</v>
      </c>
      <c r="BD11" s="231" t="s">
        <v>3481</v>
      </c>
      <c r="BE11" s="231" t="s">
        <v>3482</v>
      </c>
      <c r="BF11" s="231">
        <v>8</v>
      </c>
      <c r="BG11" s="231" t="s">
        <v>3483</v>
      </c>
      <c r="BH11" s="231" t="s">
        <v>3483</v>
      </c>
      <c r="BI11" s="231">
        <v>8</v>
      </c>
      <c r="BJ11" s="231">
        <v>8</v>
      </c>
      <c r="BK11" s="231">
        <v>10</v>
      </c>
      <c r="BL11" s="231">
        <v>100</v>
      </c>
      <c r="BM11" s="231">
        <v>120</v>
      </c>
      <c r="BN11" s="231">
        <v>130</v>
      </c>
      <c r="BQ11" s="231" t="s">
        <v>3421</v>
      </c>
    </row>
    <row r="12" spans="2:70" ht="18.75">
      <c r="F12" s="867"/>
      <c r="G12" s="1210"/>
      <c r="H12" s="1210"/>
      <c r="I12" s="1210"/>
      <c r="J12" s="1210"/>
      <c r="K12" s="1210"/>
      <c r="L12" s="1210"/>
      <c r="M12" s="1210"/>
      <c r="N12" s="1210"/>
      <c r="O12" s="1210"/>
      <c r="P12" s="1210"/>
      <c r="Q12" s="1210"/>
      <c r="R12" s="1210"/>
      <c r="S12" s="1210"/>
      <c r="T12" s="1210"/>
      <c r="U12" s="1210"/>
      <c r="V12" s="1210"/>
      <c r="W12" s="1210"/>
      <c r="X12" s="1210"/>
      <c r="Y12" s="1210"/>
      <c r="Z12" s="1210"/>
      <c r="AA12" s="1210"/>
      <c r="AB12" s="1210"/>
      <c r="AC12" s="1210"/>
      <c r="AD12" s="1210"/>
      <c r="AE12" s="1210"/>
      <c r="AF12" s="1210"/>
      <c r="AG12" s="1210"/>
      <c r="AH12" s="1210"/>
      <c r="AI12" s="1210"/>
      <c r="AJ12" s="867"/>
      <c r="AL12" s="694" t="s">
        <v>2958</v>
      </c>
      <c r="AX12" s="231" t="s">
        <v>3434</v>
      </c>
      <c r="AY12" s="582">
        <v>42483</v>
      </c>
      <c r="AZ12" s="231" t="s">
        <v>3415</v>
      </c>
      <c r="BA12" s="231" t="s">
        <v>3484</v>
      </c>
      <c r="BB12" s="231" t="s">
        <v>3485</v>
      </c>
      <c r="BC12" s="582">
        <v>42483</v>
      </c>
      <c r="BD12" s="231" t="s">
        <v>3486</v>
      </c>
      <c r="BE12" s="231" t="s">
        <v>3487</v>
      </c>
      <c r="BF12" s="231">
        <v>9</v>
      </c>
      <c r="BG12" s="231" t="s">
        <v>3488</v>
      </c>
      <c r="BH12" s="231" t="s">
        <v>3488</v>
      </c>
      <c r="BI12" s="231">
        <v>9</v>
      </c>
      <c r="BJ12" s="231">
        <v>9</v>
      </c>
      <c r="BK12" s="231">
        <v>10</v>
      </c>
      <c r="BL12" s="231">
        <v>100</v>
      </c>
      <c r="BM12" s="231">
        <v>120</v>
      </c>
      <c r="BN12" s="231">
        <v>130</v>
      </c>
      <c r="BQ12" s="231" t="s">
        <v>3421</v>
      </c>
    </row>
    <row r="13" spans="2:70" ht="16.5" customHeight="1">
      <c r="B13" s="1224" t="s">
        <v>4532</v>
      </c>
      <c r="C13" s="1225">
        <v>1</v>
      </c>
      <c r="D13" s="1223" t="s">
        <v>4533</v>
      </c>
      <c r="F13" s="867"/>
      <c r="G13" s="1210"/>
      <c r="H13" s="1210"/>
      <c r="I13" s="1210"/>
      <c r="J13" s="1210"/>
      <c r="K13" s="1210"/>
      <c r="L13" s="1210"/>
      <c r="M13" s="1210"/>
      <c r="N13" s="1210"/>
      <c r="O13" s="1210"/>
      <c r="P13" s="1210"/>
      <c r="Q13" s="1210"/>
      <c r="R13" s="1210"/>
      <c r="S13" s="1210"/>
      <c r="T13" s="1210"/>
      <c r="U13" s="1210"/>
      <c r="V13" s="1210"/>
      <c r="W13" s="1210"/>
      <c r="X13" s="1210"/>
      <c r="Y13" s="1210"/>
      <c r="Z13" s="1210"/>
      <c r="AA13" s="1210"/>
      <c r="AB13" s="1210"/>
      <c r="AC13" s="1210"/>
      <c r="AD13" s="1210"/>
      <c r="AE13" s="1210"/>
      <c r="AF13" s="1210"/>
      <c r="AG13" s="1210"/>
      <c r="AH13" s="1210"/>
      <c r="AI13" s="1210"/>
      <c r="AJ13" s="867"/>
      <c r="AL13" s="694" t="s">
        <v>2961</v>
      </c>
      <c r="AX13" s="231" t="s">
        <v>3434</v>
      </c>
      <c r="AY13" s="582">
        <v>42483</v>
      </c>
      <c r="AZ13" s="231" t="s">
        <v>3415</v>
      </c>
      <c r="BA13" s="231" t="s">
        <v>3489</v>
      </c>
      <c r="BB13" s="231" t="s">
        <v>3490</v>
      </c>
      <c r="BC13" s="582">
        <v>42483</v>
      </c>
      <c r="BD13" s="231" t="s">
        <v>3491</v>
      </c>
      <c r="BE13" s="231" t="s">
        <v>3492</v>
      </c>
      <c r="BF13" s="231">
        <v>10</v>
      </c>
      <c r="BG13" s="231" t="s">
        <v>3493</v>
      </c>
      <c r="BH13" s="231" t="s">
        <v>3493</v>
      </c>
      <c r="BI13" s="231">
        <v>10</v>
      </c>
      <c r="BJ13" s="231">
        <v>10</v>
      </c>
      <c r="BK13" s="231">
        <v>10</v>
      </c>
      <c r="BL13" s="231">
        <v>100</v>
      </c>
      <c r="BM13" s="231">
        <v>120</v>
      </c>
      <c r="BN13" s="231">
        <v>130</v>
      </c>
      <c r="BQ13" s="231" t="s">
        <v>3421</v>
      </c>
    </row>
    <row r="14" spans="2:70" ht="18.75">
      <c r="F14" s="867"/>
      <c r="G14" s="1210"/>
      <c r="H14" s="1210"/>
      <c r="I14" s="1210"/>
      <c r="J14" s="1210"/>
      <c r="K14" s="1210"/>
      <c r="L14" s="1210"/>
      <c r="M14" s="1210"/>
      <c r="N14" s="1210"/>
      <c r="O14" s="1210"/>
      <c r="P14" s="1210"/>
      <c r="Q14" s="1210"/>
      <c r="R14" s="1210"/>
      <c r="S14" s="1210"/>
      <c r="T14" s="1210"/>
      <c r="U14" s="1210"/>
      <c r="V14" s="1210"/>
      <c r="W14" s="1210"/>
      <c r="X14" s="1210"/>
      <c r="Y14" s="1210"/>
      <c r="Z14" s="1210"/>
      <c r="AA14" s="1210"/>
      <c r="AB14" s="1210"/>
      <c r="AC14" s="1210"/>
      <c r="AD14" s="1210"/>
      <c r="AE14" s="1210"/>
      <c r="AF14" s="1210"/>
      <c r="AG14" s="1210"/>
      <c r="AH14" s="1210"/>
      <c r="AI14" s="1210"/>
      <c r="AJ14" s="867"/>
      <c r="AL14" s="694" t="s">
        <v>2964</v>
      </c>
      <c r="AX14" s="231" t="s">
        <v>3434</v>
      </c>
      <c r="AY14" s="582">
        <v>42483</v>
      </c>
      <c r="AZ14" s="231" t="s">
        <v>3415</v>
      </c>
      <c r="BA14" s="231" t="s">
        <v>3494</v>
      </c>
      <c r="BB14" s="231" t="s">
        <v>3495</v>
      </c>
      <c r="BC14" s="582">
        <v>42483</v>
      </c>
      <c r="BD14" s="231" t="s">
        <v>3496</v>
      </c>
      <c r="BE14" s="231" t="s">
        <v>3497</v>
      </c>
      <c r="BF14" s="231">
        <v>11</v>
      </c>
      <c r="BG14" s="231" t="s">
        <v>3498</v>
      </c>
      <c r="BH14" s="231" t="s">
        <v>3498</v>
      </c>
      <c r="BI14" s="231">
        <v>11</v>
      </c>
      <c r="BJ14" s="231">
        <v>11</v>
      </c>
      <c r="BK14" s="231">
        <v>10</v>
      </c>
      <c r="BL14" s="231">
        <v>100</v>
      </c>
      <c r="BM14" s="231">
        <v>120</v>
      </c>
      <c r="BN14" s="231">
        <v>130</v>
      </c>
      <c r="BQ14" s="231" t="s">
        <v>3421</v>
      </c>
    </row>
    <row r="15" spans="2:70" ht="18.75">
      <c r="F15" s="867"/>
      <c r="G15" s="1210"/>
      <c r="H15" s="1210"/>
      <c r="I15" s="1210"/>
      <c r="J15" s="1210"/>
      <c r="K15" s="1210"/>
      <c r="L15" s="1210"/>
      <c r="M15" s="1210"/>
      <c r="N15" s="1210"/>
      <c r="O15" s="1210"/>
      <c r="P15" s="1210"/>
      <c r="Q15" s="1210"/>
      <c r="R15" s="1210"/>
      <c r="S15" s="1210"/>
      <c r="T15" s="1210"/>
      <c r="U15" s="1210"/>
      <c r="V15" s="1210"/>
      <c r="W15" s="1210"/>
      <c r="X15" s="1210"/>
      <c r="Y15" s="1210"/>
      <c r="Z15" s="1210"/>
      <c r="AA15" s="1210"/>
      <c r="AB15" s="1210"/>
      <c r="AC15" s="1210"/>
      <c r="AD15" s="1210"/>
      <c r="AE15" s="1210"/>
      <c r="AF15" s="1210"/>
      <c r="AG15" s="1210"/>
      <c r="AH15" s="1210"/>
      <c r="AI15" s="1210"/>
      <c r="AJ15" s="867"/>
      <c r="AL15" s="694" t="s">
        <v>2965</v>
      </c>
      <c r="AX15" s="231" t="s">
        <v>3434</v>
      </c>
      <c r="AY15" s="582">
        <v>42483</v>
      </c>
      <c r="AZ15" s="231" t="s">
        <v>3415</v>
      </c>
      <c r="BA15" s="231" t="s">
        <v>3499</v>
      </c>
      <c r="BB15" s="231" t="s">
        <v>3500</v>
      </c>
      <c r="BC15" s="582">
        <v>42483</v>
      </c>
      <c r="BD15" s="231" t="s">
        <v>3501</v>
      </c>
      <c r="BE15" s="231" t="s">
        <v>3502</v>
      </c>
      <c r="BF15" s="231">
        <v>12</v>
      </c>
      <c r="BG15" s="231" t="s">
        <v>3503</v>
      </c>
      <c r="BH15" s="231" t="s">
        <v>3503</v>
      </c>
      <c r="BI15" s="231">
        <v>12</v>
      </c>
      <c r="BJ15" s="231">
        <v>12</v>
      </c>
      <c r="BK15" s="231">
        <v>10</v>
      </c>
      <c r="BL15" s="231">
        <v>100</v>
      </c>
      <c r="BM15" s="231">
        <v>120</v>
      </c>
      <c r="BN15" s="231">
        <v>130</v>
      </c>
      <c r="BQ15" s="231" t="s">
        <v>3421</v>
      </c>
    </row>
    <row r="16" spans="2:70" ht="18.75">
      <c r="F16" s="867"/>
      <c r="G16" s="1210"/>
      <c r="H16" s="1210"/>
      <c r="I16" s="1210"/>
      <c r="J16" s="1210"/>
      <c r="K16" s="1210"/>
      <c r="L16" s="1210"/>
      <c r="M16" s="1210"/>
      <c r="N16" s="1210"/>
      <c r="O16" s="1210"/>
      <c r="P16" s="1210"/>
      <c r="Q16" s="1210"/>
      <c r="R16" s="1210"/>
      <c r="S16" s="1210"/>
      <c r="T16" s="1210"/>
      <c r="U16" s="1210"/>
      <c r="V16" s="1210"/>
      <c r="W16" s="1210"/>
      <c r="X16" s="1210"/>
      <c r="Y16" s="1210"/>
      <c r="Z16" s="1210"/>
      <c r="AA16" s="1210"/>
      <c r="AB16" s="1210"/>
      <c r="AC16" s="1210"/>
      <c r="AD16" s="1210"/>
      <c r="AE16" s="1210"/>
      <c r="AF16" s="1210"/>
      <c r="AG16" s="1210"/>
      <c r="AH16" s="1210"/>
      <c r="AI16" s="1210"/>
      <c r="AJ16" s="867"/>
      <c r="AL16" s="694" t="s">
        <v>2969</v>
      </c>
      <c r="AX16" s="231" t="s">
        <v>3434</v>
      </c>
      <c r="AY16" s="582">
        <v>42483</v>
      </c>
      <c r="AZ16" s="231" t="s">
        <v>3415</v>
      </c>
      <c r="BA16" s="231" t="s">
        <v>3504</v>
      </c>
      <c r="BB16" s="231" t="s">
        <v>3505</v>
      </c>
      <c r="BC16" s="582">
        <v>42483</v>
      </c>
      <c r="BD16" s="231" t="s">
        <v>3506</v>
      </c>
      <c r="BE16" s="231" t="s">
        <v>3507</v>
      </c>
      <c r="BF16" s="231">
        <v>13</v>
      </c>
      <c r="BG16" s="231" t="s">
        <v>3508</v>
      </c>
      <c r="BH16" s="231" t="s">
        <v>3508</v>
      </c>
      <c r="BI16" s="231">
        <v>13</v>
      </c>
      <c r="BJ16" s="231">
        <v>13</v>
      </c>
      <c r="BK16" s="231">
        <v>10</v>
      </c>
      <c r="BL16" s="231">
        <v>100</v>
      </c>
      <c r="BM16" s="231">
        <v>120</v>
      </c>
      <c r="BN16" s="231">
        <v>130</v>
      </c>
      <c r="BQ16" s="231" t="s">
        <v>3421</v>
      </c>
    </row>
    <row r="17" spans="6:69" ht="18.75">
      <c r="F17" s="867"/>
      <c r="G17" s="1210"/>
      <c r="H17" s="1210"/>
      <c r="I17" s="1210"/>
      <c r="J17" s="1210"/>
      <c r="K17" s="1210"/>
      <c r="L17" s="1210"/>
      <c r="M17" s="1210"/>
      <c r="N17" s="1210"/>
      <c r="O17" s="1210"/>
      <c r="P17" s="1210"/>
      <c r="Q17" s="1210"/>
      <c r="R17" s="1210"/>
      <c r="S17" s="1210"/>
      <c r="T17" s="1210"/>
      <c r="U17" s="1210"/>
      <c r="V17" s="1210"/>
      <c r="W17" s="1210"/>
      <c r="X17" s="1210"/>
      <c r="Y17" s="1210"/>
      <c r="Z17" s="1210"/>
      <c r="AA17" s="1210"/>
      <c r="AB17" s="1210"/>
      <c r="AC17" s="1210"/>
      <c r="AD17" s="1210"/>
      <c r="AE17" s="1210"/>
      <c r="AF17" s="1210"/>
      <c r="AG17" s="1210"/>
      <c r="AH17" s="1210"/>
      <c r="AI17" s="1210"/>
      <c r="AJ17" s="867"/>
      <c r="AL17" s="694" t="s">
        <v>2974</v>
      </c>
      <c r="AX17" s="231" t="s">
        <v>3434</v>
      </c>
      <c r="AY17" s="582">
        <v>42483</v>
      </c>
      <c r="AZ17" s="231" t="s">
        <v>3415</v>
      </c>
      <c r="BA17" s="231" t="s">
        <v>3509</v>
      </c>
      <c r="BB17" s="231" t="s">
        <v>3510</v>
      </c>
      <c r="BC17" s="582">
        <v>42483</v>
      </c>
      <c r="BD17" s="231" t="s">
        <v>3511</v>
      </c>
      <c r="BE17" s="231" t="s">
        <v>3512</v>
      </c>
      <c r="BF17" s="231">
        <v>14</v>
      </c>
      <c r="BG17" s="231" t="s">
        <v>3513</v>
      </c>
      <c r="BH17" s="231" t="s">
        <v>3513</v>
      </c>
      <c r="BI17" s="231">
        <v>14</v>
      </c>
      <c r="BJ17" s="231">
        <v>14</v>
      </c>
      <c r="BK17" s="231">
        <v>10</v>
      </c>
      <c r="BL17" s="231">
        <v>100</v>
      </c>
      <c r="BM17" s="231">
        <v>120</v>
      </c>
      <c r="BN17" s="231">
        <v>130</v>
      </c>
      <c r="BQ17" s="231" t="s">
        <v>3421</v>
      </c>
    </row>
    <row r="18" spans="6:69" ht="18.75">
      <c r="F18" s="867"/>
      <c r="G18" s="1210"/>
      <c r="H18" s="1210"/>
      <c r="I18" s="1210"/>
      <c r="J18" s="1210"/>
      <c r="K18" s="1210"/>
      <c r="L18" s="1210"/>
      <c r="M18" s="1210"/>
      <c r="N18" s="1210"/>
      <c r="O18" s="1210"/>
      <c r="P18" s="1210"/>
      <c r="Q18" s="1210"/>
      <c r="R18" s="1210"/>
      <c r="S18" s="1210"/>
      <c r="T18" s="1210"/>
      <c r="U18" s="1210"/>
      <c r="V18" s="1210"/>
      <c r="W18" s="1210"/>
      <c r="X18" s="1210"/>
      <c r="Y18" s="1210"/>
      <c r="Z18" s="1210"/>
      <c r="AA18" s="1210"/>
      <c r="AB18" s="1210"/>
      <c r="AC18" s="1210"/>
      <c r="AD18" s="1210"/>
      <c r="AE18" s="1210"/>
      <c r="AF18" s="1210"/>
      <c r="AG18" s="1210"/>
      <c r="AH18" s="1210"/>
      <c r="AI18" s="1210"/>
      <c r="AJ18" s="867"/>
      <c r="AL18" s="694" t="s">
        <v>2978</v>
      </c>
      <c r="AX18" s="231" t="s">
        <v>3434</v>
      </c>
      <c r="AY18" s="582">
        <v>42483</v>
      </c>
      <c r="AZ18" s="231" t="s">
        <v>3415</v>
      </c>
      <c r="BA18" s="231" t="s">
        <v>3514</v>
      </c>
      <c r="BB18" s="231" t="s">
        <v>3515</v>
      </c>
      <c r="BC18" s="582">
        <v>42483</v>
      </c>
      <c r="BD18" s="231" t="s">
        <v>3516</v>
      </c>
      <c r="BE18" s="231" t="s">
        <v>3517</v>
      </c>
      <c r="BF18" s="231">
        <v>15</v>
      </c>
      <c r="BG18" s="231" t="s">
        <v>3518</v>
      </c>
      <c r="BH18" s="231" t="s">
        <v>3518</v>
      </c>
      <c r="BI18" s="231">
        <v>15</v>
      </c>
      <c r="BJ18" s="231">
        <v>15</v>
      </c>
      <c r="BK18" s="231">
        <v>10</v>
      </c>
      <c r="BL18" s="231">
        <v>100</v>
      </c>
      <c r="BM18" s="231">
        <v>120</v>
      </c>
      <c r="BN18" s="231">
        <v>130</v>
      </c>
      <c r="BQ18" s="231" t="s">
        <v>3421</v>
      </c>
    </row>
    <row r="19" spans="6:69" ht="18.75">
      <c r="F19" s="867"/>
      <c r="G19" s="1210"/>
      <c r="H19" s="1210"/>
      <c r="I19" s="1210"/>
      <c r="J19" s="1210"/>
      <c r="K19" s="1210"/>
      <c r="L19" s="1210"/>
      <c r="M19" s="1210"/>
      <c r="N19" s="1210"/>
      <c r="O19" s="1210"/>
      <c r="P19" s="1210"/>
      <c r="Q19" s="1210"/>
      <c r="R19" s="1210"/>
      <c r="S19" s="1210"/>
      <c r="T19" s="1210"/>
      <c r="U19" s="1210"/>
      <c r="V19" s="1210"/>
      <c r="W19" s="1210"/>
      <c r="X19" s="1210"/>
      <c r="Y19" s="1210"/>
      <c r="Z19" s="1210"/>
      <c r="AA19" s="1210"/>
      <c r="AB19" s="1210"/>
      <c r="AC19" s="1210"/>
      <c r="AD19" s="1210"/>
      <c r="AE19" s="1210"/>
      <c r="AF19" s="1210"/>
      <c r="AG19" s="1210"/>
      <c r="AH19" s="1210"/>
      <c r="AI19" s="1210"/>
      <c r="AJ19" s="867"/>
      <c r="AL19" s="694" t="s">
        <v>2979</v>
      </c>
      <c r="AX19" s="231" t="s">
        <v>3519</v>
      </c>
      <c r="AY19" s="582">
        <v>42483</v>
      </c>
      <c r="AZ19" s="231" t="s">
        <v>3520</v>
      </c>
      <c r="BA19" s="231" t="s">
        <v>3521</v>
      </c>
      <c r="BB19" s="231" t="s">
        <v>3417</v>
      </c>
      <c r="BC19" s="582">
        <v>42483</v>
      </c>
      <c r="BD19" s="231" t="s">
        <v>3418</v>
      </c>
      <c r="BE19" s="231" t="s">
        <v>3419</v>
      </c>
      <c r="BF19" s="231">
        <v>1</v>
      </c>
      <c r="BG19" s="231" t="s">
        <v>3420</v>
      </c>
      <c r="BH19" s="231" t="s">
        <v>4529</v>
      </c>
      <c r="BI19" s="231">
        <v>16</v>
      </c>
      <c r="BJ19" s="231">
        <v>1</v>
      </c>
      <c r="BK19" s="231">
        <v>10</v>
      </c>
      <c r="BL19" s="231">
        <v>200</v>
      </c>
      <c r="BM19" s="231">
        <v>220</v>
      </c>
      <c r="BN19" s="231">
        <v>230</v>
      </c>
      <c r="BQ19" s="231" t="s">
        <v>3421</v>
      </c>
    </row>
    <row r="20" spans="6:69" ht="18.75">
      <c r="F20" s="867"/>
      <c r="G20" s="1210"/>
      <c r="H20" s="1210"/>
      <c r="I20" s="1210"/>
      <c r="J20" s="1210"/>
      <c r="K20" s="1210"/>
      <c r="L20" s="1210"/>
      <c r="M20" s="1210"/>
      <c r="N20" s="1210"/>
      <c r="O20" s="1210"/>
      <c r="P20" s="1210"/>
      <c r="Q20" s="1210"/>
      <c r="R20" s="1210"/>
      <c r="S20" s="1210"/>
      <c r="T20" s="1210"/>
      <c r="U20" s="1210"/>
      <c r="V20" s="1210"/>
      <c r="W20" s="1210"/>
      <c r="X20" s="1210"/>
      <c r="Y20" s="1210"/>
      <c r="Z20" s="1210"/>
      <c r="AA20" s="1210"/>
      <c r="AB20" s="1210"/>
      <c r="AC20" s="1210"/>
      <c r="AD20" s="1210"/>
      <c r="AE20" s="1210"/>
      <c r="AF20" s="1210"/>
      <c r="AG20" s="1210"/>
      <c r="AH20" s="1210"/>
      <c r="AI20" s="1210"/>
      <c r="AJ20" s="867"/>
      <c r="AL20" s="694" t="s">
        <v>2981</v>
      </c>
      <c r="AX20" s="231" t="s">
        <v>3522</v>
      </c>
      <c r="AY20" s="582">
        <v>42483</v>
      </c>
      <c r="AZ20" s="231" t="s">
        <v>3523</v>
      </c>
      <c r="BA20" s="231" t="s">
        <v>3416</v>
      </c>
      <c r="BB20" s="231" t="s">
        <v>3524</v>
      </c>
      <c r="BC20" s="582">
        <v>42483</v>
      </c>
      <c r="BD20" s="231" t="s">
        <v>3418</v>
      </c>
      <c r="BE20" s="231" t="s">
        <v>3419</v>
      </c>
      <c r="BF20" s="231">
        <v>1</v>
      </c>
      <c r="BG20" s="231" t="s">
        <v>3420</v>
      </c>
      <c r="BH20" s="231" t="s">
        <v>3420</v>
      </c>
      <c r="BI20" s="231">
        <v>17</v>
      </c>
      <c r="BJ20" s="231">
        <v>1</v>
      </c>
      <c r="BK20" s="231">
        <v>10</v>
      </c>
      <c r="BL20" s="231">
        <v>200</v>
      </c>
      <c r="BM20" s="231">
        <v>220</v>
      </c>
      <c r="BN20" s="231">
        <v>230</v>
      </c>
      <c r="BQ20" s="231" t="s">
        <v>3421</v>
      </c>
    </row>
    <row r="21" spans="6:69" ht="18.75">
      <c r="F21" s="867"/>
      <c r="G21" s="1210"/>
      <c r="H21" s="1210"/>
      <c r="I21" s="1214"/>
      <c r="J21" s="1210"/>
      <c r="K21" s="1210"/>
      <c r="L21" s="1210"/>
      <c r="M21" s="1210"/>
      <c r="N21" s="1210"/>
      <c r="O21" s="1210"/>
      <c r="P21" s="1210"/>
      <c r="Q21" s="1210"/>
      <c r="R21" s="1210"/>
      <c r="S21" s="1210"/>
      <c r="T21" s="1210"/>
      <c r="U21" s="1210"/>
      <c r="V21" s="1210"/>
      <c r="W21" s="1210"/>
      <c r="X21" s="1210"/>
      <c r="Y21" s="1210"/>
      <c r="Z21" s="1210"/>
      <c r="AA21" s="1210"/>
      <c r="AB21" s="1210"/>
      <c r="AC21" s="1210"/>
      <c r="AD21" s="1210"/>
      <c r="AE21" s="1210"/>
      <c r="AF21" s="1210"/>
      <c r="AG21" s="1210"/>
      <c r="AH21" s="1210"/>
      <c r="AI21" s="1210"/>
      <c r="AJ21" s="867"/>
      <c r="AL21" s="694" t="s">
        <v>3525</v>
      </c>
      <c r="AX21" s="231" t="s">
        <v>3522</v>
      </c>
      <c r="AY21" s="582">
        <v>42483</v>
      </c>
      <c r="AZ21" s="231" t="s">
        <v>3523</v>
      </c>
      <c r="BA21" s="231" t="s">
        <v>3426</v>
      </c>
      <c r="BB21" s="231" t="s">
        <v>3427</v>
      </c>
      <c r="BC21" s="582">
        <v>42484</v>
      </c>
      <c r="BD21" s="231" t="s">
        <v>3428</v>
      </c>
      <c r="BE21" s="231" t="s">
        <v>3429</v>
      </c>
      <c r="BF21" s="231">
        <v>2</v>
      </c>
      <c r="BG21" s="231" t="s">
        <v>3430</v>
      </c>
      <c r="BH21" s="231" t="s">
        <v>3430</v>
      </c>
      <c r="BI21" s="231">
        <v>18</v>
      </c>
      <c r="BJ21" s="231">
        <v>1</v>
      </c>
      <c r="BK21" s="231">
        <v>10</v>
      </c>
      <c r="BL21" s="231">
        <v>200</v>
      </c>
      <c r="BM21" s="231">
        <v>220</v>
      </c>
      <c r="BN21" s="231">
        <v>230</v>
      </c>
      <c r="BQ21" s="231" t="s">
        <v>3421</v>
      </c>
    </row>
    <row r="22" spans="6:69" ht="18.75">
      <c r="F22" s="867"/>
      <c r="G22" s="1210"/>
      <c r="H22" s="1210"/>
      <c r="I22" s="1214"/>
      <c r="J22" s="1210"/>
      <c r="K22" s="1210"/>
      <c r="L22" s="1210"/>
      <c r="M22" s="1210"/>
      <c r="N22" s="1210"/>
      <c r="O22" s="1210"/>
      <c r="P22" s="1210"/>
      <c r="Q22" s="1210"/>
      <c r="R22" s="1210"/>
      <c r="S22" s="1210"/>
      <c r="T22" s="1210"/>
      <c r="U22" s="1210"/>
      <c r="V22" s="1210"/>
      <c r="W22" s="1210"/>
      <c r="X22" s="1210"/>
      <c r="Y22" s="1210"/>
      <c r="Z22" s="1210"/>
      <c r="AA22" s="1210"/>
      <c r="AB22" s="1210"/>
      <c r="AC22" s="1210"/>
      <c r="AD22" s="1210"/>
      <c r="AE22" s="1210"/>
      <c r="AF22" s="1210"/>
      <c r="AG22" s="1210"/>
      <c r="AH22" s="1210"/>
      <c r="AI22" s="1210"/>
      <c r="AJ22" s="867"/>
      <c r="AL22" s="694" t="s">
        <v>2988</v>
      </c>
      <c r="AX22" s="231" t="s">
        <v>3541</v>
      </c>
      <c r="AY22" s="582">
        <v>42483</v>
      </c>
      <c r="AZ22" s="231" t="s">
        <v>3523</v>
      </c>
      <c r="BA22" s="231" t="s">
        <v>3426</v>
      </c>
      <c r="BB22" s="231" t="s">
        <v>3427</v>
      </c>
      <c r="BC22" s="582">
        <v>42484</v>
      </c>
      <c r="BD22" s="231" t="s">
        <v>3428</v>
      </c>
      <c r="BE22" s="231" t="s">
        <v>3429</v>
      </c>
      <c r="BF22" s="231">
        <v>2</v>
      </c>
      <c r="BG22" s="231" t="s">
        <v>3430</v>
      </c>
      <c r="BH22" s="231" t="s">
        <v>3430</v>
      </c>
      <c r="BI22" s="231">
        <v>19</v>
      </c>
      <c r="BJ22" s="231">
        <v>1</v>
      </c>
      <c r="BK22" s="231">
        <v>10</v>
      </c>
      <c r="BL22" s="231">
        <v>200</v>
      </c>
      <c r="BM22" s="231">
        <v>220</v>
      </c>
      <c r="BN22" s="231">
        <v>230</v>
      </c>
      <c r="BQ22" s="231" t="s">
        <v>3421</v>
      </c>
    </row>
    <row r="23" spans="6:69" ht="18.75">
      <c r="F23" s="867"/>
      <c r="G23" s="1210"/>
      <c r="H23" s="1210"/>
      <c r="I23" s="1214"/>
      <c r="J23" s="1210"/>
      <c r="K23" s="1210"/>
      <c r="L23" s="1210"/>
      <c r="M23" s="1210"/>
      <c r="N23" s="1210"/>
      <c r="O23" s="1210"/>
      <c r="P23" s="1210"/>
      <c r="Q23" s="1210"/>
      <c r="R23" s="1210"/>
      <c r="S23" s="1210"/>
      <c r="T23" s="1210"/>
      <c r="U23" s="1210"/>
      <c r="V23" s="1210"/>
      <c r="W23" s="1210"/>
      <c r="X23" s="1210"/>
      <c r="Y23" s="1210"/>
      <c r="Z23" s="1210"/>
      <c r="AA23" s="1210"/>
      <c r="AB23" s="1210"/>
      <c r="AC23" s="1210"/>
      <c r="AD23" s="1210"/>
      <c r="AE23" s="1210"/>
      <c r="AF23" s="1210"/>
      <c r="AG23" s="1210"/>
      <c r="AH23" s="1210"/>
      <c r="AI23" s="1210"/>
      <c r="AJ23" s="867"/>
      <c r="AL23" s="694" t="s">
        <v>2990</v>
      </c>
      <c r="AX23" s="231" t="s">
        <v>3542</v>
      </c>
      <c r="AY23" s="582">
        <v>42483</v>
      </c>
      <c r="AZ23" s="231" t="s">
        <v>3523</v>
      </c>
      <c r="BA23" s="231" t="s">
        <v>3426</v>
      </c>
      <c r="BB23" s="231" t="s">
        <v>3427</v>
      </c>
      <c r="BC23" s="582">
        <v>42484</v>
      </c>
      <c r="BD23" s="231" t="s">
        <v>3428</v>
      </c>
      <c r="BE23" s="231" t="s">
        <v>3429</v>
      </c>
      <c r="BF23" s="231">
        <v>2</v>
      </c>
      <c r="BG23" s="231" t="s">
        <v>3430</v>
      </c>
      <c r="BH23" s="231" t="s">
        <v>3430</v>
      </c>
      <c r="BI23" s="231">
        <v>20</v>
      </c>
      <c r="BJ23" s="231">
        <v>1</v>
      </c>
      <c r="BK23" s="231">
        <v>10</v>
      </c>
      <c r="BL23" s="231">
        <v>200</v>
      </c>
      <c r="BM23" s="231">
        <v>220</v>
      </c>
      <c r="BN23" s="231">
        <v>230</v>
      </c>
      <c r="BQ23" s="231" t="s">
        <v>3421</v>
      </c>
    </row>
    <row r="24" spans="6:69" ht="18.75">
      <c r="F24" s="867"/>
      <c r="G24" s="1210"/>
      <c r="H24" s="1210"/>
      <c r="I24" s="1214"/>
      <c r="J24" s="1210"/>
      <c r="K24" s="1210"/>
      <c r="L24" s="1210"/>
      <c r="M24" s="1210"/>
      <c r="N24" s="1210"/>
      <c r="O24" s="1210"/>
      <c r="P24" s="1210"/>
      <c r="Q24" s="1210"/>
      <c r="R24" s="1210"/>
      <c r="S24" s="1210"/>
      <c r="T24" s="1210"/>
      <c r="U24" s="1210"/>
      <c r="V24" s="1210"/>
      <c r="W24" s="1210"/>
      <c r="X24" s="1210"/>
      <c r="Y24" s="1210"/>
      <c r="Z24" s="1210"/>
      <c r="AA24" s="1210"/>
      <c r="AB24" s="1210"/>
      <c r="AC24" s="1210"/>
      <c r="AD24" s="1210"/>
      <c r="AE24" s="1210"/>
      <c r="AF24" s="1210"/>
      <c r="AG24" s="1210"/>
      <c r="AH24" s="1210"/>
      <c r="AI24" s="1210"/>
      <c r="AJ24" s="867"/>
      <c r="AL24" s="694" t="s">
        <v>2993</v>
      </c>
      <c r="AX24" s="231" t="s">
        <v>3543</v>
      </c>
      <c r="AY24" s="582">
        <v>42483</v>
      </c>
      <c r="AZ24" s="231" t="s">
        <v>3523</v>
      </c>
      <c r="BA24" s="231" t="s">
        <v>3426</v>
      </c>
      <c r="BB24" s="231" t="s">
        <v>3427</v>
      </c>
      <c r="BC24" s="582">
        <v>42484</v>
      </c>
      <c r="BD24" s="231" t="s">
        <v>3428</v>
      </c>
      <c r="BE24" s="231" t="s">
        <v>3429</v>
      </c>
      <c r="BF24" s="231">
        <v>2</v>
      </c>
      <c r="BG24" s="231" t="s">
        <v>3430</v>
      </c>
      <c r="BH24" s="231" t="s">
        <v>3430</v>
      </c>
      <c r="BI24" s="231">
        <v>21</v>
      </c>
      <c r="BJ24" s="231">
        <v>1</v>
      </c>
      <c r="BK24" s="231">
        <v>10</v>
      </c>
      <c r="BL24" s="231">
        <v>200</v>
      </c>
      <c r="BM24" s="231">
        <v>220</v>
      </c>
      <c r="BN24" s="231">
        <v>230</v>
      </c>
      <c r="BQ24" s="231" t="s">
        <v>3421</v>
      </c>
    </row>
    <row r="25" spans="6:69" ht="18.75">
      <c r="F25" s="867"/>
      <c r="G25" s="1210"/>
      <c r="H25" s="1210"/>
      <c r="I25" s="1214"/>
      <c r="J25" s="1210"/>
      <c r="K25" s="1210"/>
      <c r="L25" s="1210"/>
      <c r="M25" s="1210"/>
      <c r="N25" s="1210"/>
      <c r="O25" s="1210"/>
      <c r="P25" s="1210"/>
      <c r="Q25" s="1210"/>
      <c r="R25" s="1210"/>
      <c r="S25" s="1210"/>
      <c r="T25" s="1210"/>
      <c r="U25" s="1210"/>
      <c r="V25" s="1210"/>
      <c r="W25" s="1210"/>
      <c r="X25" s="1210"/>
      <c r="Y25" s="1210"/>
      <c r="Z25" s="1210"/>
      <c r="AA25" s="1210"/>
      <c r="AB25" s="1210"/>
      <c r="AC25" s="1210"/>
      <c r="AD25" s="1210"/>
      <c r="AE25" s="1210"/>
      <c r="AF25" s="1210"/>
      <c r="AG25" s="1210"/>
      <c r="AH25" s="1210"/>
      <c r="AI25" s="1210"/>
      <c r="AJ25" s="867"/>
      <c r="AL25" s="694" t="s">
        <v>2996</v>
      </c>
      <c r="AX25" s="231" t="s">
        <v>3544</v>
      </c>
      <c r="AY25" s="582">
        <v>42483</v>
      </c>
      <c r="AZ25" s="231" t="s">
        <v>3523</v>
      </c>
      <c r="BA25" s="231" t="s">
        <v>3426</v>
      </c>
      <c r="BB25" s="231" t="s">
        <v>3427</v>
      </c>
      <c r="BC25" s="582">
        <v>42484</v>
      </c>
      <c r="BD25" s="231" t="s">
        <v>3428</v>
      </c>
      <c r="BE25" s="231" t="s">
        <v>3429</v>
      </c>
      <c r="BF25" s="231">
        <v>2</v>
      </c>
      <c r="BG25" s="231" t="s">
        <v>3430</v>
      </c>
      <c r="BH25" s="231" t="s">
        <v>3430</v>
      </c>
      <c r="BI25" s="231">
        <v>22</v>
      </c>
      <c r="BJ25" s="231">
        <v>1</v>
      </c>
      <c r="BK25" s="231">
        <v>10</v>
      </c>
      <c r="BL25" s="231">
        <v>200</v>
      </c>
      <c r="BM25" s="231">
        <v>220</v>
      </c>
      <c r="BN25" s="231">
        <v>230</v>
      </c>
      <c r="BQ25" s="231" t="s">
        <v>3421</v>
      </c>
    </row>
    <row r="26" spans="6:69" ht="16.5" customHeight="1">
      <c r="F26" s="867"/>
      <c r="G26" s="1210"/>
      <c r="H26" s="1210"/>
      <c r="I26" s="1214"/>
      <c r="J26" s="1210"/>
      <c r="K26" s="1210"/>
      <c r="L26" s="1210"/>
      <c r="M26" s="1210"/>
      <c r="N26" s="1210"/>
      <c r="O26" s="1210"/>
      <c r="P26" s="1210"/>
      <c r="Q26" s="1210"/>
      <c r="R26" s="1210"/>
      <c r="S26" s="1210"/>
      <c r="T26" s="1210"/>
      <c r="U26" s="1210"/>
      <c r="V26" s="1210"/>
      <c r="W26" s="1210"/>
      <c r="X26" s="1210"/>
      <c r="Y26" s="1210"/>
      <c r="Z26" s="1210"/>
      <c r="AA26" s="1210"/>
      <c r="AB26" s="1210"/>
      <c r="AC26" s="1210"/>
      <c r="AD26" s="1210"/>
      <c r="AE26" s="1210"/>
      <c r="AF26" s="1210"/>
      <c r="AG26" s="1210"/>
      <c r="AH26" s="1210"/>
      <c r="AI26" s="1210"/>
      <c r="AJ26" s="867"/>
      <c r="AL26" s="694" t="s">
        <v>2997</v>
      </c>
      <c r="AX26" s="231" t="s">
        <v>3545</v>
      </c>
      <c r="AY26" s="582">
        <v>42483</v>
      </c>
      <c r="AZ26" s="231" t="s">
        <v>3523</v>
      </c>
      <c r="BA26" s="231" t="s">
        <v>3426</v>
      </c>
      <c r="BB26" s="231" t="s">
        <v>3427</v>
      </c>
      <c r="BC26" s="582">
        <v>42484</v>
      </c>
      <c r="BD26" s="231" t="s">
        <v>3428</v>
      </c>
      <c r="BE26" s="231" t="s">
        <v>3429</v>
      </c>
      <c r="BF26" s="231">
        <v>2</v>
      </c>
      <c r="BG26" s="231" t="s">
        <v>3430</v>
      </c>
      <c r="BH26" s="231" t="s">
        <v>3430</v>
      </c>
      <c r="BI26" s="231">
        <v>23</v>
      </c>
      <c r="BJ26" s="231">
        <v>1</v>
      </c>
      <c r="BK26" s="231">
        <v>10</v>
      </c>
      <c r="BL26" s="231">
        <v>200</v>
      </c>
      <c r="BM26" s="231">
        <v>220</v>
      </c>
      <c r="BN26" s="231">
        <v>230</v>
      </c>
      <c r="BQ26" s="231" t="s">
        <v>3421</v>
      </c>
    </row>
    <row r="27" spans="6:69" ht="18.75">
      <c r="G27" s="1210"/>
      <c r="H27" s="1210"/>
      <c r="I27" s="1214"/>
      <c r="J27" s="1210"/>
      <c r="K27" s="1210"/>
      <c r="L27" s="1210"/>
      <c r="M27" s="1210"/>
      <c r="N27" s="1210"/>
      <c r="O27" s="1210"/>
      <c r="P27" s="1210"/>
      <c r="Q27" s="1210"/>
      <c r="R27" s="1210"/>
      <c r="S27" s="1210"/>
      <c r="T27" s="1210"/>
      <c r="U27" s="1210"/>
      <c r="V27" s="1210"/>
      <c r="W27" s="1210"/>
      <c r="X27" s="1210"/>
      <c r="Y27" s="1210"/>
      <c r="Z27" s="1210"/>
      <c r="AA27" s="1210"/>
      <c r="AB27" s="1210"/>
      <c r="AC27" s="1210"/>
      <c r="AD27" s="1210"/>
      <c r="AE27" s="1210"/>
      <c r="AF27" s="1210"/>
      <c r="AG27" s="1210"/>
      <c r="AH27" s="1210"/>
      <c r="AI27" s="1210"/>
      <c r="AL27" s="694" t="s">
        <v>2999</v>
      </c>
      <c r="AX27" s="231" t="s">
        <v>3546</v>
      </c>
      <c r="AY27" s="582">
        <v>42483</v>
      </c>
      <c r="AZ27" s="231" t="s">
        <v>3523</v>
      </c>
      <c r="BA27" s="231" t="s">
        <v>3426</v>
      </c>
      <c r="BB27" s="231" t="s">
        <v>3427</v>
      </c>
      <c r="BC27" s="582">
        <v>42484</v>
      </c>
      <c r="BD27" s="231" t="s">
        <v>3428</v>
      </c>
      <c r="BE27" s="231" t="s">
        <v>3429</v>
      </c>
      <c r="BF27" s="231">
        <v>2</v>
      </c>
      <c r="BG27" s="231" t="s">
        <v>3430</v>
      </c>
      <c r="BH27" s="231" t="s">
        <v>3430</v>
      </c>
      <c r="BI27" s="231">
        <v>24</v>
      </c>
      <c r="BJ27" s="231">
        <v>1</v>
      </c>
      <c r="BK27" s="231">
        <v>10</v>
      </c>
      <c r="BL27" s="231">
        <v>200</v>
      </c>
      <c r="BM27" s="231">
        <v>220</v>
      </c>
      <c r="BN27" s="231">
        <v>230</v>
      </c>
      <c r="BQ27" s="231" t="s">
        <v>3421</v>
      </c>
    </row>
    <row r="28" spans="6:69" ht="18.75">
      <c r="G28" s="1210"/>
      <c r="H28" s="1210"/>
      <c r="I28" s="1214"/>
      <c r="J28" s="1210"/>
      <c r="K28" s="1210"/>
      <c r="L28" s="1210"/>
      <c r="M28" s="1210"/>
      <c r="N28" s="1210"/>
      <c r="O28" s="1210"/>
      <c r="P28" s="1210"/>
      <c r="Q28" s="1210"/>
      <c r="R28" s="1210"/>
      <c r="S28" s="1210"/>
      <c r="T28" s="1210"/>
      <c r="U28" s="1210"/>
      <c r="V28" s="1210"/>
      <c r="W28" s="1210"/>
      <c r="X28" s="1210"/>
      <c r="Y28" s="1210"/>
      <c r="Z28" s="1210"/>
      <c r="AA28" s="1210"/>
      <c r="AB28" s="1210"/>
      <c r="AC28" s="1210"/>
      <c r="AD28" s="1210"/>
      <c r="AE28" s="1210"/>
      <c r="AF28" s="1210"/>
      <c r="AG28" s="1210"/>
      <c r="AH28" s="1210"/>
      <c r="AI28" s="1210"/>
      <c r="AL28" s="694" t="s">
        <v>3003</v>
      </c>
      <c r="AX28" s="231" t="s">
        <v>3546</v>
      </c>
      <c r="AY28" s="582">
        <v>42483</v>
      </c>
      <c r="AZ28" s="231" t="s">
        <v>3415</v>
      </c>
      <c r="BA28" s="231" t="s">
        <v>3426</v>
      </c>
      <c r="BB28" s="231" t="s">
        <v>3427</v>
      </c>
      <c r="BC28" s="582">
        <v>42483</v>
      </c>
      <c r="BD28" s="231" t="s">
        <v>3428</v>
      </c>
      <c r="BE28" s="231" t="s">
        <v>3429</v>
      </c>
      <c r="BF28" s="231">
        <v>2</v>
      </c>
      <c r="BG28" s="231" t="s">
        <v>3430</v>
      </c>
      <c r="BH28" s="231" t="s">
        <v>3430</v>
      </c>
      <c r="BI28" s="231">
        <v>25</v>
      </c>
      <c r="BJ28" s="231">
        <v>2</v>
      </c>
      <c r="BK28" s="231">
        <v>10</v>
      </c>
      <c r="BL28" s="231">
        <v>100</v>
      </c>
      <c r="BM28" s="231">
        <v>120</v>
      </c>
      <c r="BN28" s="231">
        <v>130</v>
      </c>
      <c r="BQ28" s="231" t="s">
        <v>3421</v>
      </c>
    </row>
    <row r="29" spans="6:69">
      <c r="F29" s="867"/>
      <c r="G29" s="1210"/>
      <c r="H29" s="1210"/>
      <c r="I29" s="1214"/>
      <c r="J29" s="1210"/>
      <c r="K29" s="1210"/>
      <c r="L29" s="1210"/>
      <c r="M29" s="1210"/>
      <c r="N29" s="1210"/>
      <c r="O29" s="1210"/>
      <c r="P29" s="1210"/>
      <c r="Q29" s="1210"/>
      <c r="R29" s="1210"/>
      <c r="S29" s="1210"/>
      <c r="T29" s="1210"/>
      <c r="U29" s="1210"/>
      <c r="V29" s="1210"/>
      <c r="W29" s="1210"/>
      <c r="X29" s="1210"/>
      <c r="Y29" s="1210"/>
      <c r="Z29" s="1210"/>
      <c r="AA29" s="1210"/>
      <c r="AB29" s="1210"/>
      <c r="AC29" s="1210"/>
      <c r="AD29" s="1210"/>
      <c r="AE29" s="1210"/>
      <c r="AF29" s="1210"/>
      <c r="AG29" s="1210"/>
      <c r="AH29" s="1210"/>
      <c r="AI29" s="1210"/>
      <c r="AJ29" s="867"/>
      <c r="AX29" s="231" t="s">
        <v>3546</v>
      </c>
      <c r="AY29" s="582">
        <v>42483</v>
      </c>
      <c r="AZ29" s="231" t="s">
        <v>3415</v>
      </c>
      <c r="BA29" s="231" t="s">
        <v>3435</v>
      </c>
      <c r="BB29" s="231" t="s">
        <v>3436</v>
      </c>
      <c r="BC29" s="582">
        <v>42483</v>
      </c>
      <c r="BD29" s="231" t="s">
        <v>3437</v>
      </c>
      <c r="BE29" s="231" t="s">
        <v>3438</v>
      </c>
      <c r="BF29" s="231">
        <v>3</v>
      </c>
      <c r="BG29" s="231" t="s">
        <v>3439</v>
      </c>
      <c r="BH29" s="231" t="s">
        <v>3430</v>
      </c>
      <c r="BI29" s="231">
        <v>26</v>
      </c>
      <c r="BJ29" s="231">
        <v>3</v>
      </c>
      <c r="BK29" s="231">
        <v>10</v>
      </c>
      <c r="BL29" s="231">
        <v>100</v>
      </c>
      <c r="BM29" s="231">
        <v>120</v>
      </c>
      <c r="BN29" s="231">
        <v>130</v>
      </c>
      <c r="BQ29" s="231" t="s">
        <v>3421</v>
      </c>
    </row>
    <row r="30" spans="6:69">
      <c r="F30" s="867"/>
      <c r="G30" s="1210"/>
      <c r="H30" s="1210"/>
      <c r="I30" s="1214"/>
      <c r="J30" s="1210"/>
      <c r="K30" s="1210"/>
      <c r="L30" s="1210"/>
      <c r="M30" s="1210"/>
      <c r="N30" s="1210"/>
      <c r="O30" s="1210"/>
      <c r="P30" s="1210"/>
      <c r="Q30" s="1210"/>
      <c r="R30" s="1210"/>
      <c r="S30" s="1210"/>
      <c r="T30" s="1210"/>
      <c r="U30" s="1210"/>
      <c r="V30" s="1210"/>
      <c r="W30" s="1210"/>
      <c r="X30" s="1210"/>
      <c r="Y30" s="1210"/>
      <c r="Z30" s="1210"/>
      <c r="AA30" s="1210"/>
      <c r="AB30" s="1210"/>
      <c r="AC30" s="1210"/>
      <c r="AD30" s="1210"/>
      <c r="AE30" s="1210"/>
      <c r="AF30" s="1210"/>
      <c r="AG30" s="1210"/>
      <c r="AH30" s="1210"/>
      <c r="AI30" s="1210"/>
      <c r="AJ30" s="867"/>
      <c r="AX30" s="231" t="s">
        <v>3546</v>
      </c>
      <c r="AY30" s="582">
        <v>42483</v>
      </c>
      <c r="AZ30" s="231" t="s">
        <v>3415</v>
      </c>
      <c r="BA30" s="231" t="s">
        <v>3442</v>
      </c>
      <c r="BB30" s="231" t="s">
        <v>3443</v>
      </c>
      <c r="BC30" s="582">
        <v>42483</v>
      </c>
      <c r="BD30" s="231" t="s">
        <v>3444</v>
      </c>
      <c r="BE30" s="231" t="s">
        <v>3445</v>
      </c>
      <c r="BF30" s="231">
        <v>4</v>
      </c>
      <c r="BG30" s="231" t="s">
        <v>3446</v>
      </c>
      <c r="BH30" s="231" t="s">
        <v>3439</v>
      </c>
      <c r="BI30" s="231">
        <v>27</v>
      </c>
      <c r="BJ30" s="231">
        <v>4</v>
      </c>
      <c r="BK30" s="231">
        <v>10</v>
      </c>
      <c r="BL30" s="231">
        <v>100</v>
      </c>
      <c r="BM30" s="231">
        <v>120</v>
      </c>
      <c r="BN30" s="231">
        <v>130</v>
      </c>
      <c r="BQ30" s="231" t="s">
        <v>3421</v>
      </c>
    </row>
    <row r="31" spans="6:69">
      <c r="F31" s="867"/>
      <c r="G31" s="1210"/>
      <c r="H31" s="1210"/>
      <c r="I31" s="1214"/>
      <c r="J31" s="1210"/>
      <c r="K31" s="1210"/>
      <c r="L31" s="1210"/>
      <c r="M31" s="1210"/>
      <c r="N31" s="1210"/>
      <c r="O31" s="1210"/>
      <c r="P31" s="1210"/>
      <c r="Q31" s="1210"/>
      <c r="R31" s="1210"/>
      <c r="S31" s="1210"/>
      <c r="T31" s="1210"/>
      <c r="U31" s="1210"/>
      <c r="V31" s="1210"/>
      <c r="W31" s="1210"/>
      <c r="X31" s="1210"/>
      <c r="Y31" s="1210"/>
      <c r="Z31" s="1210"/>
      <c r="AA31" s="1210"/>
      <c r="AB31" s="1210"/>
      <c r="AC31" s="1210"/>
      <c r="AD31" s="1210"/>
      <c r="AE31" s="1210"/>
      <c r="AF31" s="1210"/>
      <c r="AG31" s="1210"/>
      <c r="AH31" s="1210"/>
      <c r="AI31" s="1210"/>
      <c r="AJ31" s="867"/>
      <c r="AX31" s="231" t="s">
        <v>3546</v>
      </c>
      <c r="AY31" s="582">
        <v>42483</v>
      </c>
      <c r="AZ31" s="231" t="s">
        <v>3415</v>
      </c>
      <c r="BA31" s="231" t="s">
        <v>3451</v>
      </c>
      <c r="BB31" s="231" t="s">
        <v>3452</v>
      </c>
      <c r="BC31" s="582">
        <v>42483</v>
      </c>
      <c r="BD31" s="231" t="s">
        <v>3453</v>
      </c>
      <c r="BE31" s="231" t="s">
        <v>3454</v>
      </c>
      <c r="BF31" s="231">
        <v>5</v>
      </c>
      <c r="BG31" s="231" t="s">
        <v>3455</v>
      </c>
      <c r="BH31" s="231" t="s">
        <v>3446</v>
      </c>
      <c r="BI31" s="231">
        <v>28</v>
      </c>
      <c r="BJ31" s="231">
        <v>5</v>
      </c>
      <c r="BK31" s="231">
        <v>10</v>
      </c>
      <c r="BL31" s="231">
        <v>100</v>
      </c>
      <c r="BM31" s="231">
        <v>120</v>
      </c>
      <c r="BN31" s="231">
        <v>130</v>
      </c>
      <c r="BQ31" s="231" t="s">
        <v>3421</v>
      </c>
    </row>
    <row r="32" spans="6:69">
      <c r="F32" s="867"/>
      <c r="G32" s="1210"/>
      <c r="H32" s="1210"/>
      <c r="I32" s="1214"/>
      <c r="J32" s="1210"/>
      <c r="K32" s="1210"/>
      <c r="L32" s="1210"/>
      <c r="M32" s="1210"/>
      <c r="N32" s="1210"/>
      <c r="O32" s="1210"/>
      <c r="P32" s="1210"/>
      <c r="Q32" s="1210"/>
      <c r="R32" s="1210"/>
      <c r="S32" s="1210"/>
      <c r="T32" s="1210"/>
      <c r="U32" s="1210"/>
      <c r="V32" s="1210"/>
      <c r="W32" s="1210"/>
      <c r="X32" s="1210"/>
      <c r="Y32" s="1210"/>
      <c r="Z32" s="1210"/>
      <c r="AA32" s="1210"/>
      <c r="AB32" s="1210"/>
      <c r="AC32" s="1210"/>
      <c r="AD32" s="1210"/>
      <c r="AE32" s="1210"/>
      <c r="AF32" s="1210"/>
      <c r="AG32" s="1210"/>
      <c r="AH32" s="1210"/>
      <c r="AI32" s="1210"/>
      <c r="AJ32" s="867"/>
      <c r="AX32" s="231" t="s">
        <v>3546</v>
      </c>
      <c r="AY32" s="582">
        <v>42483</v>
      </c>
      <c r="AZ32" s="231" t="s">
        <v>3415</v>
      </c>
      <c r="BA32" s="231" t="s">
        <v>3461</v>
      </c>
      <c r="BB32" s="231" t="s">
        <v>3462</v>
      </c>
      <c r="BC32" s="582">
        <v>42483</v>
      </c>
      <c r="BD32" s="231" t="s">
        <v>3463</v>
      </c>
      <c r="BE32" s="231" t="s">
        <v>3464</v>
      </c>
      <c r="BF32" s="231">
        <v>6</v>
      </c>
      <c r="BG32" s="231" t="s">
        <v>3465</v>
      </c>
      <c r="BH32" s="231" t="s">
        <v>3455</v>
      </c>
      <c r="BI32" s="231">
        <v>29</v>
      </c>
      <c r="BJ32" s="231">
        <v>6</v>
      </c>
      <c r="BK32" s="231">
        <v>10</v>
      </c>
      <c r="BL32" s="231">
        <v>100</v>
      </c>
      <c r="BM32" s="231">
        <v>120</v>
      </c>
      <c r="BN32" s="231">
        <v>130</v>
      </c>
      <c r="BQ32" s="231" t="s">
        <v>3421</v>
      </c>
    </row>
    <row r="33" spans="6:69">
      <c r="F33" s="867"/>
      <c r="G33" s="1210"/>
      <c r="H33" s="1210"/>
      <c r="I33" s="1214"/>
      <c r="J33" s="1210"/>
      <c r="K33" s="1210"/>
      <c r="L33" s="1210"/>
      <c r="M33" s="1210"/>
      <c r="N33" s="1210"/>
      <c r="O33" s="1210"/>
      <c r="P33" s="1210"/>
      <c r="Q33" s="1210"/>
      <c r="R33" s="1210"/>
      <c r="S33" s="1210"/>
      <c r="T33" s="1210"/>
      <c r="U33" s="1210"/>
      <c r="V33" s="1210"/>
      <c r="W33" s="1210"/>
      <c r="X33" s="1210"/>
      <c r="Y33" s="1210"/>
      <c r="Z33" s="1210"/>
      <c r="AA33" s="1210"/>
      <c r="AB33" s="1210"/>
      <c r="AC33" s="1210"/>
      <c r="AD33" s="1210"/>
      <c r="AE33" s="1210"/>
      <c r="AF33" s="1210"/>
      <c r="AG33" s="1210"/>
      <c r="AH33" s="1210"/>
      <c r="AI33" s="1210"/>
      <c r="AJ33" s="867"/>
      <c r="AX33" s="231" t="s">
        <v>3546</v>
      </c>
      <c r="AY33" s="582">
        <v>42483</v>
      </c>
      <c r="AZ33" s="231" t="s">
        <v>3415</v>
      </c>
      <c r="BA33" s="231" t="s">
        <v>3469</v>
      </c>
      <c r="BB33" s="231" t="s">
        <v>3470</v>
      </c>
      <c r="BC33" s="582">
        <v>42483</v>
      </c>
      <c r="BD33" s="231" t="s">
        <v>3471</v>
      </c>
      <c r="BE33" s="231" t="s">
        <v>3472</v>
      </c>
      <c r="BF33" s="231">
        <v>7</v>
      </c>
      <c r="BG33" s="231" t="s">
        <v>3473</v>
      </c>
      <c r="BH33" s="231" t="s">
        <v>3465</v>
      </c>
      <c r="BI33" s="231">
        <v>30</v>
      </c>
      <c r="BJ33" s="231">
        <v>7</v>
      </c>
      <c r="BK33" s="231">
        <v>10</v>
      </c>
      <c r="BL33" s="231">
        <v>100</v>
      </c>
      <c r="BM33" s="231">
        <v>120</v>
      </c>
      <c r="BN33" s="231">
        <v>130</v>
      </c>
      <c r="BQ33" s="231" t="s">
        <v>3421</v>
      </c>
    </row>
    <row r="34" spans="6:69">
      <c r="F34" s="867"/>
      <c r="G34" s="1210"/>
      <c r="H34" s="1210"/>
      <c r="I34" s="1214"/>
      <c r="J34" s="1210"/>
      <c r="K34" s="1210"/>
      <c r="L34" s="1210"/>
      <c r="M34" s="1210"/>
      <c r="N34" s="1210"/>
      <c r="O34" s="1210"/>
      <c r="P34" s="1210"/>
      <c r="Q34" s="1210"/>
      <c r="R34" s="1210"/>
      <c r="S34" s="1210"/>
      <c r="T34" s="1210"/>
      <c r="U34" s="1210"/>
      <c r="V34" s="1210"/>
      <c r="W34" s="1210"/>
      <c r="X34" s="1210"/>
      <c r="Y34" s="1210"/>
      <c r="Z34" s="1210"/>
      <c r="AA34" s="1210"/>
      <c r="AB34" s="1210"/>
      <c r="AC34" s="1210"/>
      <c r="AD34" s="1210"/>
      <c r="AE34" s="1210"/>
      <c r="AF34" s="1210"/>
      <c r="AG34" s="1210"/>
      <c r="AH34" s="1210"/>
      <c r="AI34" s="1210"/>
      <c r="AJ34" s="867"/>
      <c r="AX34" s="231" t="s">
        <v>3546</v>
      </c>
      <c r="AY34" s="582">
        <v>42483</v>
      </c>
      <c r="AZ34" s="231" t="s">
        <v>3415</v>
      </c>
      <c r="BA34" s="231" t="s">
        <v>3479</v>
      </c>
      <c r="BB34" s="231" t="s">
        <v>3480</v>
      </c>
      <c r="BC34" s="582">
        <v>42483</v>
      </c>
      <c r="BD34" s="231" t="s">
        <v>3481</v>
      </c>
      <c r="BE34" s="231" t="s">
        <v>3482</v>
      </c>
      <c r="BF34" s="231">
        <v>8</v>
      </c>
      <c r="BG34" s="231" t="s">
        <v>3483</v>
      </c>
      <c r="BH34" s="231" t="s">
        <v>3473</v>
      </c>
      <c r="BI34" s="231">
        <v>31</v>
      </c>
      <c r="BJ34" s="231">
        <v>8</v>
      </c>
      <c r="BK34" s="231">
        <v>10</v>
      </c>
      <c r="BL34" s="231">
        <v>100</v>
      </c>
      <c r="BM34" s="231">
        <v>120</v>
      </c>
      <c r="BN34" s="231">
        <v>130</v>
      </c>
      <c r="BQ34" s="231" t="s">
        <v>3421</v>
      </c>
    </row>
    <row r="35" spans="6:69">
      <c r="F35" s="867"/>
      <c r="G35" s="1210"/>
      <c r="H35" s="1210"/>
      <c r="I35" s="1214"/>
      <c r="J35" s="1210"/>
      <c r="K35" s="1210"/>
      <c r="L35" s="1210"/>
      <c r="M35" s="1210"/>
      <c r="N35" s="1210"/>
      <c r="O35" s="1210"/>
      <c r="P35" s="1210"/>
      <c r="Q35" s="1210"/>
      <c r="R35" s="1210"/>
      <c r="S35" s="1210"/>
      <c r="T35" s="1210"/>
      <c r="U35" s="1210"/>
      <c r="V35" s="1210"/>
      <c r="W35" s="1210"/>
      <c r="X35" s="1210"/>
      <c r="Y35" s="1210"/>
      <c r="Z35" s="1210"/>
      <c r="AA35" s="1210"/>
      <c r="AB35" s="1210"/>
      <c r="AC35" s="1210"/>
      <c r="AD35" s="1210"/>
      <c r="AE35" s="1210"/>
      <c r="AF35" s="1210"/>
      <c r="AG35" s="1210"/>
      <c r="AH35" s="1210"/>
      <c r="AI35" s="1210"/>
      <c r="AJ35" s="867"/>
      <c r="AX35" s="231" t="s">
        <v>3546</v>
      </c>
      <c r="AY35" s="582">
        <v>42483</v>
      </c>
      <c r="AZ35" s="231" t="s">
        <v>3415</v>
      </c>
      <c r="BA35" s="231" t="s">
        <v>3484</v>
      </c>
      <c r="BB35" s="231" t="s">
        <v>3485</v>
      </c>
      <c r="BC35" s="582">
        <v>42483</v>
      </c>
      <c r="BD35" s="231" t="s">
        <v>3486</v>
      </c>
      <c r="BE35" s="231" t="s">
        <v>3487</v>
      </c>
      <c r="BF35" s="231">
        <v>9</v>
      </c>
      <c r="BG35" s="231" t="s">
        <v>3488</v>
      </c>
      <c r="BH35" s="231" t="s">
        <v>3483</v>
      </c>
      <c r="BI35" s="231">
        <v>32</v>
      </c>
      <c r="BJ35" s="231">
        <v>9</v>
      </c>
      <c r="BK35" s="231">
        <v>10</v>
      </c>
      <c r="BL35" s="231">
        <v>100</v>
      </c>
      <c r="BM35" s="231">
        <v>120</v>
      </c>
      <c r="BN35" s="231">
        <v>130</v>
      </c>
      <c r="BQ35" s="231" t="s">
        <v>3421</v>
      </c>
    </row>
    <row r="36" spans="6:69">
      <c r="F36" s="867"/>
      <c r="G36" s="1210"/>
      <c r="H36" s="1210"/>
      <c r="I36" s="1214"/>
      <c r="J36" s="1210"/>
      <c r="K36" s="1210"/>
      <c r="L36" s="1210"/>
      <c r="M36" s="1210"/>
      <c r="N36" s="1210"/>
      <c r="O36" s="1210"/>
      <c r="P36" s="1210"/>
      <c r="Q36" s="1210"/>
      <c r="R36" s="1210"/>
      <c r="S36" s="1210"/>
      <c r="T36" s="1210"/>
      <c r="U36" s="1210"/>
      <c r="V36" s="1210"/>
      <c r="W36" s="1210"/>
      <c r="X36" s="1210"/>
      <c r="Y36" s="1210"/>
      <c r="Z36" s="1210"/>
      <c r="AA36" s="1210"/>
      <c r="AB36" s="1210"/>
      <c r="AC36" s="1210"/>
      <c r="AD36" s="1210"/>
      <c r="AE36" s="1210"/>
      <c r="AF36" s="1210"/>
      <c r="AG36" s="1210"/>
      <c r="AH36" s="1210"/>
      <c r="AI36" s="1210"/>
      <c r="AJ36" s="867"/>
      <c r="AX36" s="231" t="s">
        <v>3546</v>
      </c>
      <c r="AY36" s="582">
        <v>42483</v>
      </c>
      <c r="AZ36" s="231" t="s">
        <v>3415</v>
      </c>
      <c r="BA36" s="231" t="s">
        <v>3489</v>
      </c>
      <c r="BB36" s="231" t="s">
        <v>3490</v>
      </c>
      <c r="BC36" s="582">
        <v>42483</v>
      </c>
      <c r="BD36" s="231" t="s">
        <v>3491</v>
      </c>
      <c r="BE36" s="231" t="s">
        <v>3492</v>
      </c>
      <c r="BF36" s="231">
        <v>10</v>
      </c>
      <c r="BG36" s="231" t="s">
        <v>3493</v>
      </c>
      <c r="BH36" s="231" t="s">
        <v>3488</v>
      </c>
      <c r="BI36" s="231">
        <v>33</v>
      </c>
      <c r="BJ36" s="231">
        <v>10</v>
      </c>
      <c r="BK36" s="231">
        <v>10</v>
      </c>
      <c r="BL36" s="231">
        <v>100</v>
      </c>
      <c r="BM36" s="231">
        <v>120</v>
      </c>
      <c r="BN36" s="231">
        <v>130</v>
      </c>
      <c r="BQ36" s="231" t="s">
        <v>3421</v>
      </c>
    </row>
    <row r="37" spans="6:69">
      <c r="F37" s="867"/>
      <c r="G37" s="1210"/>
      <c r="H37" s="1210"/>
      <c r="I37" s="1214"/>
      <c r="J37" s="1210"/>
      <c r="K37" s="1210"/>
      <c r="L37" s="1210"/>
      <c r="M37" s="1210"/>
      <c r="N37" s="1210"/>
      <c r="O37" s="1210"/>
      <c r="P37" s="1210"/>
      <c r="Q37" s="1210"/>
      <c r="R37" s="1210"/>
      <c r="S37" s="1210"/>
      <c r="T37" s="1210"/>
      <c r="U37" s="1210"/>
      <c r="V37" s="1210"/>
      <c r="W37" s="1210"/>
      <c r="X37" s="1210"/>
      <c r="Y37" s="1210"/>
      <c r="Z37" s="1210"/>
      <c r="AA37" s="1210"/>
      <c r="AB37" s="1210"/>
      <c r="AC37" s="1210"/>
      <c r="AD37" s="1210"/>
      <c r="AE37" s="1210"/>
      <c r="AF37" s="1210"/>
      <c r="AG37" s="1210"/>
      <c r="AH37" s="1210"/>
      <c r="AI37" s="1210"/>
      <c r="AJ37" s="867"/>
      <c r="AX37" s="231" t="s">
        <v>3546</v>
      </c>
      <c r="AY37" s="582">
        <v>42483</v>
      </c>
      <c r="AZ37" s="231" t="s">
        <v>3415</v>
      </c>
      <c r="BA37" s="231" t="s">
        <v>3494</v>
      </c>
      <c r="BB37" s="231" t="s">
        <v>3495</v>
      </c>
      <c r="BC37" s="582">
        <v>42483</v>
      </c>
      <c r="BD37" s="231" t="s">
        <v>3496</v>
      </c>
      <c r="BE37" s="231" t="s">
        <v>3497</v>
      </c>
      <c r="BF37" s="231">
        <v>11</v>
      </c>
      <c r="BG37" s="231" t="s">
        <v>3498</v>
      </c>
      <c r="BH37" s="231" t="s">
        <v>3493</v>
      </c>
      <c r="BI37" s="231">
        <v>34</v>
      </c>
      <c r="BJ37" s="231">
        <v>11</v>
      </c>
      <c r="BK37" s="231">
        <v>10</v>
      </c>
      <c r="BL37" s="231">
        <v>100</v>
      </c>
      <c r="BM37" s="231">
        <v>120</v>
      </c>
      <c r="BN37" s="231">
        <v>130</v>
      </c>
      <c r="BQ37" s="231" t="s">
        <v>3421</v>
      </c>
    </row>
    <row r="38" spans="6:69">
      <c r="F38" s="867"/>
      <c r="G38" s="1210"/>
      <c r="H38" s="1210"/>
      <c r="I38" s="1214"/>
      <c r="J38" s="1210"/>
      <c r="K38" s="1210"/>
      <c r="L38" s="1210"/>
      <c r="M38" s="1210"/>
      <c r="N38" s="1210"/>
      <c r="O38" s="1210"/>
      <c r="P38" s="1210"/>
      <c r="Q38" s="1210"/>
      <c r="R38" s="1210"/>
      <c r="S38" s="1210"/>
      <c r="T38" s="1210"/>
      <c r="U38" s="1210"/>
      <c r="V38" s="1210"/>
      <c r="W38" s="1210"/>
      <c r="X38" s="1210"/>
      <c r="Y38" s="1210"/>
      <c r="Z38" s="1210"/>
      <c r="AA38" s="1210"/>
      <c r="AB38" s="1210"/>
      <c r="AC38" s="1210"/>
      <c r="AD38" s="1210"/>
      <c r="AE38" s="1210"/>
      <c r="AF38" s="1210"/>
      <c r="AG38" s="1210"/>
      <c r="AH38" s="1210"/>
      <c r="AI38" s="1210"/>
      <c r="AJ38" s="867"/>
      <c r="AX38" s="231" t="s">
        <v>3546</v>
      </c>
      <c r="AY38" s="582">
        <v>42483</v>
      </c>
      <c r="AZ38" s="231" t="s">
        <v>3415</v>
      </c>
      <c r="BA38" s="231" t="s">
        <v>3499</v>
      </c>
      <c r="BB38" s="231" t="s">
        <v>3500</v>
      </c>
      <c r="BC38" s="582">
        <v>42483</v>
      </c>
      <c r="BD38" s="231" t="s">
        <v>3501</v>
      </c>
      <c r="BE38" s="231" t="s">
        <v>3502</v>
      </c>
      <c r="BF38" s="231">
        <v>12</v>
      </c>
      <c r="BG38" s="231" t="s">
        <v>3503</v>
      </c>
      <c r="BH38" s="231" t="s">
        <v>3498</v>
      </c>
      <c r="BI38" s="231">
        <v>35</v>
      </c>
      <c r="BJ38" s="231">
        <v>12</v>
      </c>
      <c r="BK38" s="231">
        <v>10</v>
      </c>
      <c r="BL38" s="231">
        <v>100</v>
      </c>
      <c r="BM38" s="231">
        <v>120</v>
      </c>
      <c r="BN38" s="231">
        <v>130</v>
      </c>
      <c r="BQ38" s="231" t="s">
        <v>3421</v>
      </c>
    </row>
    <row r="39" spans="6:69">
      <c r="F39" s="867"/>
      <c r="G39" s="1210"/>
      <c r="H39" s="1210"/>
      <c r="I39" s="1214"/>
      <c r="J39" s="1210"/>
      <c r="K39" s="1210"/>
      <c r="L39" s="1210"/>
      <c r="M39" s="1210"/>
      <c r="N39" s="1210"/>
      <c r="O39" s="1210"/>
      <c r="P39" s="1210"/>
      <c r="Q39" s="1210"/>
      <c r="R39" s="1210"/>
      <c r="S39" s="1210"/>
      <c r="T39" s="1210"/>
      <c r="U39" s="1210"/>
      <c r="V39" s="1210"/>
      <c r="W39" s="1210"/>
      <c r="X39" s="1210"/>
      <c r="Y39" s="1210"/>
      <c r="Z39" s="1210"/>
      <c r="AA39" s="1210"/>
      <c r="AB39" s="1210"/>
      <c r="AC39" s="1210"/>
      <c r="AD39" s="1210"/>
      <c r="AE39" s="1210"/>
      <c r="AF39" s="1210"/>
      <c r="AG39" s="1210"/>
      <c r="AH39" s="1210"/>
      <c r="AI39" s="1210"/>
      <c r="AJ39" s="867"/>
      <c r="AX39" s="231" t="s">
        <v>3546</v>
      </c>
      <c r="AY39" s="582">
        <v>42483</v>
      </c>
      <c r="AZ39" s="231" t="s">
        <v>3415</v>
      </c>
      <c r="BA39" s="231" t="s">
        <v>3504</v>
      </c>
      <c r="BB39" s="231" t="s">
        <v>3505</v>
      </c>
      <c r="BC39" s="582">
        <v>42483</v>
      </c>
      <c r="BD39" s="231" t="s">
        <v>3506</v>
      </c>
      <c r="BE39" s="231" t="s">
        <v>3507</v>
      </c>
      <c r="BF39" s="231">
        <v>13</v>
      </c>
      <c r="BG39" s="231" t="s">
        <v>3508</v>
      </c>
      <c r="BH39" s="231" t="s">
        <v>3503</v>
      </c>
      <c r="BI39" s="231">
        <v>36</v>
      </c>
      <c r="BJ39" s="231">
        <v>13</v>
      </c>
      <c r="BK39" s="231">
        <v>10</v>
      </c>
      <c r="BL39" s="231">
        <v>100</v>
      </c>
      <c r="BM39" s="231">
        <v>120</v>
      </c>
      <c r="BN39" s="231">
        <v>130</v>
      </c>
      <c r="BQ39" s="231" t="s">
        <v>3421</v>
      </c>
    </row>
    <row r="40" spans="6:69">
      <c r="F40" s="867"/>
      <c r="G40" s="1210"/>
      <c r="H40" s="1210"/>
      <c r="I40" s="1214"/>
      <c r="J40" s="1210"/>
      <c r="K40" s="1210"/>
      <c r="L40" s="1210"/>
      <c r="M40" s="1210"/>
      <c r="N40" s="1210"/>
      <c r="O40" s="1210"/>
      <c r="P40" s="1210"/>
      <c r="Q40" s="1210"/>
      <c r="R40" s="1210"/>
      <c r="S40" s="1210"/>
      <c r="T40" s="1210"/>
      <c r="U40" s="1210"/>
      <c r="V40" s="1210"/>
      <c r="W40" s="1210"/>
      <c r="X40" s="1210"/>
      <c r="Y40" s="1210"/>
      <c r="Z40" s="1210"/>
      <c r="AA40" s="1210"/>
      <c r="AB40" s="1210"/>
      <c r="AC40" s="1210"/>
      <c r="AD40" s="1210"/>
      <c r="AE40" s="1210"/>
      <c r="AF40" s="1210"/>
      <c r="AG40" s="1210"/>
      <c r="AH40" s="1210"/>
      <c r="AI40" s="1210"/>
      <c r="AJ40" s="867"/>
      <c r="AX40" s="231" t="s">
        <v>3546</v>
      </c>
      <c r="AY40" s="582">
        <v>42483</v>
      </c>
      <c r="AZ40" s="231" t="s">
        <v>3415</v>
      </c>
      <c r="BA40" s="231" t="s">
        <v>3509</v>
      </c>
      <c r="BB40" s="231" t="s">
        <v>3510</v>
      </c>
      <c r="BC40" s="582">
        <v>42483</v>
      </c>
      <c r="BD40" s="231" t="s">
        <v>3511</v>
      </c>
      <c r="BE40" s="231" t="s">
        <v>3512</v>
      </c>
      <c r="BF40" s="231">
        <v>14</v>
      </c>
      <c r="BG40" s="231" t="s">
        <v>3513</v>
      </c>
      <c r="BH40" s="231" t="s">
        <v>3508</v>
      </c>
      <c r="BI40" s="231">
        <v>37</v>
      </c>
      <c r="BJ40" s="231">
        <v>14</v>
      </c>
      <c r="BK40" s="231">
        <v>10</v>
      </c>
      <c r="BL40" s="231">
        <v>100</v>
      </c>
      <c r="BM40" s="231">
        <v>120</v>
      </c>
      <c r="BN40" s="231">
        <v>130</v>
      </c>
      <c r="BQ40" s="231" t="s">
        <v>3421</v>
      </c>
    </row>
    <row r="41" spans="6:69">
      <c r="F41" s="867"/>
      <c r="G41" s="1210"/>
      <c r="H41" s="1210"/>
      <c r="I41" s="1214"/>
      <c r="J41" s="1210"/>
      <c r="K41" s="1210"/>
      <c r="L41" s="1210"/>
      <c r="M41" s="1210"/>
      <c r="N41" s="1210"/>
      <c r="O41" s="1210"/>
      <c r="P41" s="1210"/>
      <c r="Q41" s="1210"/>
      <c r="R41" s="1210"/>
      <c r="S41" s="1210"/>
      <c r="T41" s="1210"/>
      <c r="U41" s="1210"/>
      <c r="V41" s="1210"/>
      <c r="W41" s="1210"/>
      <c r="X41" s="1210"/>
      <c r="Y41" s="1210"/>
      <c r="Z41" s="1210"/>
      <c r="AA41" s="1210"/>
      <c r="AB41" s="1210"/>
      <c r="AC41" s="1210"/>
      <c r="AD41" s="1210"/>
      <c r="AE41" s="1210"/>
      <c r="AF41" s="1210"/>
      <c r="AG41" s="1210"/>
      <c r="AH41" s="1210"/>
      <c r="AI41" s="1210"/>
      <c r="AJ41" s="867"/>
      <c r="BH41" s="231" t="s">
        <v>3513</v>
      </c>
      <c r="BI41" s="231">
        <v>38</v>
      </c>
    </row>
    <row r="42" spans="6:69">
      <c r="F42" s="867"/>
      <c r="G42" s="1210"/>
      <c r="H42" s="1210"/>
      <c r="I42" s="1214"/>
      <c r="J42" s="1210"/>
      <c r="K42" s="1210"/>
      <c r="L42" s="1210"/>
      <c r="M42" s="1210"/>
      <c r="N42" s="1210"/>
      <c r="O42" s="1210"/>
      <c r="P42" s="1210"/>
      <c r="Q42" s="1210"/>
      <c r="R42" s="1210"/>
      <c r="S42" s="1210"/>
      <c r="T42" s="1210"/>
      <c r="U42" s="1210"/>
      <c r="V42" s="1210"/>
      <c r="W42" s="1210"/>
      <c r="X42" s="1210"/>
      <c r="Y42" s="1210"/>
      <c r="Z42" s="1210"/>
      <c r="AA42" s="1210"/>
      <c r="AB42" s="1210"/>
      <c r="AC42" s="1210"/>
      <c r="AD42" s="1210"/>
      <c r="AE42" s="1210"/>
      <c r="AF42" s="1210"/>
      <c r="AG42" s="1210"/>
      <c r="AH42" s="1210"/>
      <c r="AI42" s="1210"/>
      <c r="AJ42" s="867"/>
    </row>
    <row r="43" spans="6:69">
      <c r="F43" s="867"/>
      <c r="G43" s="1210"/>
      <c r="H43" s="1210"/>
      <c r="I43" s="1214"/>
      <c r="J43" s="1210"/>
      <c r="K43" s="1210"/>
      <c r="L43" s="1210"/>
      <c r="M43" s="1210"/>
      <c r="N43" s="1210"/>
      <c r="O43" s="1210"/>
      <c r="P43" s="1210"/>
      <c r="Q43" s="1210"/>
      <c r="R43" s="1210"/>
      <c r="S43" s="1210"/>
      <c r="T43" s="1210"/>
      <c r="U43" s="1210"/>
      <c r="V43" s="1210"/>
      <c r="W43" s="1210"/>
      <c r="X43" s="1210"/>
      <c r="Y43" s="1210"/>
      <c r="Z43" s="1210"/>
      <c r="AA43" s="1210"/>
      <c r="AB43" s="1210"/>
      <c r="AC43" s="1210"/>
      <c r="AD43" s="1210"/>
      <c r="AE43" s="1210"/>
      <c r="AF43" s="1210"/>
      <c r="AG43" s="1210"/>
      <c r="AH43" s="1210"/>
      <c r="AI43" s="1210"/>
      <c r="AJ43" s="867"/>
    </row>
    <row r="44" spans="6:69">
      <c r="F44" s="867"/>
      <c r="G44" s="1210"/>
      <c r="H44" s="1210"/>
      <c r="I44" s="1214"/>
      <c r="J44" s="1210"/>
      <c r="K44" s="1210"/>
      <c r="L44" s="1210"/>
      <c r="M44" s="1210"/>
      <c r="N44" s="1210"/>
      <c r="O44" s="1210"/>
      <c r="P44" s="1210"/>
      <c r="Q44" s="1210"/>
      <c r="R44" s="1210"/>
      <c r="S44" s="1210"/>
      <c r="T44" s="1210"/>
      <c r="U44" s="1210"/>
      <c r="V44" s="1210"/>
      <c r="W44" s="1210"/>
      <c r="X44" s="1210"/>
      <c r="Y44" s="1210"/>
      <c r="Z44" s="1210"/>
      <c r="AA44" s="1210"/>
      <c r="AB44" s="1210"/>
      <c r="AC44" s="1210"/>
      <c r="AD44" s="1210"/>
      <c r="AE44" s="1210"/>
      <c r="AF44" s="1210"/>
      <c r="AG44" s="1210"/>
      <c r="AH44" s="1210"/>
      <c r="AI44" s="1210"/>
      <c r="AJ44" s="867"/>
    </row>
    <row r="45" spans="6:69">
      <c r="F45" s="867"/>
      <c r="G45" s="1210"/>
      <c r="H45" s="1210"/>
      <c r="I45" s="1214"/>
      <c r="J45" s="1210"/>
      <c r="K45" s="1210"/>
      <c r="L45" s="1210"/>
      <c r="M45" s="1210"/>
      <c r="N45" s="1210"/>
      <c r="O45" s="1210"/>
      <c r="P45" s="1210"/>
      <c r="Q45" s="1210"/>
      <c r="R45" s="1210"/>
      <c r="S45" s="1210"/>
      <c r="T45" s="1210"/>
      <c r="U45" s="1210"/>
      <c r="V45" s="1210"/>
      <c r="W45" s="1210"/>
      <c r="X45" s="1210"/>
      <c r="Y45" s="1210"/>
      <c r="Z45" s="1210"/>
      <c r="AA45" s="1210"/>
      <c r="AB45" s="1210"/>
      <c r="AC45" s="1210"/>
      <c r="AD45" s="1210"/>
      <c r="AE45" s="1210"/>
      <c r="AF45" s="1210"/>
      <c r="AG45" s="1210"/>
      <c r="AH45" s="1210"/>
      <c r="AI45" s="1210"/>
      <c r="AJ45" s="867"/>
    </row>
    <row r="46" spans="6:69">
      <c r="F46" s="867"/>
      <c r="G46" s="1210"/>
      <c r="H46" s="1210"/>
      <c r="I46" s="1210"/>
      <c r="J46" s="1210"/>
      <c r="K46" s="1210"/>
      <c r="L46" s="1210"/>
      <c r="M46" s="1210"/>
      <c r="N46" s="1210"/>
      <c r="O46" s="1210"/>
      <c r="P46" s="1210"/>
      <c r="Q46" s="1210"/>
      <c r="R46" s="1210"/>
      <c r="S46" s="1210"/>
      <c r="T46" s="1210"/>
      <c r="U46" s="1210"/>
      <c r="V46" s="1210"/>
      <c r="W46" s="1210"/>
      <c r="X46" s="1210"/>
      <c r="Y46" s="1210"/>
      <c r="Z46" s="1210"/>
      <c r="AA46" s="1210"/>
      <c r="AB46" s="1210"/>
      <c r="AC46" s="1210"/>
      <c r="AD46" s="1210"/>
      <c r="AE46" s="1210"/>
      <c r="AF46" s="1210"/>
      <c r="AG46" s="1210"/>
      <c r="AH46" s="1210"/>
      <c r="AI46" s="1210"/>
      <c r="AJ46" s="867"/>
    </row>
    <row r="47" spans="6:69">
      <c r="F47" s="867"/>
      <c r="G47" s="867"/>
      <c r="H47" s="867"/>
      <c r="I47" s="867"/>
      <c r="J47" s="867"/>
      <c r="K47" s="867"/>
      <c r="L47" s="867"/>
      <c r="M47" s="867"/>
      <c r="N47" s="867"/>
      <c r="O47" s="867"/>
      <c r="P47" s="867"/>
      <c r="Q47" s="867"/>
      <c r="R47" s="867"/>
      <c r="S47" s="867"/>
      <c r="T47" s="867"/>
      <c r="U47" s="867"/>
      <c r="V47" s="867"/>
      <c r="W47" s="867"/>
      <c r="X47" s="867"/>
      <c r="Y47" s="867"/>
      <c r="Z47" s="867"/>
      <c r="AA47" s="867"/>
      <c r="AB47" s="867"/>
      <c r="AC47" s="867"/>
      <c r="AD47" s="867"/>
      <c r="AE47" s="867"/>
      <c r="AF47" s="867"/>
      <c r="AG47" s="867"/>
      <c r="AH47" s="867"/>
      <c r="AI47" s="867"/>
      <c r="AJ47" s="867"/>
    </row>
    <row r="48" spans="6:69" ht="17.25">
      <c r="F48" s="867"/>
      <c r="G48" s="1215"/>
      <c r="H48" s="1215"/>
      <c r="I48" s="1215"/>
      <c r="J48" s="1817"/>
      <c r="K48" s="1817"/>
      <c r="L48" s="1215"/>
      <c r="M48" s="1215"/>
      <c r="N48" s="1215"/>
      <c r="O48" s="1215"/>
      <c r="P48" s="1215"/>
      <c r="Q48" s="1215"/>
      <c r="R48" s="1215"/>
      <c r="S48" s="1215"/>
      <c r="T48" s="1215"/>
      <c r="U48" s="1215"/>
      <c r="V48" s="1215"/>
      <c r="W48" s="1215"/>
      <c r="X48" s="1215"/>
      <c r="Y48" s="1215"/>
      <c r="Z48" s="1215"/>
      <c r="AA48" s="1215"/>
      <c r="AB48" s="1215"/>
      <c r="AC48" s="1215"/>
      <c r="AD48" s="1215"/>
      <c r="AE48" s="1215"/>
      <c r="AF48" s="1215"/>
      <c r="AG48" s="1215"/>
      <c r="AH48" s="1215"/>
      <c r="AI48" s="1212" t="str">
        <f>IF(UNJC0210_H_SYOUHIN_BUNRUI_MEI="","",UNJC0210_H_SYOUHIN_BUNRUI_MEI)</f>
        <v/>
      </c>
      <c r="AJ48" s="867"/>
    </row>
    <row r="49" spans="6:36">
      <c r="F49" s="867"/>
      <c r="G49" s="1215"/>
      <c r="H49" s="1215"/>
      <c r="I49" s="1215"/>
      <c r="J49" s="1215"/>
      <c r="K49" s="1216"/>
      <c r="L49" s="1216"/>
      <c r="M49" s="1216"/>
      <c r="N49" s="1216"/>
      <c r="O49" s="1216"/>
      <c r="P49" s="1216"/>
      <c r="Q49" s="1216"/>
      <c r="R49" s="1216"/>
      <c r="S49" s="1216"/>
      <c r="T49" s="1216"/>
      <c r="U49" s="1216"/>
      <c r="V49" s="1216"/>
      <c r="W49" s="1216"/>
      <c r="X49" s="1216"/>
      <c r="Y49" s="1818" t="s">
        <v>1612</v>
      </c>
      <c r="Z49" s="1818"/>
      <c r="AA49" s="1216"/>
      <c r="AB49" s="1817" t="s">
        <v>2226</v>
      </c>
      <c r="AC49" s="1817"/>
      <c r="AD49" s="1817"/>
      <c r="AE49" s="1817"/>
      <c r="AF49" s="1817"/>
      <c r="AG49" s="1817"/>
      <c r="AH49" s="1817"/>
      <c r="AI49" s="1215"/>
      <c r="AJ49" s="867"/>
    </row>
    <row r="50" spans="6:36">
      <c r="F50" s="867"/>
      <c r="G50" s="1215"/>
      <c r="H50" s="1215"/>
      <c r="I50" s="1217"/>
      <c r="J50" s="1215"/>
      <c r="K50" s="1215"/>
      <c r="L50" s="1215"/>
      <c r="M50" s="1215"/>
      <c r="N50" s="1215"/>
      <c r="O50" s="1215"/>
      <c r="P50" s="1215"/>
      <c r="Q50" s="1215"/>
      <c r="R50" s="1215"/>
      <c r="S50" s="1215"/>
      <c r="T50" s="1215"/>
      <c r="U50" s="1215"/>
      <c r="V50" s="1215"/>
      <c r="W50" s="1215"/>
      <c r="X50" s="1215"/>
      <c r="Y50" s="1215"/>
      <c r="Z50" s="1215"/>
      <c r="AA50" s="1215"/>
      <c r="AB50" s="1215"/>
      <c r="AC50" s="1215"/>
      <c r="AD50" s="1215"/>
      <c r="AE50" s="1215"/>
      <c r="AF50" s="1215"/>
      <c r="AG50" s="1215"/>
      <c r="AH50" s="1215"/>
      <c r="AI50" s="1215"/>
      <c r="AJ50" s="867"/>
    </row>
    <row r="51" spans="6:36">
      <c r="F51" s="867"/>
      <c r="G51" s="1215"/>
      <c r="H51" s="1215"/>
      <c r="I51" s="1217"/>
      <c r="J51" s="1215"/>
      <c r="K51" s="1215"/>
      <c r="L51" s="1215"/>
      <c r="M51" s="1215"/>
      <c r="N51" s="1215"/>
      <c r="O51" s="1215"/>
      <c r="P51" s="1215"/>
      <c r="Q51" s="1215"/>
      <c r="R51" s="1215"/>
      <c r="S51" s="1215"/>
      <c r="T51" s="1215"/>
      <c r="U51" s="1215"/>
      <c r="V51" s="1215"/>
      <c r="W51" s="1215"/>
      <c r="X51" s="1215"/>
      <c r="Y51" s="1215"/>
      <c r="Z51" s="1215"/>
      <c r="AA51" s="1215"/>
      <c r="AB51" s="1215"/>
      <c r="AC51" s="1215"/>
      <c r="AD51" s="1215"/>
      <c r="AE51" s="1215"/>
      <c r="AF51" s="1215"/>
      <c r="AG51" s="1215"/>
      <c r="AH51" s="1215"/>
      <c r="AI51" s="1215"/>
      <c r="AJ51" s="867"/>
    </row>
    <row r="52" spans="6:36">
      <c r="F52" s="867"/>
      <c r="G52" s="1215"/>
      <c r="H52" s="1215"/>
      <c r="I52" s="1217"/>
      <c r="J52" s="1215"/>
      <c r="K52" s="1215"/>
      <c r="L52" s="1215"/>
      <c r="M52" s="1215"/>
      <c r="N52" s="1215"/>
      <c r="O52" s="1215"/>
      <c r="P52" s="1215"/>
      <c r="Q52" s="1215"/>
      <c r="R52" s="1215"/>
      <c r="S52" s="1215"/>
      <c r="T52" s="1215"/>
      <c r="U52" s="1215"/>
      <c r="V52" s="1215"/>
      <c r="W52" s="1215"/>
      <c r="X52" s="1215"/>
      <c r="Y52" s="1215"/>
      <c r="Z52" s="1215"/>
      <c r="AA52" s="1215"/>
      <c r="AB52" s="1215"/>
      <c r="AC52" s="1215"/>
      <c r="AD52" s="1215"/>
      <c r="AE52" s="1215"/>
      <c r="AF52" s="1215"/>
      <c r="AG52" s="1215"/>
      <c r="AH52" s="1215"/>
      <c r="AI52" s="1215"/>
      <c r="AJ52" s="867"/>
    </row>
    <row r="53" spans="6:36">
      <c r="F53" s="867"/>
      <c r="G53" s="1215"/>
      <c r="H53" s="1215"/>
      <c r="I53" s="1217"/>
      <c r="J53" s="1215"/>
      <c r="K53" s="1215"/>
      <c r="L53" s="1215"/>
      <c r="M53" s="1215"/>
      <c r="N53" s="1215"/>
      <c r="O53" s="1215"/>
      <c r="P53" s="1215"/>
      <c r="Q53" s="1215"/>
      <c r="R53" s="1215"/>
      <c r="S53" s="1215"/>
      <c r="T53" s="1215"/>
      <c r="U53" s="1215"/>
      <c r="V53" s="1215"/>
      <c r="W53" s="1215"/>
      <c r="X53" s="1215"/>
      <c r="Y53" s="1215"/>
      <c r="Z53" s="1215"/>
      <c r="AA53" s="1215"/>
      <c r="AB53" s="1215"/>
      <c r="AC53" s="1215"/>
      <c r="AD53" s="1215"/>
      <c r="AE53" s="1215"/>
      <c r="AF53" s="1215"/>
      <c r="AG53" s="1215"/>
      <c r="AH53" s="1215"/>
      <c r="AI53" s="1215"/>
      <c r="AJ53" s="867"/>
    </row>
    <row r="54" spans="6:36">
      <c r="F54" s="867"/>
      <c r="G54" s="1215"/>
      <c r="H54" s="1215"/>
      <c r="I54" s="1217"/>
      <c r="J54" s="1215"/>
      <c r="K54" s="1215"/>
      <c r="L54" s="1215"/>
      <c r="M54" s="1215"/>
      <c r="N54" s="1215"/>
      <c r="O54" s="1215"/>
      <c r="P54" s="1215"/>
      <c r="Q54" s="1215"/>
      <c r="R54" s="1215"/>
      <c r="S54" s="1215"/>
      <c r="T54" s="1215"/>
      <c r="U54" s="1215"/>
      <c r="V54" s="1215"/>
      <c r="W54" s="1215"/>
      <c r="X54" s="1215"/>
      <c r="Y54" s="1215"/>
      <c r="Z54" s="1215"/>
      <c r="AA54" s="1215"/>
      <c r="AB54" s="1215"/>
      <c r="AC54" s="1215"/>
      <c r="AD54" s="1215"/>
      <c r="AE54" s="1215"/>
      <c r="AF54" s="1215"/>
      <c r="AG54" s="1215"/>
      <c r="AH54" s="1215"/>
      <c r="AI54" s="1215"/>
      <c r="AJ54" s="867"/>
    </row>
    <row r="55" spans="6:36">
      <c r="G55" s="1215"/>
      <c r="H55" s="1215"/>
      <c r="I55" s="1217"/>
      <c r="J55" s="1215"/>
      <c r="K55" s="1215"/>
      <c r="L55" s="1215"/>
      <c r="M55" s="1215"/>
      <c r="N55" s="1215"/>
      <c r="O55" s="1215"/>
      <c r="P55" s="1215"/>
      <c r="Q55" s="1215"/>
      <c r="R55" s="1215"/>
      <c r="S55" s="1215"/>
      <c r="T55" s="1215"/>
      <c r="U55" s="1215"/>
      <c r="V55" s="1215"/>
      <c r="W55" s="1215"/>
      <c r="X55" s="1215"/>
      <c r="Y55" s="1215"/>
      <c r="Z55" s="1215"/>
      <c r="AA55" s="1215"/>
      <c r="AB55" s="1215"/>
      <c r="AC55" s="1215"/>
      <c r="AD55" s="1215"/>
      <c r="AE55" s="1215"/>
      <c r="AF55" s="1215"/>
      <c r="AG55" s="1215"/>
      <c r="AH55" s="1215"/>
      <c r="AI55" s="1215"/>
    </row>
    <row r="56" spans="6:36">
      <c r="G56" s="1215"/>
      <c r="H56" s="1215"/>
      <c r="I56" s="1217"/>
      <c r="J56" s="1215"/>
      <c r="K56" s="1215"/>
      <c r="L56" s="1215"/>
      <c r="M56" s="1215"/>
      <c r="N56" s="1215"/>
      <c r="O56" s="1215"/>
      <c r="P56" s="1215"/>
      <c r="Q56" s="1215"/>
      <c r="R56" s="1215"/>
      <c r="S56" s="1215"/>
      <c r="T56" s="1215"/>
      <c r="U56" s="1215"/>
      <c r="V56" s="1215"/>
      <c r="W56" s="1215"/>
      <c r="X56" s="1215"/>
      <c r="Y56" s="1215"/>
      <c r="Z56" s="1215"/>
      <c r="AA56" s="1215"/>
      <c r="AB56" s="1215"/>
      <c r="AC56" s="1215"/>
      <c r="AD56" s="1215"/>
      <c r="AE56" s="1215"/>
      <c r="AF56" s="1215"/>
      <c r="AG56" s="1215"/>
      <c r="AH56" s="1215"/>
      <c r="AI56" s="1215"/>
    </row>
    <row r="57" spans="6:36">
      <c r="G57" s="1215"/>
      <c r="H57" s="1215"/>
      <c r="I57" s="1217"/>
      <c r="J57" s="1215"/>
      <c r="K57" s="1215"/>
      <c r="L57" s="1215"/>
      <c r="M57" s="1215"/>
      <c r="N57" s="1215"/>
      <c r="O57" s="1215"/>
      <c r="P57" s="1215"/>
      <c r="Q57" s="1215"/>
      <c r="R57" s="1215"/>
      <c r="S57" s="1215"/>
      <c r="T57" s="1215"/>
      <c r="U57" s="1215"/>
      <c r="V57" s="1215"/>
      <c r="W57" s="1215"/>
      <c r="X57" s="1215"/>
      <c r="Y57" s="1215"/>
      <c r="Z57" s="1215"/>
      <c r="AA57" s="1215"/>
      <c r="AB57" s="1215"/>
      <c r="AC57" s="1215"/>
      <c r="AD57" s="1215"/>
      <c r="AE57" s="1215"/>
      <c r="AF57" s="1215"/>
      <c r="AG57" s="1215"/>
      <c r="AH57" s="1215"/>
      <c r="AI57" s="1215"/>
    </row>
    <row r="58" spans="6:36">
      <c r="G58" s="1215"/>
      <c r="H58" s="1215"/>
      <c r="I58" s="1217"/>
      <c r="J58" s="1215"/>
      <c r="K58" s="1215"/>
      <c r="L58" s="1215"/>
      <c r="M58" s="1215"/>
      <c r="N58" s="1215"/>
      <c r="O58" s="1215"/>
      <c r="P58" s="1215"/>
      <c r="Q58" s="1215"/>
      <c r="R58" s="1215"/>
      <c r="S58" s="1215"/>
      <c r="T58" s="1215"/>
      <c r="U58" s="1215"/>
      <c r="V58" s="1215"/>
      <c r="W58" s="1215"/>
      <c r="X58" s="1215"/>
      <c r="Y58" s="1215"/>
      <c r="Z58" s="1215"/>
      <c r="AA58" s="1215"/>
      <c r="AB58" s="1215"/>
      <c r="AC58" s="1215"/>
      <c r="AD58" s="1215"/>
      <c r="AE58" s="1215"/>
      <c r="AF58" s="1215"/>
      <c r="AG58" s="1215"/>
      <c r="AH58" s="1215"/>
      <c r="AI58" s="1215"/>
    </row>
    <row r="59" spans="6:36">
      <c r="G59" s="1215"/>
      <c r="H59" s="1215"/>
      <c r="I59" s="1217"/>
      <c r="J59" s="1215"/>
      <c r="K59" s="1215"/>
      <c r="L59" s="1215"/>
      <c r="M59" s="1215"/>
      <c r="N59" s="1215"/>
      <c r="O59" s="1215"/>
      <c r="P59" s="1215"/>
      <c r="Q59" s="1215"/>
      <c r="R59" s="1215"/>
      <c r="S59" s="1215"/>
      <c r="T59" s="1215"/>
      <c r="U59" s="1215"/>
      <c r="V59" s="1215"/>
      <c r="W59" s="1215"/>
      <c r="X59" s="1215"/>
      <c r="Y59" s="1215"/>
      <c r="Z59" s="1215"/>
      <c r="AA59" s="1215"/>
      <c r="AB59" s="1215"/>
      <c r="AC59" s="1215"/>
      <c r="AD59" s="1215"/>
      <c r="AE59" s="1215"/>
      <c r="AF59" s="1215"/>
      <c r="AG59" s="1215"/>
      <c r="AH59" s="1215"/>
      <c r="AI59" s="1215"/>
    </row>
    <row r="60" spans="6:36">
      <c r="G60" s="1215"/>
      <c r="H60" s="1215"/>
      <c r="I60" s="1217"/>
      <c r="J60" s="1215"/>
      <c r="K60" s="1215"/>
      <c r="L60" s="1215"/>
      <c r="M60" s="1215"/>
      <c r="N60" s="1215"/>
      <c r="O60" s="1215"/>
      <c r="P60" s="1215"/>
      <c r="Q60" s="1215"/>
      <c r="R60" s="1215"/>
      <c r="S60" s="1215"/>
      <c r="T60" s="1215"/>
      <c r="U60" s="1215"/>
      <c r="V60" s="1215"/>
      <c r="W60" s="1215"/>
      <c r="X60" s="1215"/>
      <c r="Y60" s="1215"/>
      <c r="Z60" s="1215"/>
      <c r="AA60" s="1215"/>
      <c r="AB60" s="1215"/>
      <c r="AC60" s="1215"/>
      <c r="AD60" s="1215"/>
      <c r="AE60" s="1215"/>
      <c r="AF60" s="1215"/>
      <c r="AG60" s="1215"/>
      <c r="AH60" s="1215"/>
      <c r="AI60" s="1215"/>
    </row>
    <row r="61" spans="6:36">
      <c r="G61" s="1215"/>
      <c r="H61" s="1215"/>
      <c r="I61" s="1217"/>
      <c r="J61" s="1215"/>
      <c r="K61" s="1215"/>
      <c r="L61" s="1215"/>
      <c r="M61" s="1215"/>
      <c r="N61" s="1215"/>
      <c r="O61" s="1215"/>
      <c r="P61" s="1215"/>
      <c r="Q61" s="1215"/>
      <c r="R61" s="1215"/>
      <c r="S61" s="1215"/>
      <c r="T61" s="1215"/>
      <c r="U61" s="1215"/>
      <c r="V61" s="1215"/>
      <c r="W61" s="1215"/>
      <c r="X61" s="1215"/>
      <c r="Y61" s="1215"/>
      <c r="Z61" s="1215"/>
      <c r="AA61" s="1215"/>
      <c r="AB61" s="1215"/>
      <c r="AC61" s="1215"/>
      <c r="AD61" s="1215"/>
      <c r="AE61" s="1215"/>
      <c r="AF61" s="1215"/>
      <c r="AG61" s="1215"/>
      <c r="AH61" s="1215"/>
      <c r="AI61" s="1215"/>
    </row>
    <row r="62" spans="6:36">
      <c r="G62" s="1215"/>
      <c r="H62" s="1215"/>
      <c r="I62" s="1217"/>
      <c r="J62" s="1215"/>
      <c r="K62" s="1215"/>
      <c r="L62" s="1215"/>
      <c r="M62" s="1215"/>
      <c r="N62" s="1215"/>
      <c r="O62" s="1215"/>
      <c r="P62" s="1215"/>
      <c r="Q62" s="1215"/>
      <c r="R62" s="1215"/>
      <c r="S62" s="1215"/>
      <c r="T62" s="1215"/>
      <c r="U62" s="1215"/>
      <c r="V62" s="1215"/>
      <c r="W62" s="1215"/>
      <c r="X62" s="1215"/>
      <c r="Y62" s="1215"/>
      <c r="Z62" s="1215"/>
      <c r="AA62" s="1215"/>
      <c r="AB62" s="1215"/>
      <c r="AC62" s="1215"/>
      <c r="AD62" s="1215"/>
      <c r="AE62" s="1215"/>
      <c r="AF62" s="1215"/>
      <c r="AG62" s="1215"/>
      <c r="AH62" s="1215"/>
      <c r="AI62" s="1215"/>
    </row>
    <row r="63" spans="6:36">
      <c r="G63" s="1215"/>
      <c r="H63" s="1215"/>
      <c r="I63" s="1217"/>
      <c r="J63" s="1215"/>
      <c r="K63" s="1215"/>
      <c r="L63" s="1215"/>
      <c r="M63" s="1215"/>
      <c r="N63" s="1215"/>
      <c r="O63" s="1215"/>
      <c r="P63" s="1215"/>
      <c r="Q63" s="1215"/>
      <c r="R63" s="1215"/>
      <c r="S63" s="1215"/>
      <c r="T63" s="1215"/>
      <c r="U63" s="1215"/>
      <c r="V63" s="1215"/>
      <c r="W63" s="1215"/>
      <c r="X63" s="1215"/>
      <c r="Y63" s="1215"/>
      <c r="Z63" s="1215"/>
      <c r="AA63" s="1215"/>
      <c r="AB63" s="1215"/>
      <c r="AC63" s="1215"/>
      <c r="AD63" s="1215"/>
      <c r="AE63" s="1215"/>
      <c r="AF63" s="1215"/>
      <c r="AG63" s="1215"/>
      <c r="AH63" s="1215"/>
      <c r="AI63" s="1215"/>
    </row>
    <row r="64" spans="6:36">
      <c r="G64" s="1215"/>
      <c r="H64" s="1215"/>
      <c r="I64" s="1217"/>
      <c r="J64" s="1215"/>
      <c r="K64" s="1215"/>
      <c r="L64" s="1215"/>
      <c r="M64" s="1215"/>
      <c r="N64" s="1215"/>
      <c r="O64" s="1215"/>
      <c r="P64" s="1215"/>
      <c r="Q64" s="1215"/>
      <c r="R64" s="1215"/>
      <c r="S64" s="1215"/>
      <c r="T64" s="1215"/>
      <c r="U64" s="1215"/>
      <c r="V64" s="1215"/>
      <c r="W64" s="1215"/>
      <c r="X64" s="1215"/>
      <c r="Y64" s="1215"/>
      <c r="Z64" s="1215"/>
      <c r="AA64" s="1215"/>
      <c r="AB64" s="1215"/>
      <c r="AC64" s="1215"/>
      <c r="AD64" s="1215"/>
      <c r="AE64" s="1215"/>
      <c r="AF64" s="1215"/>
      <c r="AG64" s="1215"/>
      <c r="AH64" s="1215"/>
      <c r="AI64" s="1215"/>
    </row>
    <row r="65" spans="7:35">
      <c r="G65" s="1215"/>
      <c r="H65" s="1215"/>
      <c r="I65" s="1217"/>
      <c r="J65" s="1215"/>
      <c r="K65" s="1215"/>
      <c r="L65" s="1215"/>
      <c r="M65" s="1215"/>
      <c r="N65" s="1215"/>
      <c r="O65" s="1215"/>
      <c r="P65" s="1215"/>
      <c r="Q65" s="1215"/>
      <c r="R65" s="1215"/>
      <c r="S65" s="1215"/>
      <c r="T65" s="1215"/>
      <c r="U65" s="1215"/>
      <c r="V65" s="1215"/>
      <c r="W65" s="1215"/>
      <c r="X65" s="1215"/>
      <c r="Y65" s="1215"/>
      <c r="Z65" s="1215"/>
      <c r="AA65" s="1215"/>
      <c r="AB65" s="1215"/>
      <c r="AC65" s="1215"/>
      <c r="AD65" s="1215"/>
      <c r="AE65" s="1215"/>
      <c r="AF65" s="1215"/>
      <c r="AG65" s="1215"/>
      <c r="AH65" s="1215"/>
      <c r="AI65" s="1215"/>
    </row>
    <row r="66" spans="7:35">
      <c r="G66" s="1215"/>
      <c r="H66" s="1215"/>
      <c r="I66" s="1217"/>
      <c r="J66" s="1215"/>
      <c r="K66" s="1215"/>
      <c r="L66" s="1215"/>
      <c r="M66" s="1215"/>
      <c r="N66" s="1215"/>
      <c r="O66" s="1215"/>
      <c r="P66" s="1215"/>
      <c r="Q66" s="1215"/>
      <c r="R66" s="1215"/>
      <c r="S66" s="1215"/>
      <c r="T66" s="1215"/>
      <c r="U66" s="1215"/>
      <c r="V66" s="1215"/>
      <c r="W66" s="1215"/>
      <c r="X66" s="1215"/>
      <c r="Y66" s="1215"/>
      <c r="Z66" s="1215"/>
      <c r="AA66" s="1215"/>
      <c r="AB66" s="1215"/>
      <c r="AC66" s="1215"/>
      <c r="AD66" s="1215"/>
      <c r="AE66" s="1215"/>
      <c r="AF66" s="1215"/>
      <c r="AG66" s="1215"/>
      <c r="AH66" s="1215"/>
      <c r="AI66" s="1215"/>
    </row>
    <row r="67" spans="7:35">
      <c r="G67" s="1215"/>
      <c r="H67" s="1215"/>
      <c r="I67" s="1217"/>
      <c r="J67" s="1215"/>
      <c r="K67" s="1215"/>
      <c r="L67" s="1215"/>
      <c r="M67" s="1215"/>
      <c r="N67" s="1215"/>
      <c r="O67" s="1215"/>
      <c r="P67" s="1215"/>
      <c r="Q67" s="1215"/>
      <c r="R67" s="1215"/>
      <c r="S67" s="1215"/>
      <c r="T67" s="1215"/>
      <c r="U67" s="1215"/>
      <c r="V67" s="1215"/>
      <c r="W67" s="1215"/>
      <c r="X67" s="1215"/>
      <c r="Y67" s="1215"/>
      <c r="Z67" s="1215"/>
      <c r="AA67" s="1215"/>
      <c r="AB67" s="1215"/>
      <c r="AC67" s="1215"/>
      <c r="AD67" s="1215"/>
      <c r="AE67" s="1215"/>
      <c r="AF67" s="1215"/>
      <c r="AG67" s="1215"/>
      <c r="AH67" s="1215"/>
      <c r="AI67" s="1215"/>
    </row>
    <row r="68" spans="7:35">
      <c r="G68" s="1215"/>
      <c r="H68" s="1215"/>
      <c r="I68" s="1217"/>
      <c r="J68" s="1215"/>
      <c r="K68" s="1215"/>
      <c r="L68" s="1215"/>
      <c r="M68" s="1215"/>
      <c r="N68" s="1215"/>
      <c r="O68" s="1215"/>
      <c r="P68" s="1215"/>
      <c r="Q68" s="1215"/>
      <c r="R68" s="1215"/>
      <c r="S68" s="1215"/>
      <c r="T68" s="1215"/>
      <c r="U68" s="1215"/>
      <c r="V68" s="1215"/>
      <c r="W68" s="1215"/>
      <c r="X68" s="1215"/>
      <c r="Y68" s="1215"/>
      <c r="Z68" s="1215"/>
      <c r="AA68" s="1215"/>
      <c r="AB68" s="1215"/>
      <c r="AC68" s="1215"/>
      <c r="AD68" s="1215"/>
      <c r="AE68" s="1215"/>
      <c r="AF68" s="1215"/>
      <c r="AG68" s="1215"/>
      <c r="AH68" s="1215"/>
      <c r="AI68" s="1215"/>
    </row>
    <row r="69" spans="7:35">
      <c r="G69" s="1215"/>
      <c r="H69" s="1215"/>
      <c r="I69" s="1217"/>
      <c r="J69" s="1215"/>
      <c r="K69" s="1215"/>
      <c r="L69" s="1215"/>
      <c r="M69" s="1215"/>
      <c r="N69" s="1215"/>
      <c r="O69" s="1215"/>
      <c r="P69" s="1215"/>
      <c r="Q69" s="1215"/>
      <c r="R69" s="1215"/>
      <c r="S69" s="1215"/>
      <c r="T69" s="1215"/>
      <c r="U69" s="1215"/>
      <c r="V69" s="1215"/>
      <c r="W69" s="1215"/>
      <c r="X69" s="1215"/>
      <c r="Y69" s="1215"/>
      <c r="Z69" s="1215"/>
      <c r="AA69" s="1215"/>
      <c r="AB69" s="1215"/>
      <c r="AC69" s="1215"/>
      <c r="AD69" s="1215"/>
      <c r="AE69" s="1215"/>
      <c r="AF69" s="1215"/>
      <c r="AG69" s="1215"/>
      <c r="AH69" s="1215"/>
      <c r="AI69" s="1215"/>
    </row>
    <row r="70" spans="7:35">
      <c r="G70" s="1215"/>
      <c r="H70" s="1215"/>
      <c r="I70" s="1217"/>
      <c r="J70" s="1215"/>
      <c r="K70" s="1215"/>
      <c r="L70" s="1215"/>
      <c r="M70" s="1215"/>
      <c r="N70" s="1215"/>
      <c r="O70" s="1215"/>
      <c r="P70" s="1215"/>
      <c r="Q70" s="1215"/>
      <c r="R70" s="1215"/>
      <c r="S70" s="1215"/>
      <c r="T70" s="1215"/>
      <c r="U70" s="1215"/>
      <c r="V70" s="1215"/>
      <c r="W70" s="1215"/>
      <c r="X70" s="1215"/>
      <c r="Y70" s="1215"/>
      <c r="Z70" s="1215"/>
      <c r="AA70" s="1215"/>
      <c r="AB70" s="1215"/>
      <c r="AC70" s="1215"/>
      <c r="AD70" s="1215"/>
      <c r="AE70" s="1215"/>
      <c r="AF70" s="1215"/>
      <c r="AG70" s="1215"/>
      <c r="AH70" s="1215"/>
      <c r="AI70" s="1215"/>
    </row>
    <row r="71" spans="7:35">
      <c r="G71" s="1215"/>
      <c r="H71" s="1215"/>
      <c r="I71" s="1217"/>
      <c r="J71" s="1215"/>
      <c r="K71" s="1215"/>
      <c r="L71" s="1215"/>
      <c r="M71" s="1215"/>
      <c r="N71" s="1215"/>
      <c r="O71" s="1215"/>
      <c r="P71" s="1215"/>
      <c r="Q71" s="1215"/>
      <c r="R71" s="1215"/>
      <c r="S71" s="1215"/>
      <c r="T71" s="1215"/>
      <c r="U71" s="1215"/>
      <c r="V71" s="1215"/>
      <c r="W71" s="1215"/>
      <c r="X71" s="1215"/>
      <c r="Y71" s="1215"/>
      <c r="Z71" s="1215"/>
      <c r="AA71" s="1215"/>
      <c r="AB71" s="1215"/>
      <c r="AC71" s="1215"/>
      <c r="AD71" s="1215"/>
      <c r="AE71" s="1215"/>
      <c r="AF71" s="1215"/>
      <c r="AG71" s="1215"/>
      <c r="AH71" s="1215"/>
      <c r="AI71" s="1215"/>
    </row>
    <row r="72" spans="7:35">
      <c r="G72" s="1215"/>
      <c r="H72" s="1215"/>
      <c r="I72" s="1217"/>
      <c r="J72" s="1215"/>
      <c r="K72" s="1215"/>
      <c r="L72" s="1215"/>
      <c r="M72" s="1215"/>
      <c r="N72" s="1215"/>
      <c r="O72" s="1215"/>
      <c r="P72" s="1215"/>
      <c r="Q72" s="1215"/>
      <c r="R72" s="1215"/>
      <c r="S72" s="1215"/>
      <c r="T72" s="1215"/>
      <c r="U72" s="1215"/>
      <c r="V72" s="1215"/>
      <c r="W72" s="1215"/>
      <c r="X72" s="1215"/>
      <c r="Y72" s="1215"/>
      <c r="Z72" s="1215"/>
      <c r="AA72" s="1215"/>
      <c r="AB72" s="1215"/>
      <c r="AC72" s="1215"/>
      <c r="AD72" s="1215"/>
      <c r="AE72" s="1215"/>
      <c r="AF72" s="1215"/>
      <c r="AG72" s="1215"/>
      <c r="AH72" s="1215"/>
      <c r="AI72" s="1215"/>
    </row>
    <row r="73" spans="7:35">
      <c r="G73" s="1215"/>
      <c r="H73" s="1215"/>
      <c r="I73" s="1217"/>
      <c r="J73" s="1215"/>
      <c r="K73" s="1215"/>
      <c r="L73" s="1215"/>
      <c r="M73" s="1215"/>
      <c r="N73" s="1215"/>
      <c r="O73" s="1215"/>
      <c r="P73" s="1215"/>
      <c r="Q73" s="1215"/>
      <c r="R73" s="1215"/>
      <c r="S73" s="1215"/>
      <c r="T73" s="1215"/>
      <c r="U73" s="1215"/>
      <c r="V73" s="1215"/>
      <c r="W73" s="1215"/>
      <c r="X73" s="1215"/>
      <c r="Y73" s="1215"/>
      <c r="Z73" s="1215"/>
      <c r="AA73" s="1215"/>
      <c r="AB73" s="1215"/>
      <c r="AC73" s="1215"/>
      <c r="AD73" s="1215"/>
      <c r="AE73" s="1215"/>
      <c r="AF73" s="1215"/>
      <c r="AG73" s="1215"/>
      <c r="AH73" s="1215"/>
      <c r="AI73" s="1215"/>
    </row>
    <row r="74" spans="7:35">
      <c r="G74" s="1215"/>
      <c r="H74" s="1215"/>
      <c r="I74" s="1217"/>
      <c r="J74" s="1215"/>
      <c r="K74" s="1215"/>
      <c r="L74" s="1215"/>
      <c r="M74" s="1215"/>
      <c r="N74" s="1215"/>
      <c r="O74" s="1215"/>
      <c r="P74" s="1215"/>
      <c r="Q74" s="1215"/>
      <c r="R74" s="1215"/>
      <c r="S74" s="1215"/>
      <c r="T74" s="1215"/>
      <c r="U74" s="1215"/>
      <c r="V74" s="1215"/>
      <c r="W74" s="1215"/>
      <c r="X74" s="1215"/>
      <c r="Y74" s="1215"/>
      <c r="Z74" s="1215"/>
      <c r="AA74" s="1215"/>
      <c r="AB74" s="1215"/>
      <c r="AC74" s="1215"/>
      <c r="AD74" s="1215"/>
      <c r="AE74" s="1215"/>
      <c r="AF74" s="1215"/>
      <c r="AG74" s="1215"/>
      <c r="AH74" s="1215"/>
      <c r="AI74" s="1215"/>
    </row>
    <row r="75" spans="7:35">
      <c r="G75" s="1215"/>
      <c r="H75" s="1215"/>
      <c r="I75" s="1217"/>
      <c r="J75" s="1215"/>
      <c r="K75" s="1215"/>
      <c r="L75" s="1215"/>
      <c r="M75" s="1215"/>
      <c r="N75" s="1215"/>
      <c r="O75" s="1215"/>
      <c r="P75" s="1215"/>
      <c r="Q75" s="1215"/>
      <c r="R75" s="1215"/>
      <c r="S75" s="1215"/>
      <c r="T75" s="1215"/>
      <c r="U75" s="1215"/>
      <c r="V75" s="1215"/>
      <c r="W75" s="1215"/>
      <c r="X75" s="1215"/>
      <c r="Y75" s="1215"/>
      <c r="Z75" s="1215"/>
      <c r="AA75" s="1215"/>
      <c r="AB75" s="1215"/>
      <c r="AC75" s="1215"/>
      <c r="AD75" s="1215"/>
      <c r="AE75" s="1215"/>
      <c r="AF75" s="1215"/>
      <c r="AG75" s="1215"/>
      <c r="AH75" s="1215"/>
      <c r="AI75" s="1215"/>
    </row>
    <row r="76" spans="7:35">
      <c r="G76" s="1215"/>
      <c r="H76" s="1215"/>
      <c r="I76" s="1217"/>
      <c r="J76" s="1215"/>
      <c r="K76" s="1215"/>
      <c r="L76" s="1215"/>
      <c r="M76" s="1215"/>
      <c r="N76" s="1215"/>
      <c r="O76" s="1215"/>
      <c r="P76" s="1215"/>
      <c r="Q76" s="1215"/>
      <c r="R76" s="1215"/>
      <c r="S76" s="1215"/>
      <c r="T76" s="1215"/>
      <c r="U76" s="1215"/>
      <c r="V76" s="1215"/>
      <c r="W76" s="1215"/>
      <c r="X76" s="1215"/>
      <c r="Y76" s="1215"/>
      <c r="Z76" s="1215"/>
      <c r="AA76" s="1215"/>
      <c r="AB76" s="1215"/>
      <c r="AC76" s="1215"/>
      <c r="AD76" s="1215"/>
      <c r="AE76" s="1215"/>
      <c r="AF76" s="1215"/>
      <c r="AG76" s="1215"/>
      <c r="AH76" s="1215"/>
      <c r="AI76" s="1215"/>
    </row>
    <row r="77" spans="7:35">
      <c r="G77" s="1215"/>
      <c r="H77" s="1215"/>
      <c r="I77" s="1217"/>
      <c r="J77" s="1215"/>
      <c r="K77" s="1215"/>
      <c r="L77" s="1215"/>
      <c r="M77" s="1215"/>
      <c r="N77" s="1215"/>
      <c r="O77" s="1215"/>
      <c r="P77" s="1215"/>
      <c r="Q77" s="1215"/>
      <c r="R77" s="1215"/>
      <c r="S77" s="1215"/>
      <c r="T77" s="1215"/>
      <c r="U77" s="1215"/>
      <c r="V77" s="1215"/>
      <c r="W77" s="1215"/>
      <c r="X77" s="1215"/>
      <c r="Y77" s="1215"/>
      <c r="Z77" s="1215"/>
      <c r="AA77" s="1215"/>
      <c r="AB77" s="1215"/>
      <c r="AC77" s="1215"/>
      <c r="AD77" s="1215"/>
      <c r="AE77" s="1215"/>
      <c r="AF77" s="1215"/>
      <c r="AG77" s="1215"/>
      <c r="AH77" s="1215"/>
      <c r="AI77" s="1215"/>
    </row>
    <row r="78" spans="7:35">
      <c r="G78" s="1215"/>
      <c r="H78" s="1215"/>
      <c r="I78" s="1217"/>
      <c r="J78" s="1215"/>
      <c r="K78" s="1215"/>
      <c r="L78" s="1215"/>
      <c r="M78" s="1215"/>
      <c r="N78" s="1215"/>
      <c r="O78" s="1215"/>
      <c r="P78" s="1215"/>
      <c r="Q78" s="1215"/>
      <c r="R78" s="1215"/>
      <c r="S78" s="1215"/>
      <c r="T78" s="1215"/>
      <c r="U78" s="1215"/>
      <c r="V78" s="1215"/>
      <c r="W78" s="1215"/>
      <c r="X78" s="1215"/>
      <c r="Y78" s="1215"/>
      <c r="Z78" s="1215"/>
      <c r="AA78" s="1215"/>
      <c r="AB78" s="1215"/>
      <c r="AC78" s="1215"/>
      <c r="AD78" s="1215"/>
      <c r="AE78" s="1215"/>
      <c r="AF78" s="1215"/>
      <c r="AG78" s="1215"/>
      <c r="AH78" s="1215"/>
      <c r="AI78" s="1215"/>
    </row>
    <row r="79" spans="7:35">
      <c r="G79" s="1215"/>
      <c r="H79" s="1215"/>
      <c r="I79" s="1217"/>
      <c r="J79" s="1215"/>
      <c r="K79" s="1215"/>
      <c r="L79" s="1215"/>
      <c r="M79" s="1215"/>
      <c r="N79" s="1215"/>
      <c r="O79" s="1215"/>
      <c r="P79" s="1215"/>
      <c r="Q79" s="1215"/>
      <c r="R79" s="1215"/>
      <c r="S79" s="1215"/>
      <c r="T79" s="1215"/>
      <c r="U79" s="1215"/>
      <c r="V79" s="1215"/>
      <c r="W79" s="1215"/>
      <c r="X79" s="1215"/>
      <c r="Y79" s="1215"/>
      <c r="Z79" s="1215"/>
      <c r="AA79" s="1215"/>
      <c r="AB79" s="1215"/>
      <c r="AC79" s="1215"/>
      <c r="AD79" s="1215"/>
      <c r="AE79" s="1215"/>
      <c r="AF79" s="1215"/>
      <c r="AG79" s="1215"/>
      <c r="AH79" s="1215"/>
      <c r="AI79" s="1215"/>
    </row>
    <row r="80" spans="7:35">
      <c r="G80" s="1215"/>
      <c r="H80" s="1215"/>
      <c r="I80" s="1217"/>
      <c r="J80" s="1215"/>
      <c r="K80" s="1215"/>
      <c r="L80" s="1215"/>
      <c r="M80" s="1215"/>
      <c r="N80" s="1215"/>
      <c r="O80" s="1215"/>
      <c r="P80" s="1215"/>
      <c r="Q80" s="1215"/>
      <c r="R80" s="1215"/>
      <c r="S80" s="1215"/>
      <c r="T80" s="1215"/>
      <c r="U80" s="1215"/>
      <c r="V80" s="1215"/>
      <c r="W80" s="1215"/>
      <c r="X80" s="1215"/>
      <c r="Y80" s="1215"/>
      <c r="Z80" s="1215"/>
      <c r="AA80" s="1215"/>
      <c r="AB80" s="1215"/>
      <c r="AC80" s="1215"/>
      <c r="AD80" s="1215"/>
      <c r="AE80" s="1215"/>
      <c r="AF80" s="1215"/>
      <c r="AG80" s="1215"/>
      <c r="AH80" s="1215"/>
      <c r="AI80" s="1215"/>
    </row>
    <row r="81" spans="7:35">
      <c r="G81" s="1215"/>
      <c r="H81" s="1215"/>
      <c r="I81" s="1217"/>
      <c r="J81" s="1215"/>
      <c r="K81" s="1215"/>
      <c r="L81" s="1215"/>
      <c r="M81" s="1215"/>
      <c r="N81" s="1215"/>
      <c r="O81" s="1215"/>
      <c r="P81" s="1215"/>
      <c r="Q81" s="1215"/>
      <c r="R81" s="1215"/>
      <c r="S81" s="1215"/>
      <c r="T81" s="1215"/>
      <c r="U81" s="1215"/>
      <c r="V81" s="1215"/>
      <c r="W81" s="1215"/>
      <c r="X81" s="1215"/>
      <c r="Y81" s="1215"/>
      <c r="Z81" s="1215"/>
      <c r="AA81" s="1215"/>
      <c r="AB81" s="1215"/>
      <c r="AC81" s="1215"/>
      <c r="AD81" s="1215"/>
      <c r="AE81" s="1215"/>
      <c r="AF81" s="1215"/>
      <c r="AG81" s="1215"/>
      <c r="AH81" s="1215"/>
      <c r="AI81" s="1215"/>
    </row>
    <row r="82" spans="7:35">
      <c r="G82" s="1215"/>
      <c r="H82" s="1215"/>
      <c r="I82" s="1217"/>
      <c r="J82" s="1215"/>
      <c r="K82" s="1215"/>
      <c r="L82" s="1215"/>
      <c r="M82" s="1215"/>
      <c r="N82" s="1215"/>
      <c r="O82" s="1215"/>
      <c r="P82" s="1215"/>
      <c r="Q82" s="1215"/>
      <c r="R82" s="1215"/>
      <c r="S82" s="1215"/>
      <c r="T82" s="1215"/>
      <c r="U82" s="1215"/>
      <c r="V82" s="1215"/>
      <c r="W82" s="1215"/>
      <c r="X82" s="1215"/>
      <c r="Y82" s="1215"/>
      <c r="Z82" s="1215"/>
      <c r="AA82" s="1215"/>
      <c r="AB82" s="1215"/>
      <c r="AC82" s="1215"/>
      <c r="AD82" s="1215"/>
      <c r="AE82" s="1215"/>
      <c r="AF82" s="1215"/>
      <c r="AG82" s="1215"/>
      <c r="AH82" s="1215"/>
      <c r="AI82" s="1215"/>
    </row>
    <row r="83" spans="7:35">
      <c r="G83" s="1215"/>
      <c r="H83" s="1215"/>
      <c r="I83" s="1217"/>
      <c r="J83" s="1215"/>
      <c r="K83" s="1215"/>
      <c r="L83" s="1215"/>
      <c r="M83" s="1215"/>
      <c r="N83" s="1215"/>
      <c r="O83" s="1215"/>
      <c r="P83" s="1215"/>
      <c r="Q83" s="1215"/>
      <c r="R83" s="1215"/>
      <c r="S83" s="1215"/>
      <c r="T83" s="1215"/>
      <c r="U83" s="1215"/>
      <c r="V83" s="1215"/>
      <c r="W83" s="1215"/>
      <c r="X83" s="1215"/>
      <c r="Y83" s="1215"/>
      <c r="Z83" s="1215"/>
      <c r="AA83" s="1215"/>
      <c r="AB83" s="1215"/>
      <c r="AC83" s="1215"/>
      <c r="AD83" s="1215"/>
      <c r="AE83" s="1215"/>
      <c r="AF83" s="1215"/>
      <c r="AG83" s="1215"/>
      <c r="AH83" s="1215"/>
      <c r="AI83" s="1215"/>
    </row>
    <row r="84" spans="7:35">
      <c r="G84" s="1215"/>
      <c r="H84" s="1215"/>
      <c r="I84" s="1217"/>
      <c r="J84" s="1215"/>
      <c r="K84" s="1215"/>
      <c r="L84" s="1215"/>
      <c r="M84" s="1215"/>
      <c r="N84" s="1215"/>
      <c r="O84" s="1215"/>
      <c r="P84" s="1215"/>
      <c r="Q84" s="1215"/>
      <c r="R84" s="1215"/>
      <c r="S84" s="1215"/>
      <c r="T84" s="1215"/>
      <c r="U84" s="1215"/>
      <c r="V84" s="1215"/>
      <c r="W84" s="1215"/>
      <c r="X84" s="1215"/>
      <c r="Y84" s="1215"/>
      <c r="Z84" s="1215"/>
      <c r="AA84" s="1215"/>
      <c r="AB84" s="1215"/>
      <c r="AC84" s="1215"/>
      <c r="AD84" s="1215"/>
      <c r="AE84" s="1215"/>
      <c r="AF84" s="1215"/>
      <c r="AG84" s="1215"/>
      <c r="AH84" s="1215"/>
      <c r="AI84" s="1215"/>
    </row>
    <row r="85" spans="7:35">
      <c r="G85" s="1215"/>
      <c r="H85" s="1215"/>
      <c r="I85" s="1217"/>
      <c r="J85" s="1215"/>
      <c r="K85" s="1215"/>
      <c r="L85" s="1215"/>
      <c r="M85" s="1215"/>
      <c r="N85" s="1215"/>
      <c r="O85" s="1215"/>
      <c r="P85" s="1215"/>
      <c r="Q85" s="1215"/>
      <c r="R85" s="1215"/>
      <c r="S85" s="1215"/>
      <c r="T85" s="1215"/>
      <c r="U85" s="1215"/>
      <c r="V85" s="1215"/>
      <c r="W85" s="1215"/>
      <c r="X85" s="1215"/>
      <c r="Y85" s="1215"/>
      <c r="Z85" s="1215"/>
      <c r="AA85" s="1215"/>
      <c r="AB85" s="1215"/>
      <c r="AC85" s="1215"/>
      <c r="AD85" s="1215"/>
      <c r="AE85" s="1215"/>
      <c r="AF85" s="1215"/>
      <c r="AG85" s="1215"/>
      <c r="AH85" s="1215"/>
      <c r="AI85" s="1215"/>
    </row>
    <row r="86" spans="7:35">
      <c r="G86" s="1215"/>
      <c r="H86" s="1215"/>
      <c r="I86" s="1217"/>
      <c r="J86" s="1215"/>
      <c r="K86" s="1215"/>
      <c r="L86" s="1215"/>
      <c r="M86" s="1215"/>
      <c r="N86" s="1215"/>
      <c r="O86" s="1215"/>
      <c r="P86" s="1215"/>
      <c r="Q86" s="1215"/>
      <c r="R86" s="1215"/>
      <c r="S86" s="1215"/>
      <c r="T86" s="1215"/>
      <c r="U86" s="1215"/>
      <c r="V86" s="1215"/>
      <c r="W86" s="1215"/>
      <c r="X86" s="1215"/>
      <c r="Y86" s="1215"/>
      <c r="Z86" s="1215"/>
      <c r="AA86" s="1215"/>
      <c r="AB86" s="1215"/>
      <c r="AC86" s="1215"/>
      <c r="AD86" s="1215"/>
      <c r="AE86" s="1215"/>
      <c r="AF86" s="1215"/>
      <c r="AG86" s="1215"/>
      <c r="AH86" s="1215"/>
      <c r="AI86" s="1215"/>
    </row>
    <row r="87" spans="7:35">
      <c r="G87" s="1215"/>
      <c r="H87" s="1215"/>
      <c r="I87" s="1217"/>
      <c r="J87" s="1215"/>
      <c r="K87" s="1215"/>
      <c r="L87" s="1215"/>
      <c r="M87" s="1215"/>
      <c r="N87" s="1215"/>
      <c r="O87" s="1215"/>
      <c r="P87" s="1215"/>
      <c r="Q87" s="1215"/>
      <c r="R87" s="1215"/>
      <c r="S87" s="1215"/>
      <c r="T87" s="1215"/>
      <c r="U87" s="1215"/>
      <c r="V87" s="1215"/>
      <c r="W87" s="1215"/>
      <c r="X87" s="1215"/>
      <c r="Y87" s="1215"/>
      <c r="Z87" s="1215"/>
      <c r="AA87" s="1215"/>
      <c r="AB87" s="1215"/>
      <c r="AC87" s="1215"/>
      <c r="AD87" s="1215"/>
      <c r="AE87" s="1215"/>
      <c r="AF87" s="1215"/>
      <c r="AG87" s="1215"/>
      <c r="AH87" s="1215"/>
      <c r="AI87" s="1215"/>
    </row>
    <row r="88" spans="7:35">
      <c r="G88" s="1215"/>
      <c r="H88" s="1215"/>
      <c r="I88" s="1217"/>
      <c r="J88" s="1215"/>
      <c r="K88" s="1215"/>
      <c r="L88" s="1215"/>
      <c r="M88" s="1215"/>
      <c r="N88" s="1215"/>
      <c r="O88" s="1215"/>
      <c r="P88" s="1215"/>
      <c r="Q88" s="1215"/>
      <c r="R88" s="1215"/>
      <c r="S88" s="1215"/>
      <c r="T88" s="1215"/>
      <c r="U88" s="1215"/>
      <c r="V88" s="1215"/>
      <c r="W88" s="1215"/>
      <c r="X88" s="1215"/>
      <c r="Y88" s="1215"/>
      <c r="Z88" s="1215"/>
      <c r="AA88" s="1215"/>
      <c r="AB88" s="1215"/>
      <c r="AC88" s="1215"/>
      <c r="AD88" s="1215"/>
      <c r="AE88" s="1215"/>
      <c r="AF88" s="1215"/>
      <c r="AG88" s="1215"/>
      <c r="AH88" s="1215"/>
      <c r="AI88" s="1215"/>
    </row>
    <row r="89" spans="7:35">
      <c r="G89" s="1215"/>
      <c r="H89" s="1215"/>
      <c r="I89" s="1217"/>
      <c r="J89" s="1215"/>
      <c r="K89" s="1215"/>
      <c r="L89" s="1215"/>
      <c r="M89" s="1215"/>
      <c r="N89" s="1215"/>
      <c r="O89" s="1215"/>
      <c r="P89" s="1215"/>
      <c r="Q89" s="1215"/>
      <c r="R89" s="1215"/>
      <c r="S89" s="1215"/>
      <c r="T89" s="1215"/>
      <c r="U89" s="1215"/>
      <c r="V89" s="1215"/>
      <c r="W89" s="1215"/>
      <c r="X89" s="1215"/>
      <c r="Y89" s="1215"/>
      <c r="Z89" s="1215"/>
      <c r="AA89" s="1215"/>
      <c r="AB89" s="1215"/>
      <c r="AC89" s="1215"/>
      <c r="AD89" s="1215"/>
      <c r="AE89" s="1215"/>
      <c r="AF89" s="1215"/>
      <c r="AG89" s="1215"/>
      <c r="AH89" s="1215"/>
      <c r="AI89" s="1215"/>
    </row>
    <row r="90" spans="7:35">
      <c r="G90" s="1215"/>
      <c r="H90" s="1215"/>
      <c r="I90" s="1217"/>
      <c r="J90" s="1215"/>
      <c r="K90" s="1215"/>
      <c r="L90" s="1215"/>
      <c r="M90" s="1215"/>
      <c r="N90" s="1215"/>
      <c r="O90" s="1215"/>
      <c r="P90" s="1215"/>
      <c r="Q90" s="1215"/>
      <c r="R90" s="1215"/>
      <c r="S90" s="1215"/>
      <c r="T90" s="1215"/>
      <c r="U90" s="1215"/>
      <c r="V90" s="1215"/>
      <c r="W90" s="1215"/>
      <c r="X90" s="1215"/>
      <c r="Y90" s="1215"/>
      <c r="Z90" s="1215"/>
      <c r="AA90" s="1215"/>
      <c r="AB90" s="1215"/>
      <c r="AC90" s="1215"/>
      <c r="AD90" s="1215"/>
      <c r="AE90" s="1215"/>
      <c r="AF90" s="1215"/>
      <c r="AG90" s="1215"/>
      <c r="AH90" s="1215"/>
      <c r="AI90" s="1215"/>
    </row>
    <row r="91" spans="7:35">
      <c r="G91" s="1215"/>
      <c r="H91" s="1215"/>
      <c r="I91" s="1217"/>
      <c r="J91" s="1215"/>
      <c r="K91" s="1215"/>
      <c r="L91" s="1215"/>
      <c r="M91" s="1215"/>
      <c r="N91" s="1215"/>
      <c r="O91" s="1215"/>
      <c r="P91" s="1215"/>
      <c r="Q91" s="1215"/>
      <c r="R91" s="1215"/>
      <c r="S91" s="1215"/>
      <c r="T91" s="1215"/>
      <c r="U91" s="1215"/>
      <c r="V91" s="1215"/>
      <c r="W91" s="1215"/>
      <c r="X91" s="1215"/>
      <c r="Y91" s="1215"/>
      <c r="Z91" s="1215"/>
      <c r="AA91" s="1215"/>
      <c r="AB91" s="1215"/>
      <c r="AC91" s="1215"/>
      <c r="AD91" s="1215"/>
      <c r="AE91" s="1215"/>
      <c r="AF91" s="1215"/>
      <c r="AG91" s="1215"/>
      <c r="AH91" s="1215"/>
      <c r="AI91" s="1215"/>
    </row>
    <row r="92" spans="7:35">
      <c r="G92" s="1215"/>
      <c r="H92" s="1215"/>
      <c r="I92" s="1217"/>
      <c r="J92" s="1215"/>
      <c r="K92" s="1215"/>
      <c r="L92" s="1215"/>
      <c r="M92" s="1215"/>
      <c r="N92" s="1215"/>
      <c r="O92" s="1215"/>
      <c r="P92" s="1215"/>
      <c r="Q92" s="1215"/>
      <c r="R92" s="1215"/>
      <c r="S92" s="1215"/>
      <c r="T92" s="1215"/>
      <c r="U92" s="1215"/>
      <c r="V92" s="1215"/>
      <c r="W92" s="1215"/>
      <c r="X92" s="1215"/>
      <c r="Y92" s="1215"/>
      <c r="Z92" s="1215"/>
      <c r="AA92" s="1215"/>
      <c r="AB92" s="1215"/>
      <c r="AC92" s="1215"/>
      <c r="AD92" s="1215"/>
      <c r="AE92" s="1215"/>
      <c r="AF92" s="1215"/>
      <c r="AG92" s="1215"/>
      <c r="AH92" s="1215"/>
      <c r="AI92" s="1215"/>
    </row>
    <row r="93" spans="7:35">
      <c r="G93" s="1215"/>
      <c r="H93" s="1215"/>
      <c r="I93" s="1215"/>
      <c r="J93" s="1215"/>
      <c r="K93" s="1215"/>
      <c r="L93" s="1215"/>
      <c r="M93" s="1215"/>
      <c r="N93" s="1215"/>
      <c r="O93" s="1215"/>
      <c r="P93" s="1215"/>
      <c r="Q93" s="1215"/>
      <c r="R93" s="1215"/>
      <c r="S93" s="1215"/>
      <c r="T93" s="1215"/>
      <c r="U93" s="1215"/>
      <c r="V93" s="1215"/>
      <c r="W93" s="1215"/>
      <c r="X93" s="1215"/>
      <c r="Y93" s="1215"/>
      <c r="Z93" s="1215"/>
      <c r="AA93" s="1215"/>
      <c r="AB93" s="1215"/>
      <c r="AC93" s="1215"/>
      <c r="AD93" s="1215"/>
      <c r="AE93" s="1215"/>
      <c r="AF93" s="1215"/>
      <c r="AG93" s="1215"/>
      <c r="AH93" s="1215"/>
      <c r="AI93" s="1215"/>
    </row>
    <row r="94" spans="7:35">
      <c r="G94" s="867"/>
      <c r="H94" s="867"/>
      <c r="I94" s="867"/>
      <c r="J94" s="867"/>
      <c r="K94" s="867"/>
      <c r="L94" s="867"/>
      <c r="M94" s="867"/>
      <c r="N94" s="867"/>
      <c r="O94" s="867"/>
      <c r="P94" s="867"/>
      <c r="Q94" s="867"/>
      <c r="R94" s="867"/>
      <c r="S94" s="867"/>
      <c r="T94" s="867"/>
      <c r="U94" s="867"/>
      <c r="V94" s="867"/>
      <c r="W94" s="867"/>
      <c r="X94" s="867"/>
      <c r="Y94" s="867"/>
      <c r="Z94" s="867"/>
      <c r="AA94" s="867"/>
      <c r="AB94" s="867"/>
      <c r="AC94" s="867"/>
      <c r="AD94" s="867"/>
      <c r="AE94" s="867"/>
      <c r="AF94" s="867"/>
      <c r="AG94" s="867"/>
      <c r="AH94" s="867"/>
      <c r="AI94" s="867"/>
    </row>
  </sheetData>
  <dataConsolidate/>
  <mergeCells count="21">
    <mergeCell ref="C2:D2"/>
    <mergeCell ref="Y2:Z2"/>
    <mergeCell ref="AB2:AH2"/>
    <mergeCell ref="X3:Z3"/>
    <mergeCell ref="AB3:AH3"/>
    <mergeCell ref="X4:Z4"/>
    <mergeCell ref="AB4:AH4"/>
    <mergeCell ref="I5:K5"/>
    <mergeCell ref="M5:AH5"/>
    <mergeCell ref="I6:K7"/>
    <mergeCell ref="L6:L7"/>
    <mergeCell ref="M6:AH7"/>
    <mergeCell ref="J48:K48"/>
    <mergeCell ref="Y49:Z49"/>
    <mergeCell ref="AB49:AH49"/>
    <mergeCell ref="I8:K8"/>
    <mergeCell ref="M8:AH8"/>
    <mergeCell ref="I9:K9"/>
    <mergeCell ref="M9:AH9"/>
    <mergeCell ref="I10:K10"/>
    <mergeCell ref="M10:AH10"/>
  </mergeCells>
  <phoneticPr fontId="2"/>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05345" r:id="rId4" name="Button 1">
              <controlPr defaultSize="0" print="0" autoFill="0" autoPict="0" macro="[0]!UNJC0210_CreateVariableLayout">
                <anchor moveWithCells="1" sizeWithCells="1">
                  <from>
                    <xdr:col>41</xdr:col>
                    <xdr:colOff>257175</xdr:colOff>
                    <xdr:row>0</xdr:row>
                    <xdr:rowOff>95250</xdr:rowOff>
                  </from>
                  <to>
                    <xdr:col>42</xdr:col>
                    <xdr:colOff>390525</xdr:colOff>
                    <xdr:row>1</xdr:row>
                    <xdr:rowOff>142875</xdr:rowOff>
                  </to>
                </anchor>
              </controlPr>
            </control>
          </mc:Choice>
        </mc:AlternateContent>
        <mc:AlternateContent xmlns:mc="http://schemas.openxmlformats.org/markup-compatibility/2006">
          <mc:Choice Requires="x14">
            <control shapeId="2105346" r:id="rId5" name="Button 2">
              <controlPr defaultSize="0" print="0" autoFill="0" autoPict="0" macro="[0]!UNJC0210_CreatePrintLayout">
                <anchor moveWithCells="1" sizeWithCells="1">
                  <from>
                    <xdr:col>51</xdr:col>
                    <xdr:colOff>295275</xdr:colOff>
                    <xdr:row>0</xdr:row>
                    <xdr:rowOff>123825</xdr:rowOff>
                  </from>
                  <to>
                    <xdr:col>53</xdr:col>
                    <xdr:colOff>114300</xdr:colOff>
                    <xdr:row>1</xdr:row>
                    <xdr:rowOff>171450</xdr:rowOff>
                  </to>
                </anchor>
              </controlPr>
            </control>
          </mc:Choice>
        </mc:AlternateContent>
        <mc:AlternateContent xmlns:mc="http://schemas.openxmlformats.org/markup-compatibility/2006">
          <mc:Choice Requires="x14">
            <control shapeId="2105348" r:id="rId6" name="Button 4">
              <controlPr defaultSize="0" print="0" autoFill="0" autoPict="0" macro="[0]!UNJC0210_PrintClear">
                <anchor moveWithCells="1" sizeWithCells="1">
                  <from>
                    <xdr:col>39</xdr:col>
                    <xdr:colOff>152400</xdr:colOff>
                    <xdr:row>12</xdr:row>
                    <xdr:rowOff>142875</xdr:rowOff>
                  </from>
                  <to>
                    <xdr:col>40</xdr:col>
                    <xdr:colOff>323850</xdr:colOff>
                    <xdr:row>13</xdr:row>
                    <xdr:rowOff>190500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K113"/>
  <sheetViews>
    <sheetView zoomScale="145" zoomScaleNormal="145" workbookViewId="0">
      <selection activeCell="C8" sqref="C8"/>
    </sheetView>
  </sheetViews>
  <sheetFormatPr defaultRowHeight="18.75" customHeight="1"/>
  <cols>
    <col min="1" max="1" width="3.625" style="1218" customWidth="1"/>
    <col min="2" max="2" width="3.25" style="1222" customWidth="1"/>
    <col min="3" max="3" width="15.625" style="1222" customWidth="1"/>
    <col min="4" max="4" width="19.125" style="1222" customWidth="1"/>
    <col min="5" max="10" width="7.625" style="1222" customWidth="1"/>
    <col min="11" max="11" width="19.125" style="1222" customWidth="1"/>
    <col min="12" max="16384" width="9" style="1222"/>
  </cols>
  <sheetData>
    <row r="1" spans="1:11" s="1218" customFormat="1" ht="12"/>
    <row r="2" spans="1:11" s="1218" customFormat="1" ht="12">
      <c r="B2" s="1825" t="s">
        <v>3526</v>
      </c>
      <c r="C2" s="1825"/>
      <c r="D2" s="1825"/>
      <c r="E2" s="1825"/>
      <c r="F2" s="1825"/>
      <c r="G2" s="1021"/>
      <c r="H2" s="1021"/>
      <c r="I2" s="1021"/>
      <c r="J2" s="1021"/>
      <c r="K2" s="1021"/>
    </row>
    <row r="3" spans="1:11" s="1219" customFormat="1" ht="51.75" customHeight="1">
      <c r="B3" s="1220" t="s">
        <v>4531</v>
      </c>
      <c r="C3" s="1226" t="s">
        <v>1182</v>
      </c>
      <c r="D3" s="970"/>
      <c r="E3" s="970"/>
      <c r="F3" s="970"/>
      <c r="G3" s="970"/>
      <c r="H3" s="970"/>
      <c r="I3" s="970"/>
      <c r="J3" s="970"/>
      <c r="K3" s="970"/>
    </row>
    <row r="4" spans="1:11" s="1218" customFormat="1" ht="17.45" customHeight="1">
      <c r="B4" s="1227"/>
      <c r="C4" s="1221"/>
      <c r="D4" s="970"/>
      <c r="E4" s="970"/>
      <c r="F4" s="970"/>
      <c r="G4" s="970"/>
      <c r="H4" s="970"/>
      <c r="I4" s="970"/>
      <c r="J4" s="970"/>
      <c r="K4" s="970"/>
    </row>
    <row r="5" spans="1:11" s="1218" customFormat="1" ht="11.25" customHeight="1">
      <c r="D5" s="970"/>
      <c r="E5" s="970"/>
      <c r="F5" s="970"/>
      <c r="G5" s="970"/>
      <c r="H5" s="970"/>
      <c r="I5" s="970"/>
      <c r="J5" s="970"/>
      <c r="K5" s="970"/>
    </row>
    <row r="6" spans="1:11" ht="18.75" customHeight="1">
      <c r="A6" s="1222"/>
      <c r="B6" s="1228" t="s">
        <v>1</v>
      </c>
      <c r="C6" s="1229"/>
      <c r="D6" s="970"/>
      <c r="E6" s="970"/>
      <c r="F6" s="970"/>
      <c r="G6" s="970"/>
      <c r="H6" s="970"/>
      <c r="I6" s="970"/>
      <c r="J6" s="970"/>
      <c r="K6" s="970"/>
    </row>
    <row r="7" spans="1:11" ht="12">
      <c r="A7" s="1222"/>
    </row>
    <row r="8" spans="1:11" s="970" customFormat="1" ht="44.25" customHeight="1">
      <c r="A8" s="1218"/>
      <c r="B8" s="821"/>
    </row>
    <row r="9" spans="1:11" s="970" customFormat="1" ht="18.75" customHeight="1">
      <c r="A9" s="1218"/>
    </row>
    <row r="10" spans="1:11" s="970" customFormat="1" ht="18.75" customHeight="1">
      <c r="A10" s="1218"/>
    </row>
    <row r="11" spans="1:11" s="970" customFormat="1" ht="18.75" customHeight="1">
      <c r="A11" s="1218"/>
    </row>
    <row r="12" spans="1:11" s="970" customFormat="1" ht="18.75" customHeight="1">
      <c r="A12" s="1218"/>
    </row>
    <row r="13" spans="1:11" s="970" customFormat="1" ht="18.75" customHeight="1">
      <c r="A13" s="1218"/>
    </row>
    <row r="14" spans="1:11" s="970" customFormat="1" ht="18.75" customHeight="1">
      <c r="A14" s="1218"/>
    </row>
    <row r="15" spans="1:11" s="970" customFormat="1" ht="18.75" customHeight="1">
      <c r="A15" s="1218"/>
    </row>
    <row r="16" spans="1:11" s="970" customFormat="1" ht="18.75" customHeight="1">
      <c r="A16" s="1218"/>
    </row>
    <row r="17" spans="1:1" s="970" customFormat="1" ht="18.75" customHeight="1">
      <c r="A17" s="1218"/>
    </row>
    <row r="18" spans="1:1" s="970" customFormat="1" ht="18.75" customHeight="1">
      <c r="A18" s="1218"/>
    </row>
    <row r="19" spans="1:1" s="970" customFormat="1" ht="18.75" customHeight="1">
      <c r="A19" s="1218"/>
    </row>
    <row r="20" spans="1:1" s="970" customFormat="1" ht="18.75" customHeight="1">
      <c r="A20" s="1218"/>
    </row>
    <row r="21" spans="1:1" s="970" customFormat="1" ht="18.75" customHeight="1">
      <c r="A21" s="1218"/>
    </row>
    <row r="22" spans="1:1" s="970" customFormat="1" ht="18.75" customHeight="1">
      <c r="A22" s="1218"/>
    </row>
    <row r="23" spans="1:1" s="970" customFormat="1" ht="18.75" customHeight="1">
      <c r="A23" s="1218"/>
    </row>
    <row r="24" spans="1:1" s="970" customFormat="1" ht="18.75" customHeight="1">
      <c r="A24" s="1218"/>
    </row>
    <row r="25" spans="1:1" s="970" customFormat="1" ht="18.75" customHeight="1">
      <c r="A25" s="1218"/>
    </row>
    <row r="26" spans="1:1" s="970" customFormat="1" ht="18.75" customHeight="1">
      <c r="A26" s="1218"/>
    </row>
    <row r="27" spans="1:1" s="970" customFormat="1" ht="18.75" customHeight="1">
      <c r="A27" s="1218"/>
    </row>
    <row r="28" spans="1:1" s="970" customFormat="1" ht="18.75" customHeight="1">
      <c r="A28" s="1218"/>
    </row>
    <row r="29" spans="1:1" s="970" customFormat="1" ht="18.75" customHeight="1">
      <c r="A29" s="1218"/>
    </row>
    <row r="30" spans="1:1" s="970" customFormat="1" ht="18.75" customHeight="1">
      <c r="A30" s="1218"/>
    </row>
    <row r="31" spans="1:1" s="970" customFormat="1" ht="18.75" customHeight="1">
      <c r="A31" s="1218"/>
    </row>
    <row r="32" spans="1:1" s="970" customFormat="1" ht="18.75" customHeight="1">
      <c r="A32" s="1218"/>
    </row>
    <row r="33" spans="1:1" s="970" customFormat="1" ht="18.75" customHeight="1">
      <c r="A33" s="1218"/>
    </row>
    <row r="34" spans="1:1" s="970" customFormat="1" ht="18.75" customHeight="1">
      <c r="A34" s="1218"/>
    </row>
    <row r="35" spans="1:1" s="970" customFormat="1" ht="18.75" customHeight="1">
      <c r="A35" s="1218"/>
    </row>
    <row r="36" spans="1:1" s="970" customFormat="1" ht="18.75" customHeight="1">
      <c r="A36" s="1218"/>
    </row>
    <row r="37" spans="1:1" s="970" customFormat="1" ht="18.75" customHeight="1">
      <c r="A37" s="1218"/>
    </row>
    <row r="38" spans="1:1" s="970" customFormat="1" ht="18.75" customHeight="1">
      <c r="A38" s="1218"/>
    </row>
    <row r="39" spans="1:1" s="970" customFormat="1" ht="18.75" customHeight="1">
      <c r="A39" s="1218"/>
    </row>
    <row r="40" spans="1:1" s="970" customFormat="1" ht="18.75" customHeight="1">
      <c r="A40" s="1218"/>
    </row>
    <row r="41" spans="1:1" s="970" customFormat="1" ht="18.75" customHeight="1">
      <c r="A41" s="1218"/>
    </row>
    <row r="42" spans="1:1" s="970" customFormat="1" ht="18.75" customHeight="1">
      <c r="A42" s="1218"/>
    </row>
    <row r="43" spans="1:1" s="970" customFormat="1" ht="18.75" customHeight="1">
      <c r="A43" s="1218"/>
    </row>
    <row r="44" spans="1:1" s="970" customFormat="1" ht="18.75" customHeight="1">
      <c r="A44" s="1218"/>
    </row>
    <row r="45" spans="1:1" s="970" customFormat="1" ht="18.75" customHeight="1">
      <c r="A45" s="1218"/>
    </row>
    <row r="46" spans="1:1" s="970" customFormat="1" ht="18.75" customHeight="1">
      <c r="A46" s="1218"/>
    </row>
    <row r="47" spans="1:1" s="970" customFormat="1" ht="18.75" customHeight="1">
      <c r="A47" s="1218"/>
    </row>
    <row r="48" spans="1:1" s="970" customFormat="1" ht="18.75" customHeight="1">
      <c r="A48" s="1218"/>
    </row>
    <row r="49" spans="1:1" s="970" customFormat="1" ht="18.75" customHeight="1">
      <c r="A49" s="1218"/>
    </row>
    <row r="50" spans="1:1" s="970" customFormat="1" ht="18.75" customHeight="1">
      <c r="A50" s="1218"/>
    </row>
    <row r="51" spans="1:1" s="970" customFormat="1" ht="18.75" customHeight="1">
      <c r="A51" s="1218"/>
    </row>
    <row r="52" spans="1:1" s="970" customFormat="1" ht="18.75" customHeight="1">
      <c r="A52" s="1218"/>
    </row>
    <row r="53" spans="1:1" s="970" customFormat="1" ht="18.75" customHeight="1">
      <c r="A53" s="1218"/>
    </row>
    <row r="54" spans="1:1" s="970" customFormat="1" ht="18.75" customHeight="1">
      <c r="A54" s="1218"/>
    </row>
    <row r="55" spans="1:1" s="970" customFormat="1" ht="18.75" customHeight="1">
      <c r="A55" s="1218"/>
    </row>
    <row r="56" spans="1:1" s="970" customFormat="1" ht="18.75" customHeight="1">
      <c r="A56" s="1218"/>
    </row>
    <row r="57" spans="1:1" s="970" customFormat="1" ht="18.75" customHeight="1">
      <c r="A57" s="1218"/>
    </row>
    <row r="58" spans="1:1" s="970" customFormat="1" ht="18.75" customHeight="1">
      <c r="A58" s="1218"/>
    </row>
    <row r="59" spans="1:1" s="970" customFormat="1" ht="18.75" customHeight="1">
      <c r="A59" s="1218"/>
    </row>
    <row r="60" spans="1:1" s="970" customFormat="1" ht="18.75" customHeight="1">
      <c r="A60" s="1218"/>
    </row>
    <row r="61" spans="1:1" s="970" customFormat="1" ht="18.75" customHeight="1">
      <c r="A61" s="1218"/>
    </row>
    <row r="62" spans="1:1" s="970" customFormat="1" ht="18.75" customHeight="1">
      <c r="A62" s="1218"/>
    </row>
    <row r="63" spans="1:1" s="970" customFormat="1" ht="18.75" customHeight="1">
      <c r="A63" s="1218"/>
    </row>
    <row r="64" spans="1:1" s="970" customFormat="1" ht="18.75" customHeight="1">
      <c r="A64" s="1218"/>
    </row>
    <row r="65" spans="1:1" s="970" customFormat="1" ht="18.75" customHeight="1">
      <c r="A65" s="1218"/>
    </row>
    <row r="66" spans="1:1" s="970" customFormat="1" ht="18.75" customHeight="1">
      <c r="A66" s="1218"/>
    </row>
    <row r="67" spans="1:1" s="970" customFormat="1" ht="18.75" customHeight="1">
      <c r="A67" s="1218"/>
    </row>
    <row r="68" spans="1:1" s="970" customFormat="1" ht="18.75" customHeight="1">
      <c r="A68" s="1218"/>
    </row>
    <row r="69" spans="1:1" s="970" customFormat="1" ht="18.75" customHeight="1">
      <c r="A69" s="1218"/>
    </row>
    <row r="70" spans="1:1" s="970" customFormat="1" ht="18.75" customHeight="1">
      <c r="A70" s="1218"/>
    </row>
    <row r="71" spans="1:1" s="970" customFormat="1" ht="18.75" customHeight="1">
      <c r="A71" s="1218"/>
    </row>
    <row r="72" spans="1:1" s="970" customFormat="1" ht="18.75" customHeight="1">
      <c r="A72" s="1218"/>
    </row>
    <row r="73" spans="1:1" s="970" customFormat="1" ht="18.75" customHeight="1">
      <c r="A73" s="1218"/>
    </row>
    <row r="74" spans="1:1" s="970" customFormat="1" ht="18.75" customHeight="1">
      <c r="A74" s="1218"/>
    </row>
    <row r="75" spans="1:1" s="970" customFormat="1" ht="18.75" customHeight="1">
      <c r="A75" s="1218"/>
    </row>
    <row r="76" spans="1:1" s="970" customFormat="1" ht="18.75" customHeight="1">
      <c r="A76" s="1218"/>
    </row>
    <row r="77" spans="1:1" s="970" customFormat="1" ht="18.75" customHeight="1">
      <c r="A77" s="1218"/>
    </row>
    <row r="78" spans="1:1" s="970" customFormat="1" ht="18.75" customHeight="1">
      <c r="A78" s="1218"/>
    </row>
    <row r="79" spans="1:1" s="970" customFormat="1" ht="18.75" customHeight="1">
      <c r="A79" s="1218"/>
    </row>
    <row r="80" spans="1:1" s="970" customFormat="1" ht="18.75" customHeight="1">
      <c r="A80" s="1218"/>
    </row>
    <row r="81" spans="1:1" s="970" customFormat="1" ht="18.75" customHeight="1">
      <c r="A81" s="1218"/>
    </row>
    <row r="82" spans="1:1" s="970" customFormat="1" ht="18.75" customHeight="1">
      <c r="A82" s="1218"/>
    </row>
    <row r="83" spans="1:1" s="970" customFormat="1" ht="18.75" customHeight="1">
      <c r="A83" s="1218"/>
    </row>
    <row r="84" spans="1:1" s="970" customFormat="1" ht="18.75" customHeight="1">
      <c r="A84" s="1218"/>
    </row>
    <row r="85" spans="1:1" s="970" customFormat="1" ht="18.75" customHeight="1">
      <c r="A85" s="1218"/>
    </row>
    <row r="86" spans="1:1" s="970" customFormat="1" ht="18.75" customHeight="1">
      <c r="A86" s="1218"/>
    </row>
    <row r="87" spans="1:1" s="970" customFormat="1" ht="18.75" customHeight="1">
      <c r="A87" s="1218"/>
    </row>
    <row r="88" spans="1:1" s="970" customFormat="1" ht="18.75" customHeight="1">
      <c r="A88" s="1218"/>
    </row>
    <row r="89" spans="1:1" s="970" customFormat="1" ht="18.75" customHeight="1">
      <c r="A89" s="1218"/>
    </row>
    <row r="90" spans="1:1" s="970" customFormat="1" ht="18.75" customHeight="1">
      <c r="A90" s="1218"/>
    </row>
    <row r="91" spans="1:1" s="970" customFormat="1" ht="18.75" customHeight="1">
      <c r="A91" s="1218"/>
    </row>
    <row r="92" spans="1:1" s="970" customFormat="1" ht="18.75" customHeight="1">
      <c r="A92" s="1218"/>
    </row>
    <row r="93" spans="1:1" s="970" customFormat="1" ht="18.75" customHeight="1">
      <c r="A93" s="1218"/>
    </row>
    <row r="94" spans="1:1" s="970" customFormat="1" ht="18.75" customHeight="1">
      <c r="A94" s="1218"/>
    </row>
    <row r="95" spans="1:1" s="970" customFormat="1" ht="18.75" customHeight="1">
      <c r="A95" s="1218"/>
    </row>
    <row r="96" spans="1:1" s="970" customFormat="1" ht="18.75" customHeight="1">
      <c r="A96" s="1218"/>
    </row>
    <row r="97" spans="1:1" s="970" customFormat="1" ht="18.75" customHeight="1">
      <c r="A97" s="1218"/>
    </row>
    <row r="98" spans="1:1" s="970" customFormat="1" ht="18.75" customHeight="1">
      <c r="A98" s="1218"/>
    </row>
    <row r="99" spans="1:1" s="970" customFormat="1" ht="18.75" customHeight="1">
      <c r="A99" s="1218"/>
    </row>
    <row r="100" spans="1:1" s="970" customFormat="1" ht="18.75" customHeight="1">
      <c r="A100" s="1218"/>
    </row>
    <row r="101" spans="1:1" s="970" customFormat="1" ht="18.75" customHeight="1">
      <c r="A101" s="1218"/>
    </row>
    <row r="102" spans="1:1" s="970" customFormat="1" ht="18.75" customHeight="1">
      <c r="A102" s="1218"/>
    </row>
    <row r="103" spans="1:1" s="970" customFormat="1" ht="18.75" customHeight="1">
      <c r="A103" s="1218"/>
    </row>
    <row r="104" spans="1:1" s="970" customFormat="1" ht="18.75" customHeight="1">
      <c r="A104" s="1218"/>
    </row>
    <row r="105" spans="1:1" s="970" customFormat="1" ht="18.75" customHeight="1">
      <c r="A105" s="1218"/>
    </row>
    <row r="106" spans="1:1" s="970" customFormat="1" ht="18.75" customHeight="1">
      <c r="A106" s="1218"/>
    </row>
    <row r="107" spans="1:1" s="970" customFormat="1" ht="18.75" customHeight="1">
      <c r="A107" s="1218"/>
    </row>
    <row r="108" spans="1:1" s="970" customFormat="1" ht="18.75" customHeight="1">
      <c r="A108" s="1218"/>
    </row>
    <row r="109" spans="1:1" s="970" customFormat="1" ht="18.75" customHeight="1">
      <c r="A109" s="1218"/>
    </row>
    <row r="110" spans="1:1" s="970" customFormat="1" ht="18.75" customHeight="1">
      <c r="A110" s="1218"/>
    </row>
    <row r="111" spans="1:1" s="970" customFormat="1" ht="18.75" customHeight="1">
      <c r="A111" s="1218"/>
    </row>
    <row r="112" spans="1:1" s="970" customFormat="1" ht="18.75" customHeight="1">
      <c r="A112" s="1218"/>
    </row>
    <row r="113" spans="1:1" s="970" customFormat="1" ht="18.75" customHeight="1">
      <c r="A113" s="1218"/>
    </row>
  </sheetData>
  <mergeCells count="1">
    <mergeCell ref="B2:F2"/>
  </mergeCells>
  <phoneticPr fontId="2"/>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rgb="FFFFC000"/>
  </sheetPr>
  <dimension ref="A1:Z41"/>
  <sheetViews>
    <sheetView showGridLines="0" showRowColHeaders="0" topLeftCell="F1" workbookViewId="0">
      <selection activeCell="H3" sqref="H3"/>
    </sheetView>
  </sheetViews>
  <sheetFormatPr defaultRowHeight="16.5"/>
  <cols>
    <col min="1" max="1" width="9" style="376" hidden="1" customWidth="1"/>
    <col min="2" max="2" width="26.625" style="1136" hidden="1" customWidth="1"/>
    <col min="3" max="3" width="38.375" style="1136" hidden="1" customWidth="1"/>
    <col min="4" max="4" width="12.25" style="1136" hidden="1" customWidth="1"/>
    <col min="5" max="5" width="9" style="376" hidden="1" customWidth="1"/>
    <col min="6" max="6" width="3.25" style="207" customWidth="1"/>
    <col min="7" max="7" width="10.875" style="207" customWidth="1"/>
    <col min="8" max="8" width="13.125" style="207" customWidth="1"/>
    <col min="9" max="9" width="3.25" style="207" customWidth="1"/>
    <col min="10" max="10" width="12.875" style="207" customWidth="1"/>
    <col min="11" max="11" width="3.25" style="207" customWidth="1"/>
    <col min="12" max="12" width="13" style="207" customWidth="1"/>
    <col min="13" max="13" width="23.375" style="207" customWidth="1"/>
    <col min="14" max="17" width="3.25" style="207" customWidth="1"/>
    <col min="18" max="41" width="3.375" style="207" customWidth="1"/>
    <col min="42" max="16384" width="9" style="207"/>
  </cols>
  <sheetData>
    <row r="1" spans="1:26" s="73" customFormat="1" ht="19.5">
      <c r="A1" s="1135"/>
      <c r="B1" s="1136"/>
      <c r="C1" s="1136"/>
      <c r="D1" s="1136"/>
      <c r="E1" s="1135"/>
      <c r="F1" s="73" t="s">
        <v>3829</v>
      </c>
    </row>
    <row r="2" spans="1:26">
      <c r="B2" s="1130" t="s">
        <v>3197</v>
      </c>
      <c r="C2" s="1130" t="s">
        <v>3830</v>
      </c>
      <c r="D2" s="1130"/>
    </row>
    <row r="3" spans="1:26">
      <c r="B3" s="1130" t="s">
        <v>2257</v>
      </c>
      <c r="C3" s="1130" t="s">
        <v>3831</v>
      </c>
      <c r="D3" s="1130" t="str">
        <f>ADDRESS(ROW(A1),COLUMN(A1))&amp;":"&amp;ADDRESS(ROW(E1),COLUMN(E1))</f>
        <v>$A$1:$E$1</v>
      </c>
      <c r="G3" s="208" t="s">
        <v>3832</v>
      </c>
      <c r="H3" s="1062"/>
      <c r="K3" s="208" t="s">
        <v>3833</v>
      </c>
      <c r="L3" s="259"/>
    </row>
    <row r="4" spans="1:26">
      <c r="G4" s="208" t="s">
        <v>3834</v>
      </c>
      <c r="H4" s="1062"/>
    </row>
    <row r="5" spans="1:26">
      <c r="B5" s="1137" t="s">
        <v>2220</v>
      </c>
      <c r="D5" s="1138" t="s">
        <v>3835</v>
      </c>
      <c r="G5" s="208" t="s">
        <v>82</v>
      </c>
      <c r="H5" s="1062"/>
    </row>
    <row r="6" spans="1:26">
      <c r="B6" s="1139" t="s">
        <v>1691</v>
      </c>
      <c r="C6" s="1139" t="s">
        <v>2224</v>
      </c>
      <c r="D6" s="1140" t="s">
        <v>2225</v>
      </c>
    </row>
    <row r="7" spans="1:26">
      <c r="B7" s="1141" t="s">
        <v>1743</v>
      </c>
      <c r="C7" s="1142" t="s">
        <v>3836</v>
      </c>
      <c r="D7" s="1143"/>
      <c r="G7" s="208" t="s">
        <v>3837</v>
      </c>
      <c r="H7" s="1055"/>
      <c r="I7" s="1826" t="str">
        <f>IF(UNJC0220_H_KOBAIHIN_CD="","",UNJC0220_H_KOBAIHIN_MEI)</f>
        <v/>
      </c>
      <c r="J7" s="1827"/>
      <c r="K7" s="1827"/>
      <c r="L7" s="1827"/>
      <c r="M7" s="1828"/>
    </row>
    <row r="8" spans="1:26">
      <c r="B8" s="1141" t="s">
        <v>3838</v>
      </c>
      <c r="C8" s="1142" t="s">
        <v>3839</v>
      </c>
      <c r="D8" s="1143"/>
      <c r="G8" s="208" t="s">
        <v>72</v>
      </c>
      <c r="H8" s="1055"/>
      <c r="I8" s="1826" t="str">
        <f>IF(UNJC0220_H_SHIIRESAKI_CD="","",UNJC0220_H_SHIIRESAKI_MEI)</f>
        <v/>
      </c>
      <c r="J8" s="1827"/>
      <c r="K8" s="1827"/>
      <c r="L8" s="1827"/>
      <c r="M8" s="1828"/>
    </row>
    <row r="9" spans="1:26">
      <c r="B9" s="1144" t="s">
        <v>3840</v>
      </c>
      <c r="C9" s="1145" t="s">
        <v>3841</v>
      </c>
      <c r="D9" s="1146"/>
      <c r="G9" s="208" t="s">
        <v>73</v>
      </c>
      <c r="H9" s="1055"/>
      <c r="I9" s="1826" t="str">
        <f>IF(UNJC0220_H_MAKER_CD="","",UNJC0220_H_MAKER_MEI)</f>
        <v/>
      </c>
      <c r="J9" s="1827"/>
      <c r="K9" s="1827"/>
      <c r="L9" s="1827"/>
      <c r="M9" s="1828"/>
    </row>
    <row r="10" spans="1:26">
      <c r="B10" s="1144" t="s">
        <v>61</v>
      </c>
      <c r="C10" s="1145" t="s">
        <v>3842</v>
      </c>
      <c r="D10" s="1146"/>
      <c r="G10" s="208" t="s">
        <v>3843</v>
      </c>
      <c r="H10" s="1829"/>
      <c r="I10" s="1829"/>
      <c r="J10" s="1829"/>
    </row>
    <row r="11" spans="1:26">
      <c r="B11" s="1144" t="s">
        <v>3844</v>
      </c>
      <c r="C11" s="1147" t="s">
        <v>3845</v>
      </c>
      <c r="D11" s="1148"/>
    </row>
    <row r="12" spans="1:26" ht="17.25" thickBot="1">
      <c r="B12" s="1144" t="s">
        <v>163</v>
      </c>
      <c r="C12" s="1147" t="s">
        <v>3846</v>
      </c>
      <c r="D12" s="1149">
        <v>1</v>
      </c>
      <c r="G12" s="208" t="s">
        <v>4425</v>
      </c>
      <c r="H12" s="1198"/>
      <c r="I12" s="1061" t="s">
        <v>775</v>
      </c>
      <c r="J12" s="1198"/>
    </row>
    <row r="13" spans="1:26">
      <c r="G13" s="208"/>
    </row>
    <row r="14" spans="1:26">
      <c r="G14" s="208" t="s">
        <v>799</v>
      </c>
      <c r="H14" s="1063"/>
      <c r="I14" s="77" t="str">
        <f>IF(UNJC0220_H_FREEWD_KBN=1,"AND",IF(UNJC0220_H_FREEWD_KBN=2,"OR","NAND"))</f>
        <v>AND</v>
      </c>
      <c r="J14" s="1063"/>
      <c r="K14" s="77" t="str">
        <f>UNJC0220_H_FREEWD_KBN_DISP</f>
        <v>AND</v>
      </c>
      <c r="L14" s="1063"/>
      <c r="W14" s="780"/>
      <c r="X14" s="967"/>
      <c r="Y14" s="967"/>
      <c r="Z14" s="967"/>
    </row>
    <row r="15" spans="1:26">
      <c r="B15" s="1830" t="s">
        <v>2219</v>
      </c>
      <c r="C15" s="1830"/>
    </row>
    <row r="16" spans="1:26">
      <c r="B16" s="1150" t="s">
        <v>2222</v>
      </c>
      <c r="C16" s="1150" t="s">
        <v>2784</v>
      </c>
      <c r="D16" s="1150" t="s">
        <v>2223</v>
      </c>
    </row>
    <row r="17" spans="2:4">
      <c r="B17" s="1144" t="s">
        <v>1743</v>
      </c>
      <c r="C17" s="1144" t="s">
        <v>3847</v>
      </c>
      <c r="D17" s="1151"/>
    </row>
    <row r="18" spans="2:4">
      <c r="B18" s="1144" t="s">
        <v>821</v>
      </c>
      <c r="C18" s="1144" t="s">
        <v>3848</v>
      </c>
      <c r="D18" s="1151"/>
    </row>
    <row r="19" spans="2:4">
      <c r="B19" s="1144" t="s">
        <v>3849</v>
      </c>
      <c r="C19" s="1144" t="s">
        <v>3850</v>
      </c>
      <c r="D19" s="1151"/>
    </row>
    <row r="20" spans="2:4">
      <c r="B20" s="1144" t="s">
        <v>3851</v>
      </c>
      <c r="C20" s="1144" t="s">
        <v>3852</v>
      </c>
      <c r="D20" s="1151"/>
    </row>
    <row r="21" spans="2:4">
      <c r="B21" s="1144" t="s">
        <v>1170</v>
      </c>
      <c r="C21" s="1144" t="s">
        <v>3853</v>
      </c>
      <c r="D21" s="1151"/>
    </row>
    <row r="22" spans="2:4">
      <c r="B22" s="1144" t="s">
        <v>3854</v>
      </c>
      <c r="C22" s="1144" t="s">
        <v>3855</v>
      </c>
      <c r="D22" s="1151"/>
    </row>
    <row r="23" spans="2:4">
      <c r="B23" s="1144" t="s">
        <v>3856</v>
      </c>
      <c r="C23" s="1144" t="s">
        <v>3857</v>
      </c>
      <c r="D23" s="1151"/>
    </row>
    <row r="24" spans="2:4">
      <c r="B24" s="1144" t="s">
        <v>64</v>
      </c>
      <c r="C24" s="1144" t="s">
        <v>3858</v>
      </c>
      <c r="D24" s="1151"/>
    </row>
    <row r="25" spans="2:4">
      <c r="B25" s="1144" t="s">
        <v>23</v>
      </c>
      <c r="C25" s="1144" t="s">
        <v>3859</v>
      </c>
      <c r="D25" s="1151"/>
    </row>
    <row r="26" spans="2:4">
      <c r="B26" s="1144" t="s">
        <v>3861</v>
      </c>
      <c r="C26" s="1144" t="s">
        <v>3862</v>
      </c>
      <c r="D26" s="1151"/>
    </row>
    <row r="27" spans="2:4">
      <c r="B27" s="1144" t="s">
        <v>61</v>
      </c>
      <c r="C27" s="1144" t="s">
        <v>3863</v>
      </c>
      <c r="D27" s="1151"/>
    </row>
    <row r="28" spans="2:4">
      <c r="B28" s="1144" t="s">
        <v>3864</v>
      </c>
      <c r="C28" s="1144" t="s">
        <v>3865</v>
      </c>
      <c r="D28" s="1151"/>
    </row>
    <row r="29" spans="2:4">
      <c r="B29" s="1144" t="s">
        <v>3866</v>
      </c>
      <c r="C29" s="1144" t="s">
        <v>3867</v>
      </c>
      <c r="D29" s="1151"/>
    </row>
    <row r="30" spans="2:4">
      <c r="B30" s="1144" t="s">
        <v>3868</v>
      </c>
      <c r="C30" s="1144" t="s">
        <v>3869</v>
      </c>
      <c r="D30" s="1152"/>
    </row>
    <row r="31" spans="2:4">
      <c r="B31" s="1144" t="s">
        <v>3870</v>
      </c>
      <c r="C31" s="1144" t="s">
        <v>3871</v>
      </c>
      <c r="D31" s="1152"/>
    </row>
    <row r="32" spans="2:4">
      <c r="B32" s="1130" t="s">
        <v>3872</v>
      </c>
      <c r="C32" s="1130" t="s">
        <v>3873</v>
      </c>
      <c r="D32" s="1151"/>
    </row>
    <row r="33" spans="2:4">
      <c r="B33" s="1130" t="s">
        <v>2282</v>
      </c>
      <c r="C33" s="1130" t="s">
        <v>3874</v>
      </c>
      <c r="D33" s="1151"/>
    </row>
    <row r="34" spans="2:4">
      <c r="B34" s="1130" t="s">
        <v>2284</v>
      </c>
      <c r="C34" s="1130" t="s">
        <v>3875</v>
      </c>
      <c r="D34" s="1151"/>
    </row>
    <row r="35" spans="2:4">
      <c r="B35" s="1144" t="s">
        <v>163</v>
      </c>
      <c r="C35" s="1144" t="s">
        <v>3876</v>
      </c>
      <c r="D35" s="1151">
        <v>1</v>
      </c>
    </row>
    <row r="36" spans="2:4">
      <c r="D36" s="376"/>
    </row>
    <row r="37" spans="2:4">
      <c r="B37" s="376"/>
      <c r="C37" s="376"/>
      <c r="D37" s="376"/>
    </row>
    <row r="40" spans="2:4">
      <c r="D40" s="1153"/>
    </row>
    <row r="41" spans="2:4">
      <c r="D41" s="1153"/>
    </row>
  </sheetData>
  <sheetProtection sheet="1" objects="1" scenarios="1" selectLockedCells="1"/>
  <mergeCells count="5">
    <mergeCell ref="I7:M7"/>
    <mergeCell ref="I8:M8"/>
    <mergeCell ref="I9:M9"/>
    <mergeCell ref="H10:J10"/>
    <mergeCell ref="B15:C15"/>
  </mergeCells>
  <phoneticPr fontId="2"/>
  <dataValidations count="4">
    <dataValidation type="custom" allowBlank="1" showInputMessage="1" showErrorMessage="1" sqref="L3 H10:J10">
      <formula1>AND(LEN(H3)=LENB(H3),LEN(H3)=20)</formula1>
    </dataValidation>
    <dataValidation type="custom" allowBlank="1" showInputMessage="1" showErrorMessage="1" sqref="H4:H5 H7:H9">
      <formula1>AND(LEN(H4)=LENB(H4),LEN(H4)=10)</formula1>
    </dataValidation>
    <dataValidation type="custom" allowBlank="1" showInputMessage="1" showErrorMessage="1" sqref="H3">
      <formula1>AND(LEN(H1)=LENB(H1),LEN(H1)=10)</formula1>
    </dataValidation>
    <dataValidation type="date" allowBlank="1" showInputMessage="1" showErrorMessage="1" sqref="H12 J12">
      <formula1>36526</formula1>
      <formula2>73415</formula2>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11489" r:id="rId4" name="Button 1">
              <controlPr defaultSize="0" print="0" autoFill="0" autoPict="0" macro="[0]!UNJC0220_SearchDataCopy">
                <anchor moveWithCells="1" sizeWithCells="1">
                  <from>
                    <xdr:col>2</xdr:col>
                    <xdr:colOff>676275</xdr:colOff>
                    <xdr:row>13</xdr:row>
                    <xdr:rowOff>47625</xdr:rowOff>
                  </from>
                  <to>
                    <xdr:col>2</xdr:col>
                    <xdr:colOff>1619250</xdr:colOff>
                    <xdr:row>14</xdr:row>
                    <xdr:rowOff>142875</xdr:rowOff>
                  </to>
                </anchor>
              </controlPr>
            </control>
          </mc:Choice>
        </mc:AlternateContent>
        <mc:AlternateContent xmlns:mc="http://schemas.openxmlformats.org/markup-compatibility/2006">
          <mc:Choice Requires="x14">
            <control shapeId="2111490" r:id="rId5" name="Option Button 2">
              <controlPr defaultSize="0" autoFill="0" autoLine="0" autoPict="0">
                <anchor moveWithCells="1">
                  <from>
                    <xdr:col>12</xdr:col>
                    <xdr:colOff>228600</xdr:colOff>
                    <xdr:row>12</xdr:row>
                    <xdr:rowOff>228600</xdr:rowOff>
                  </from>
                  <to>
                    <xdr:col>12</xdr:col>
                    <xdr:colOff>742950</xdr:colOff>
                    <xdr:row>14</xdr:row>
                    <xdr:rowOff>57150</xdr:rowOff>
                  </to>
                </anchor>
              </controlPr>
            </control>
          </mc:Choice>
        </mc:AlternateContent>
        <mc:AlternateContent xmlns:mc="http://schemas.openxmlformats.org/markup-compatibility/2006">
          <mc:Choice Requires="x14">
            <control shapeId="2111491" r:id="rId6" name="Option Button 3">
              <controlPr defaultSize="0" autoFill="0" autoLine="0" autoPict="0">
                <anchor moveWithCells="1">
                  <from>
                    <xdr:col>12</xdr:col>
                    <xdr:colOff>771525</xdr:colOff>
                    <xdr:row>13</xdr:row>
                    <xdr:rowOff>0</xdr:rowOff>
                  </from>
                  <to>
                    <xdr:col>12</xdr:col>
                    <xdr:colOff>1190625</xdr:colOff>
                    <xdr:row>14</xdr:row>
                    <xdr:rowOff>38100</xdr:rowOff>
                  </to>
                </anchor>
              </controlPr>
            </control>
          </mc:Choice>
        </mc:AlternateContent>
        <mc:AlternateContent xmlns:mc="http://schemas.openxmlformats.org/markup-compatibility/2006">
          <mc:Choice Requires="x14">
            <control shapeId="2111492" r:id="rId7" name="Option Button 4">
              <controlPr defaultSize="0" autoFill="0" autoLine="0" autoPict="0">
                <anchor moveWithCells="1">
                  <from>
                    <xdr:col>12</xdr:col>
                    <xdr:colOff>1228725</xdr:colOff>
                    <xdr:row>12</xdr:row>
                    <xdr:rowOff>200025</xdr:rowOff>
                  </from>
                  <to>
                    <xdr:col>13</xdr:col>
                    <xdr:colOff>76200</xdr:colOff>
                    <xdr:row>14</xdr:row>
                    <xdr:rowOff>38100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tabColor rgb="FFFFC000"/>
  </sheetPr>
  <dimension ref="A1:AF41"/>
  <sheetViews>
    <sheetView showGridLines="0" showRowColHeaders="0" topLeftCell="F17" zoomScaleNormal="100" workbookViewId="0">
      <selection sqref="A1:E1 Z1:AF1"/>
    </sheetView>
  </sheetViews>
  <sheetFormatPr defaultRowHeight="16.5"/>
  <cols>
    <col min="1" max="1" width="9" style="376" hidden="1" customWidth="1"/>
    <col min="2" max="2" width="18.375" style="376" hidden="1" customWidth="1"/>
    <col min="3" max="3" width="30.125" style="376" hidden="1" customWidth="1"/>
    <col min="4" max="4" width="12.625" style="376" hidden="1" customWidth="1"/>
    <col min="5" max="5" width="9" style="376" hidden="1" customWidth="1"/>
    <col min="6" max="6" width="3.375" style="207" customWidth="1"/>
    <col min="7" max="7" width="5" style="207" bestFit="1" customWidth="1"/>
    <col min="8" max="8" width="10" style="207" customWidth="1"/>
    <col min="9" max="9" width="12.375" style="207" customWidth="1"/>
    <col min="10" max="10" width="10" style="207" bestFit="1" customWidth="1"/>
    <col min="11" max="11" width="31.875" style="207" customWidth="1"/>
    <col min="12" max="12" width="8.625" style="207" bestFit="1" customWidth="1"/>
    <col min="13" max="13" width="5.625" style="207" bestFit="1" customWidth="1"/>
    <col min="14" max="16" width="8" style="207" bestFit="1" customWidth="1"/>
    <col min="17" max="17" width="15.375" style="207" customWidth="1"/>
    <col min="18" max="18" width="11" style="207" bestFit="1" customWidth="1"/>
    <col min="19" max="19" width="27.5" style="207" customWidth="1"/>
    <col min="20" max="20" width="11" style="207" bestFit="1" customWidth="1"/>
    <col min="21" max="21" width="27.5" style="207" customWidth="1"/>
    <col min="22" max="22" width="45" style="207" customWidth="1"/>
    <col min="23" max="25" width="11" style="207" bestFit="1" customWidth="1"/>
    <col min="26" max="26" width="6.5" style="207" hidden="1" customWidth="1"/>
    <col min="27" max="27" width="10" style="207" hidden="1" customWidth="1"/>
    <col min="28" max="28" width="6.375" style="207" hidden="1" customWidth="1"/>
    <col min="29" max="29" width="7.5" style="207" hidden="1" customWidth="1"/>
    <col min="30" max="30" width="7.75" style="207" hidden="1" customWidth="1"/>
    <col min="31" max="31" width="7" style="207" hidden="1" customWidth="1"/>
    <col min="32" max="32" width="10.875" style="207" hidden="1" customWidth="1"/>
    <col min="33" max="16384" width="9" style="207"/>
  </cols>
  <sheetData>
    <row r="1" ht="1.5" hidden="1" customHeight="1"/>
    <row r="2" ht="1.5" hidden="1" customHeight="1"/>
    <row r="3" ht="1.5" hidden="1" customHeight="1"/>
    <row r="4" ht="1.5" hidden="1" customHeight="1"/>
    <row r="5" ht="1.5" hidden="1" customHeight="1"/>
    <row r="6" ht="1.5" hidden="1" customHeight="1"/>
    <row r="7" ht="1.5" hidden="1" customHeight="1"/>
    <row r="8" ht="1.5" hidden="1" customHeight="1"/>
    <row r="9" ht="1.5" hidden="1" customHeight="1"/>
    <row r="10" ht="1.5" hidden="1" customHeight="1"/>
    <row r="11" ht="1.5" hidden="1" customHeight="1"/>
    <row r="12" ht="1.5" hidden="1" customHeight="1"/>
    <row r="13" ht="1.5" hidden="1" customHeight="1"/>
    <row r="14" ht="1.5" hidden="1" customHeight="1"/>
    <row r="15" ht="1.5" hidden="1" customHeight="1"/>
    <row r="16" ht="1.5" hidden="1" customHeight="1"/>
    <row r="17" spans="2:32">
      <c r="F17" s="207" t="str">
        <f>"("&amp;UNJC0220_B_PAGE_NO&amp;"/"&amp;UNJC0220_B_ALL_PAGE_SU&amp;")"</f>
        <v>(1/1)</v>
      </c>
      <c r="G17" s="113"/>
    </row>
    <row r="18" spans="2:32">
      <c r="B18" s="1130" t="s">
        <v>3197</v>
      </c>
      <c r="C18" s="1130" t="s">
        <v>3877</v>
      </c>
      <c r="D18" s="1130" t="str">
        <f>ROW(A1)&amp;":"&amp;ROW(A16)</f>
        <v>1:16</v>
      </c>
      <c r="F18" s="114"/>
      <c r="G18" s="1054" t="s">
        <v>0</v>
      </c>
      <c r="H18" s="1054" t="s">
        <v>3878</v>
      </c>
      <c r="I18" s="1054" t="s">
        <v>3879</v>
      </c>
      <c r="J18" s="1054" t="s">
        <v>3880</v>
      </c>
      <c r="K18" s="1054" t="s">
        <v>3881</v>
      </c>
      <c r="L18" s="1054" t="s">
        <v>3882</v>
      </c>
      <c r="M18" s="1054" t="s">
        <v>56</v>
      </c>
      <c r="N18" s="1054" t="s">
        <v>88</v>
      </c>
      <c r="O18" s="1054" t="s">
        <v>3883</v>
      </c>
      <c r="P18" s="1054" t="s">
        <v>617</v>
      </c>
      <c r="Q18" s="1054" t="s">
        <v>3884</v>
      </c>
      <c r="R18" s="1054" t="s">
        <v>3885</v>
      </c>
      <c r="S18" s="1054" t="s">
        <v>61</v>
      </c>
      <c r="T18" s="1054" t="s">
        <v>64</v>
      </c>
      <c r="U18" s="1054" t="s">
        <v>23</v>
      </c>
      <c r="V18" s="1054" t="s">
        <v>3886</v>
      </c>
      <c r="W18" s="1054" t="s">
        <v>3887</v>
      </c>
      <c r="X18" s="1054" t="s">
        <v>3888</v>
      </c>
      <c r="Y18" s="1054" t="s">
        <v>28</v>
      </c>
      <c r="Z18" s="172" t="s">
        <v>3889</v>
      </c>
      <c r="AA18" s="172" t="s">
        <v>3890</v>
      </c>
      <c r="AB18" s="172" t="s">
        <v>3891</v>
      </c>
      <c r="AC18" s="172" t="s">
        <v>3892</v>
      </c>
      <c r="AD18" s="172" t="s">
        <v>3893</v>
      </c>
      <c r="AE18" s="172" t="s">
        <v>1783</v>
      </c>
      <c r="AF18" s="172" t="s">
        <v>3894</v>
      </c>
    </row>
    <row r="19" spans="2:32">
      <c r="B19" s="1130" t="s">
        <v>2257</v>
      </c>
      <c r="C19" s="1130" t="s">
        <v>3895</v>
      </c>
      <c r="D19" s="1130" t="str">
        <f>ADDRESS(ROW(A1),COLUMN(A1))&amp;":"&amp;ADDRESS(ROW(E1),COLUMN(E1))&amp;","&amp;ADDRESS(ROW(Z1),COLUMN(Z1))&amp;":"&amp;ADDRESS(ROW(AF1),COLUMN(AF1))</f>
        <v>$A$1:$E$1,$Z$1:$AF$1</v>
      </c>
    </row>
    <row r="20" spans="2:32">
      <c r="B20" s="1130" t="s">
        <v>282</v>
      </c>
      <c r="C20" s="1130" t="s">
        <v>3896</v>
      </c>
      <c r="D20" s="1130" t="str">
        <f>ADDRESS(ROW(UNJC0220_B_TANKA)+1,COLUMN(UNJC0220_B_TANKA))</f>
        <v>$L$19</v>
      </c>
    </row>
    <row r="22" spans="2:32">
      <c r="B22" s="1130" t="s">
        <v>189</v>
      </c>
      <c r="C22" s="1130" t="s">
        <v>3897</v>
      </c>
      <c r="D22" s="1130"/>
    </row>
    <row r="23" spans="2:32">
      <c r="B23" s="1130" t="s">
        <v>190</v>
      </c>
      <c r="C23" s="1130" t="s">
        <v>3898</v>
      </c>
      <c r="D23" s="1130">
        <v>1</v>
      </c>
    </row>
    <row r="24" spans="2:32">
      <c r="B24" s="1130" t="s">
        <v>191</v>
      </c>
      <c r="C24" s="1130" t="s">
        <v>3899</v>
      </c>
      <c r="D24" s="1130">
        <f>IF(OR(UNJC0220_B_ALL_KENSU=0,UNJC0220_B_HYOJI_GYO_SU=0),1,ROUNDUP(UNJC0220_B_ALL_KENSU/UNJC0220_B_HYOJI_GYO_SU,0))</f>
        <v>1</v>
      </c>
    </row>
    <row r="25" spans="2:32">
      <c r="B25" s="1130" t="s">
        <v>126</v>
      </c>
      <c r="C25" s="1130" t="s">
        <v>3900</v>
      </c>
      <c r="D25" s="1130">
        <v>10</v>
      </c>
    </row>
    <row r="26" spans="2:32">
      <c r="B26" s="1130" t="s">
        <v>192</v>
      </c>
      <c r="C26" s="1130" t="s">
        <v>3901</v>
      </c>
      <c r="D26" s="1130">
        <v>2</v>
      </c>
    </row>
    <row r="27" spans="2:32">
      <c r="B27" s="1132"/>
      <c r="C27" s="1133"/>
      <c r="D27" s="1132"/>
    </row>
    <row r="28" spans="2:32">
      <c r="B28" s="1130" t="s">
        <v>201</v>
      </c>
      <c r="C28" s="1130" t="s">
        <v>3902</v>
      </c>
      <c r="D28" s="1130" t="str">
        <f>ADDRESS(ROW(UNJC0220_B_SENTAKU)+1,COLUMN(UNJC0220_B_SENTAKU))</f>
        <v>$G$19</v>
      </c>
    </row>
    <row r="29" spans="2:32">
      <c r="B29" s="1130" t="s">
        <v>202</v>
      </c>
      <c r="C29" s="1130" t="s">
        <v>3903</v>
      </c>
      <c r="D29" s="1130" t="str">
        <f>ADDRESS(ROW(UNJC0220_B_SENTAKU)+1+UNJC0220_B_HYOJI_KENSU-1,COLUMN(UNJC0220_B_SENTAKU)+COLUMNS(UNJC0220_IF_LIST_COPY_MOTO)-1)</f>
        <v>$AF$28</v>
      </c>
    </row>
    <row r="30" spans="2:32">
      <c r="B30" s="1130" t="s">
        <v>3905</v>
      </c>
      <c r="C30" s="1130" t="s">
        <v>3906</v>
      </c>
      <c r="D30" s="1130" t="b">
        <f>IF(UNJC0220_B_HYOJI_KENSU&lt;&gt;0,TRUE,FALSE)</f>
        <v>1</v>
      </c>
    </row>
    <row r="31" spans="2:32">
      <c r="B31" s="1130" t="s">
        <v>203</v>
      </c>
      <c r="C31" s="1130" t="s">
        <v>3907</v>
      </c>
      <c r="D31" s="1130" t="str">
        <f>IF(UNJC0220_B_HYOJI_KENSU=0,"",UNJC0220_B_LIST_START&amp;":"&amp;
ADDRESS(ROW(UNJC0220_B_SENTAKU)+1+UNJC0220_B_HYOJI_KENSU-1,COLUMN(UNJC0220_B_SENTAKU)+COLUMNS(UNJC0220_IF_LIST_COPY_MOTO)-1))</f>
        <v>$G$19:$AF$28</v>
      </c>
    </row>
    <row r="32" spans="2:32">
      <c r="B32" s="1130" t="s">
        <v>204</v>
      </c>
      <c r="C32" s="1130" t="s">
        <v>3908</v>
      </c>
      <c r="D32" s="1130" t="str">
        <f>ADDRESS(ROW(UNJC0220_B_SENTAKU)+1,COLUMN(UNJC0220_B_SENTAKU))&amp;":"&amp;
ADDRESS(ROW(UNJC0220_B_SENTAKU)+1+UNJC0220_B_HYOJI_GYO_SU-1,COLUMN(UNJC0220_B_SENTAKU)+COLUMNS(UNJC0220_IF_LIST_COPY_MOTO)-1)</f>
        <v>$G$19:$AF$20</v>
      </c>
    </row>
    <row r="33" spans="2:4">
      <c r="B33" s="1132"/>
      <c r="C33" s="1133"/>
      <c r="D33" s="1132"/>
    </row>
    <row r="34" spans="2:4">
      <c r="B34" s="1130" t="s">
        <v>234</v>
      </c>
      <c r="C34" s="1130" t="s">
        <v>3909</v>
      </c>
      <c r="D34" s="1130">
        <f>UNJC0220_B_PAGE_NO+1</f>
        <v>2</v>
      </c>
    </row>
    <row r="35" spans="2:4">
      <c r="B35" s="1130" t="s">
        <v>233</v>
      </c>
      <c r="C35" s="1130" t="s">
        <v>3910</v>
      </c>
      <c r="D35" s="1130">
        <f>UNJC0220_B_PAGE_NO-1</f>
        <v>0</v>
      </c>
    </row>
    <row r="37" spans="2:4">
      <c r="B37" s="1130" t="s">
        <v>235</v>
      </c>
      <c r="C37" s="1130" t="s">
        <v>3911</v>
      </c>
      <c r="D37" s="1130">
        <f>IF(1&lt;UNJC0220_B_PAGE_NO,1,2)</f>
        <v>2</v>
      </c>
    </row>
    <row r="38" spans="2:4">
      <c r="B38" s="1130" t="s">
        <v>237</v>
      </c>
      <c r="C38" s="1130" t="s">
        <v>3912</v>
      </c>
      <c r="D38" s="1130">
        <f>IF(UNJC0220_B_PAGE_NO&lt;UNJC0220_B_ALL_PAGE_SU,1,2)</f>
        <v>2</v>
      </c>
    </row>
    <row r="40" spans="2:4">
      <c r="B40" s="1130" t="s">
        <v>343</v>
      </c>
      <c r="C40" s="1130" t="s">
        <v>3913</v>
      </c>
      <c r="D40" s="1130"/>
    </row>
    <row r="41" spans="2:4">
      <c r="B41" s="1130" t="s">
        <v>3914</v>
      </c>
      <c r="C41" s="1130" t="s">
        <v>3915</v>
      </c>
      <c r="D41" s="1130">
        <f ca="1">IF(OR(UNJC0220_B_SELECT_GYO_NO=2,UNJC0220_B_SELECT_GYO_NO=0),0,INDIRECT(ADDRESS(UNJC0220_B_SELECT_GYO_NO,COLUMN(UNJC0220_B_NYUSHUKKO_NO))))</f>
        <v>0</v>
      </c>
    </row>
  </sheetData>
  <sheetProtection sheet="1" objects="1" scenarios="1" selectLockedCells="1"/>
  <phoneticPr fontId="2"/>
  <conditionalFormatting sqref="H1:H16">
    <cfRule type="containsText" dxfId="141" priority="1" operator="containsText" text="準備納期外">
      <formula>NOT(ISERROR(SEARCH("準備納期外",H1)))</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2:BT19"/>
  <sheetViews>
    <sheetView topLeftCell="S1" zoomScale="70" zoomScaleNormal="70" workbookViewId="0">
      <selection activeCell="AL13" sqref="A2:BT19"/>
    </sheetView>
  </sheetViews>
  <sheetFormatPr defaultRowHeight="13.5"/>
  <cols>
    <col min="1" max="1" width="13.375" style="970" customWidth="1"/>
    <col min="2" max="2" width="11.375" style="970" customWidth="1"/>
    <col min="3" max="3" width="18" style="970" customWidth="1"/>
    <col min="4" max="4" width="7.5" style="970" customWidth="1"/>
    <col min="5" max="30" width="9" style="970"/>
    <col min="31" max="31" width="13.625" style="970" customWidth="1"/>
    <col min="32" max="32" width="14.25" style="970" customWidth="1"/>
    <col min="33" max="34" width="9" style="970"/>
    <col min="35" max="35" width="3" style="970" customWidth="1"/>
    <col min="36" max="36" width="2.625" style="970" customWidth="1"/>
    <col min="37" max="37" width="1.875" style="970" customWidth="1"/>
    <col min="38" max="38" width="2.125" style="970" customWidth="1"/>
    <col min="39" max="40" width="1.875" style="970" customWidth="1"/>
    <col min="41" max="41" width="1.625" style="970" customWidth="1"/>
    <col min="42" max="42" width="10.125" style="970" customWidth="1"/>
    <col min="43" max="47" width="9" style="970"/>
    <col min="48" max="48" width="11.375" style="970" customWidth="1"/>
    <col min="49" max="49" width="10.875" style="970" customWidth="1"/>
    <col min="50" max="50" width="10.125" style="970" customWidth="1"/>
    <col min="51" max="51" width="29.375" style="970" customWidth="1"/>
    <col min="52" max="52" width="8.875" style="970" customWidth="1"/>
    <col min="53" max="57" width="9" style="970"/>
    <col min="58" max="58" width="17.375" style="970" customWidth="1"/>
    <col min="59" max="59" width="9" style="970"/>
    <col min="60" max="60" width="15.25" style="970" customWidth="1"/>
    <col min="61" max="61" width="9" style="970"/>
    <col min="62" max="62" width="14.75" style="970" customWidth="1"/>
    <col min="63" max="63" width="17.5" style="970" customWidth="1"/>
    <col min="64" max="68" width="9" style="970"/>
    <col min="69" max="70" width="12.875" style="970" customWidth="1"/>
    <col min="71" max="71" width="9" style="970"/>
    <col min="72" max="72" width="26.375" style="970" customWidth="1"/>
    <col min="73" max="16384" width="9" style="970"/>
  </cols>
  <sheetData>
    <row r="2" spans="1:72">
      <c r="A2" s="279" t="s">
        <v>3916</v>
      </c>
      <c r="N2" s="280"/>
      <c r="O2" s="280"/>
      <c r="P2" s="280"/>
      <c r="Q2" s="280"/>
      <c r="R2" s="280"/>
      <c r="S2" s="280"/>
      <c r="T2" s="280"/>
      <c r="U2" s="280"/>
      <c r="V2" s="280"/>
      <c r="W2" s="280"/>
      <c r="X2" s="280"/>
      <c r="Y2" s="280"/>
      <c r="Z2" s="280"/>
      <c r="AA2" s="280"/>
      <c r="AB2" s="280"/>
      <c r="AC2" s="280"/>
      <c r="AD2" s="280"/>
      <c r="AE2" s="280"/>
      <c r="AF2" s="280"/>
      <c r="AG2" s="280"/>
    </row>
    <row r="3" spans="1:72" ht="16.5">
      <c r="D3" s="1064" t="s">
        <v>0</v>
      </c>
      <c r="E3" s="1064" t="s">
        <v>3878</v>
      </c>
      <c r="F3" s="1065" t="s">
        <v>3879</v>
      </c>
      <c r="G3" s="1064" t="s">
        <v>3880</v>
      </c>
      <c r="H3" s="1066" t="s">
        <v>3881</v>
      </c>
      <c r="I3" s="1066" t="s">
        <v>3882</v>
      </c>
      <c r="J3" s="1066" t="s">
        <v>56</v>
      </c>
      <c r="K3" s="1064" t="s">
        <v>88</v>
      </c>
      <c r="L3" s="1064" t="s">
        <v>3883</v>
      </c>
      <c r="M3" s="1066" t="s">
        <v>617</v>
      </c>
      <c r="N3" s="1064" t="s">
        <v>3884</v>
      </c>
      <c r="O3" s="1064" t="s">
        <v>77</v>
      </c>
      <c r="P3" s="1064" t="s">
        <v>61</v>
      </c>
      <c r="Q3" s="1064" t="s">
        <v>64</v>
      </c>
      <c r="R3" s="1064" t="s">
        <v>23</v>
      </c>
      <c r="S3" s="1064" t="s">
        <v>3886</v>
      </c>
      <c r="T3" s="1064" t="s">
        <v>3917</v>
      </c>
      <c r="U3" s="1064" t="s">
        <v>3888</v>
      </c>
      <c r="V3" s="1064" t="s">
        <v>28</v>
      </c>
      <c r="W3" s="1067" t="s">
        <v>3889</v>
      </c>
      <c r="X3" s="1067" t="s">
        <v>3890</v>
      </c>
      <c r="Y3" s="1067" t="s">
        <v>3918</v>
      </c>
      <c r="Z3" s="1067" t="s">
        <v>3919</v>
      </c>
      <c r="AA3" s="1067" t="s">
        <v>3920</v>
      </c>
      <c r="AB3" s="1067" t="s">
        <v>3921</v>
      </c>
      <c r="AC3" s="1067" t="s">
        <v>3922</v>
      </c>
      <c r="AE3" s="279" t="s">
        <v>254</v>
      </c>
      <c r="AH3" s="239" t="s">
        <v>254</v>
      </c>
      <c r="AI3" s="280" t="s">
        <v>3923</v>
      </c>
      <c r="AQ3" s="279" t="s">
        <v>1828</v>
      </c>
      <c r="AS3" s="970" t="s">
        <v>1825</v>
      </c>
      <c r="AT3" s="970" t="s">
        <v>3924</v>
      </c>
      <c r="AV3" s="1068"/>
      <c r="AW3" s="1069"/>
      <c r="AX3" s="1069"/>
      <c r="AY3" s="1069"/>
      <c r="AZ3" s="1069"/>
      <c r="BA3" s="1069"/>
      <c r="BB3" s="1069"/>
      <c r="BC3" s="1069"/>
      <c r="BD3" s="1069"/>
      <c r="BE3" s="1069"/>
      <c r="BF3" s="1069"/>
      <c r="BG3" s="1069"/>
      <c r="BH3" s="1069"/>
      <c r="BI3" s="1069"/>
      <c r="BJ3" s="1069"/>
      <c r="BK3" s="1069"/>
      <c r="BL3" s="1069"/>
      <c r="BM3" s="1069"/>
      <c r="BN3" s="1069"/>
      <c r="BO3" s="1069"/>
      <c r="BP3" s="1069"/>
      <c r="BQ3" s="1068"/>
      <c r="BR3" s="1068"/>
      <c r="BS3" s="1069"/>
      <c r="BT3" s="1069"/>
    </row>
    <row r="4" spans="1:72" ht="16.5">
      <c r="B4" s="970" t="s">
        <v>198</v>
      </c>
      <c r="C4" s="280" t="s">
        <v>3925</v>
      </c>
      <c r="D4" s="915"/>
      <c r="E4" s="915"/>
      <c r="F4" s="915"/>
      <c r="G4" s="915"/>
      <c r="H4" s="915"/>
      <c r="I4" s="915"/>
      <c r="J4" s="915"/>
      <c r="K4" s="915"/>
      <c r="L4" s="915"/>
      <c r="M4" s="915"/>
      <c r="N4" s="915"/>
      <c r="O4" s="915"/>
      <c r="P4" s="915"/>
      <c r="Q4" s="915"/>
      <c r="R4" s="915"/>
      <c r="S4" s="915"/>
      <c r="T4" s="915"/>
      <c r="U4" s="915"/>
      <c r="V4" s="915"/>
      <c r="W4" s="915"/>
      <c r="X4" s="915"/>
      <c r="Y4" s="915"/>
      <c r="Z4" s="915"/>
      <c r="AA4" s="915"/>
      <c r="AB4" s="915"/>
      <c r="AC4" s="915"/>
      <c r="AF4" s="280" t="s">
        <v>3926</v>
      </c>
      <c r="AJ4" s="1062"/>
      <c r="AK4" s="207"/>
      <c r="AL4" s="207"/>
      <c r="AM4" s="208" t="s">
        <v>3833</v>
      </c>
      <c r="AN4" s="259"/>
      <c r="AO4" s="207"/>
      <c r="AV4" s="1054" t="s">
        <v>3878</v>
      </c>
      <c r="AW4" s="1054" t="s">
        <v>3927</v>
      </c>
      <c r="AX4" s="1054" t="s">
        <v>3880</v>
      </c>
      <c r="AY4" s="1054" t="s">
        <v>3928</v>
      </c>
      <c r="AZ4" s="1168" t="s">
        <v>4378</v>
      </c>
      <c r="BA4" s="1054" t="s">
        <v>3882</v>
      </c>
      <c r="BB4" s="1054" t="s">
        <v>3929</v>
      </c>
      <c r="BC4" s="1054" t="s">
        <v>3932</v>
      </c>
      <c r="BD4" s="1054" t="s">
        <v>3931</v>
      </c>
      <c r="BE4" s="1054" t="s">
        <v>3930</v>
      </c>
      <c r="BF4" s="1054" t="s">
        <v>3933</v>
      </c>
      <c r="BG4" s="1054" t="s">
        <v>3885</v>
      </c>
      <c r="BH4" s="1054" t="s">
        <v>3935</v>
      </c>
      <c r="BI4" s="1054" t="s">
        <v>64</v>
      </c>
      <c r="BJ4" s="1054" t="s">
        <v>3934</v>
      </c>
      <c r="BK4" s="1054" t="s">
        <v>3936</v>
      </c>
      <c r="BL4" s="1054" t="s">
        <v>3937</v>
      </c>
      <c r="BM4" s="1054" t="s">
        <v>3938</v>
      </c>
      <c r="BN4" s="1054" t="s">
        <v>3939</v>
      </c>
      <c r="BO4" s="1054" t="s">
        <v>3889</v>
      </c>
      <c r="BP4" s="1054" t="s">
        <v>3940</v>
      </c>
      <c r="BQ4" s="1054" t="s">
        <v>3918</v>
      </c>
      <c r="BR4" s="1054" t="s">
        <v>3919</v>
      </c>
      <c r="BS4" s="1054" t="s">
        <v>3920</v>
      </c>
      <c r="BT4" s="1054" t="s">
        <v>3921</v>
      </c>
    </row>
    <row r="5" spans="1:72" ht="18.75">
      <c r="B5" s="970" t="s">
        <v>199</v>
      </c>
      <c r="C5" s="280" t="s">
        <v>3941</v>
      </c>
      <c r="D5" s="1070"/>
      <c r="E5" s="62"/>
      <c r="F5" s="965"/>
      <c r="G5" s="965"/>
      <c r="H5" s="1071"/>
      <c r="I5" s="1072"/>
      <c r="J5" s="1072"/>
      <c r="K5" s="965"/>
      <c r="L5" s="1072"/>
      <c r="M5" s="965"/>
      <c r="N5" s="965"/>
      <c r="O5" s="62"/>
      <c r="P5" s="1073"/>
      <c r="Q5" s="62"/>
      <c r="R5" s="1073"/>
      <c r="S5" s="1073"/>
      <c r="T5" s="62"/>
      <c r="U5" s="62"/>
      <c r="V5" s="62"/>
      <c r="W5" s="62"/>
      <c r="X5" s="62"/>
      <c r="Y5" s="62"/>
      <c r="Z5" s="62"/>
      <c r="AA5" s="62"/>
      <c r="AB5" s="62"/>
      <c r="AC5" s="62"/>
      <c r="AE5" s="798" t="s">
        <v>3889</v>
      </c>
      <c r="AF5" s="607"/>
      <c r="AI5" s="280"/>
      <c r="AJ5" s="1062"/>
      <c r="AK5" s="207"/>
      <c r="AL5" s="207"/>
      <c r="AM5" s="207"/>
      <c r="AN5" s="207"/>
      <c r="AO5" s="207"/>
      <c r="AV5" s="273"/>
    </row>
    <row r="6" spans="1:72" ht="18.75">
      <c r="AE6" s="798" t="s">
        <v>3928</v>
      </c>
      <c r="AF6" s="612"/>
      <c r="AJ6" s="1062"/>
      <c r="AK6" s="207"/>
      <c r="AL6" s="207"/>
      <c r="AM6" s="207"/>
      <c r="AN6" s="207"/>
      <c r="AO6" s="207"/>
      <c r="AR6" s="970" t="s">
        <v>259</v>
      </c>
      <c r="AS6" s="970" t="s">
        <v>3942</v>
      </c>
      <c r="AT6" s="273">
        <v>1</v>
      </c>
    </row>
    <row r="7" spans="1:72" ht="18.75">
      <c r="B7" s="280"/>
      <c r="C7" s="280"/>
      <c r="D7" s="280"/>
      <c r="AE7" s="1074" t="s">
        <v>3934</v>
      </c>
      <c r="AF7" s="612"/>
      <c r="AJ7" s="207"/>
      <c r="AK7" s="207"/>
      <c r="AL7" s="207"/>
      <c r="AM7" s="207"/>
      <c r="AN7" s="207"/>
      <c r="AO7" s="207"/>
      <c r="AR7" s="970" t="s">
        <v>684</v>
      </c>
      <c r="AS7" s="970" t="s">
        <v>3943</v>
      </c>
      <c r="AT7" s="273" t="str">
        <f>IF(UNJC0220_IF_PRINT_COUNT=0,"",
"UNJC0220_IF!"&amp;ADDRESS(ROW(UNJC0220_IF_PRINT_START),COLUMN(UNJC0220_IF_PRINT_START))&amp;":" &amp; ADDRESS(ROW(UNJC0220_IF_PRINT_START)+UNJC0220_IF_PRINT_COUNT-1,COLUMN(UNJC0220_IF_PRINT_START)+COLUMNS(UNJC0220_IF_PRINT_SHOSHIKI_COPY_MOTO)-1))</f>
        <v>UNJC0220_IF!$AV$5:$BT$5</v>
      </c>
    </row>
    <row r="8" spans="1:72" ht="18.75">
      <c r="A8" s="239" t="s">
        <v>103</v>
      </c>
      <c r="B8" s="280" t="s">
        <v>104</v>
      </c>
      <c r="C8" s="280" t="s">
        <v>3944</v>
      </c>
      <c r="D8" s="281">
        <v>1</v>
      </c>
      <c r="E8" s="280" t="s">
        <v>105</v>
      </c>
      <c r="F8" s="280" t="s">
        <v>106</v>
      </c>
      <c r="AE8" s="1074" t="s">
        <v>61</v>
      </c>
      <c r="AF8" s="612"/>
      <c r="AJ8" s="1125"/>
      <c r="AK8" s="1826" t="str">
        <f>IF(UNJC0220_H_KOBAIHIN_CD="","",UNJC0220_H_KOBAIHIN_MEI)</f>
        <v/>
      </c>
      <c r="AL8" s="1827"/>
      <c r="AM8" s="1827"/>
      <c r="AN8" s="1827"/>
      <c r="AO8" s="1828"/>
      <c r="AR8" s="970" t="s">
        <v>3945</v>
      </c>
      <c r="AS8" s="970" t="s">
        <v>3946</v>
      </c>
      <c r="AT8" s="273" t="b">
        <f>IF(UNJC0220_IF_PRINT_COUNT=0,FALSE,TRUE)</f>
        <v>1</v>
      </c>
    </row>
    <row r="9" spans="1:72" ht="18.75">
      <c r="A9" s="280"/>
      <c r="B9" s="280"/>
      <c r="C9" s="280"/>
      <c r="E9" s="280"/>
      <c r="F9" s="280"/>
      <c r="AE9" s="1074" t="s">
        <v>3844</v>
      </c>
      <c r="AF9" s="612"/>
      <c r="AJ9" s="1125"/>
      <c r="AK9" s="1826" t="str">
        <f>IF(UNJC0220_H_SHIIRESAKI_CD="","",UNJC0220_H_SHIIRESAKI_MEI)</f>
        <v/>
      </c>
      <c r="AL9" s="1827"/>
      <c r="AM9" s="1827"/>
      <c r="AN9" s="1827"/>
      <c r="AO9" s="1828"/>
    </row>
    <row r="10" spans="1:72" ht="18.75">
      <c r="A10" s="280"/>
      <c r="B10" s="280"/>
      <c r="C10" s="280"/>
      <c r="E10" s="280"/>
      <c r="F10" s="280"/>
      <c r="AE10" s="1074" t="s">
        <v>163</v>
      </c>
      <c r="AF10" s="613">
        <v>1</v>
      </c>
      <c r="AJ10" s="1125"/>
      <c r="AK10" s="1826" t="str">
        <f>IF(UNJC0220_H_MAKER_CD="","",UNJC0220_H_MAKER_MEI)</f>
        <v/>
      </c>
      <c r="AL10" s="1827"/>
      <c r="AM10" s="1827"/>
      <c r="AN10" s="1827"/>
      <c r="AO10" s="1828"/>
      <c r="AR10" s="970" t="s">
        <v>262</v>
      </c>
      <c r="AS10" s="280" t="s">
        <v>3947</v>
      </c>
      <c r="AT10" s="273" t="str">
        <f ca="1">"試薬出庫検索_"&amp;TEXT(NOW(),"YYYYMMDD")</f>
        <v>試薬出庫検索_20170927</v>
      </c>
    </row>
    <row r="11" spans="1:72" ht="16.5">
      <c r="A11" s="280"/>
      <c r="B11" s="280"/>
      <c r="C11" s="38"/>
      <c r="F11" s="280"/>
      <c r="AE11" s="299"/>
      <c r="AJ11" s="1829"/>
      <c r="AK11" s="1829"/>
      <c r="AL11" s="1829"/>
      <c r="AM11" s="207"/>
      <c r="AN11" s="207"/>
      <c r="AO11" s="207"/>
    </row>
    <row r="12" spans="1:72" ht="16.5">
      <c r="A12" s="279" t="s">
        <v>120</v>
      </c>
      <c r="B12" s="970" t="s">
        <v>121</v>
      </c>
      <c r="C12" s="280" t="s">
        <v>3948</v>
      </c>
      <c r="D12" s="37"/>
      <c r="AE12" s="85"/>
      <c r="AJ12" s="207"/>
      <c r="AK12" s="207"/>
      <c r="AL12" s="207"/>
      <c r="AM12" s="207"/>
      <c r="AN12" s="207"/>
      <c r="AO12" s="207"/>
    </row>
    <row r="13" spans="1:72" ht="16.5">
      <c r="B13" s="970" t="s">
        <v>122</v>
      </c>
      <c r="C13" s="280" t="s">
        <v>3949</v>
      </c>
      <c r="D13" s="37"/>
      <c r="AJ13" s="1198"/>
      <c r="AK13" s="1061" t="s">
        <v>775</v>
      </c>
      <c r="AL13" s="1198"/>
      <c r="AM13" s="207"/>
      <c r="AN13" s="207"/>
      <c r="AO13" s="207"/>
    </row>
    <row r="14" spans="1:72" ht="16.5">
      <c r="B14" s="970" t="s">
        <v>123</v>
      </c>
      <c r="C14" s="280" t="s">
        <v>3950</v>
      </c>
      <c r="D14" s="37"/>
      <c r="AJ14" s="207"/>
      <c r="AK14" s="207"/>
      <c r="AL14" s="207"/>
      <c r="AM14" s="207"/>
      <c r="AN14" s="207"/>
      <c r="AO14" s="207"/>
    </row>
    <row r="15" spans="1:72" ht="16.5">
      <c r="C15" s="280"/>
      <c r="AJ15" s="1063"/>
      <c r="AK15" s="77" t="str">
        <f>IF(UNJC0220_H_FREEWD_KBN=1,"AND",IF(UNJC0220_H_FREEWD_KBN=2,"OR","NAND"))</f>
        <v>AND</v>
      </c>
      <c r="AL15" s="1063"/>
      <c r="AM15" s="77" t="str">
        <f>UNJC0220_H_FREEWD_KBN_DISP</f>
        <v>AND</v>
      </c>
      <c r="AN15" s="1063"/>
      <c r="AO15" s="207"/>
    </row>
    <row r="16" spans="1:72">
      <c r="B16" s="970" t="s">
        <v>124</v>
      </c>
      <c r="C16" s="280" t="s">
        <v>3951</v>
      </c>
      <c r="D16" s="37"/>
    </row>
    <row r="19" spans="1:3">
      <c r="A19" s="279"/>
      <c r="C19" s="280"/>
    </row>
  </sheetData>
  <mergeCells count="4">
    <mergeCell ref="AK8:AO8"/>
    <mergeCell ref="AK9:AO9"/>
    <mergeCell ref="AK10:AO10"/>
    <mergeCell ref="AJ11:AL11"/>
  </mergeCells>
  <phoneticPr fontId="2"/>
  <conditionalFormatting sqref="D5:AC5">
    <cfRule type="expression" dxfId="140" priority="3">
      <formula>CELL("row")=ROW()</formula>
    </cfRule>
  </conditionalFormatting>
  <conditionalFormatting sqref="I5">
    <cfRule type="expression" dxfId="139" priority="4">
      <formula>INDIRECT(ADDRESS(ROW(),COLUMN()))=TRUNC(INDIRECT(ADDRESS(ROW(),COLUMN())))</formula>
    </cfRule>
  </conditionalFormatting>
  <conditionalFormatting sqref="J5">
    <cfRule type="expression" dxfId="138" priority="2">
      <formula>INDIRECT(ADDRESS(ROW(),COLUMN()))=TRUNC(INDIRECT(ADDRESS(ROW(),COLUMN())))</formula>
    </cfRule>
  </conditionalFormatting>
  <conditionalFormatting sqref="L5">
    <cfRule type="expression" dxfId="137" priority="1">
      <formula>INDIRECT(ADDRESS(ROW(),COLUMN()))=TRUNC(INDIRECT(ADDRESS(ROW(),COLUMN())))</formula>
    </cfRule>
  </conditionalFormatting>
  <dataValidations count="4">
    <dataValidation type="custom" allowBlank="1" showInputMessage="1" showErrorMessage="1" sqref="AJ4">
      <formula1>AND(LEN(AJ2)=LENB(AJ2),LEN(AJ2)=10)</formula1>
    </dataValidation>
    <dataValidation type="custom" allowBlank="1" showInputMessage="1" showErrorMessage="1" sqref="AJ5:AJ6 AJ8:AJ10">
      <formula1>AND(LEN(AJ5)=LENB(AJ5),LEN(AJ5)=10)</formula1>
    </dataValidation>
    <dataValidation type="custom" allowBlank="1" showInputMessage="1" showErrorMessage="1" sqref="AN4 AJ11:AL11">
      <formula1>AND(LEN(AJ4)=LENB(AJ4),LEN(AJ4)=20)</formula1>
    </dataValidation>
    <dataValidation type="date" allowBlank="1" showInputMessage="1" showErrorMessage="1" sqref="AJ13 AL13">
      <formula1>36526</formula1>
      <formula2>73415</formula2>
    </dataValidation>
  </dataValidations>
  <pageMargins left="0.7" right="0.7" top="0.75" bottom="0.75" header="0.3" footer="0.3"/>
  <pageSetup orientation="portrait" verticalDpi="0"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B5:H41"/>
  <sheetViews>
    <sheetView workbookViewId="0">
      <selection activeCell="F11" sqref="F11"/>
    </sheetView>
  </sheetViews>
  <sheetFormatPr defaultRowHeight="15.75" customHeight="1"/>
  <cols>
    <col min="1" max="1" width="9" style="970"/>
    <col min="2" max="2" width="3.5" style="970" customWidth="1"/>
    <col min="3" max="3" width="3.125" style="970" customWidth="1"/>
    <col min="4" max="4" width="3.25" style="970" customWidth="1"/>
    <col min="5" max="5" width="25.125" style="970" bestFit="1" customWidth="1"/>
    <col min="6" max="6" width="82.625" style="970" bestFit="1" customWidth="1"/>
    <col min="7" max="7" width="8.375" style="970" bestFit="1" customWidth="1"/>
    <col min="8" max="8" width="40.375" style="970" bestFit="1" customWidth="1"/>
    <col min="9" max="16384" width="9" style="970"/>
  </cols>
  <sheetData>
    <row r="5" spans="2:8" ht="15.75" customHeight="1">
      <c r="B5" s="1832" t="s">
        <v>3952</v>
      </c>
      <c r="C5" s="1833"/>
      <c r="D5" s="1833"/>
      <c r="E5" s="1834"/>
      <c r="F5" s="1075"/>
      <c r="G5" s="1075"/>
      <c r="H5" s="1076" t="s">
        <v>3953</v>
      </c>
    </row>
    <row r="6" spans="2:8" ht="15.75" customHeight="1">
      <c r="B6" s="1835" t="s">
        <v>3954</v>
      </c>
      <c r="C6" s="1836"/>
      <c r="D6" s="1836"/>
      <c r="E6" s="1837"/>
      <c r="F6" s="1077" t="str">
        <f>F7 &amp; F8 &amp; F16 &amp; UNJC0220_SQL_SORT &amp; F33</f>
        <v>SELECT *
 FROM V_SHUKKO_KENSAKU_LIST
 WHERE 1=1 ORDER BY NYUSHUKKO_NO ASC 
 OFFSET 0*2 ROWS
 FETCH NEXT 2 ROWS ONLY</v>
      </c>
      <c r="G6" s="1077"/>
      <c r="H6" s="1078" t="s">
        <v>3955</v>
      </c>
    </row>
    <row r="7" spans="2:8" ht="15.75" customHeight="1">
      <c r="B7" s="1079"/>
      <c r="C7" s="1831" t="s">
        <v>1426</v>
      </c>
      <c r="D7" s="1831"/>
      <c r="E7" s="1831"/>
      <c r="F7" s="1080" t="s">
        <v>3956</v>
      </c>
      <c r="G7" s="1081"/>
      <c r="H7" s="1082"/>
    </row>
    <row r="8" spans="2:8" ht="15.75" customHeight="1">
      <c r="B8" s="1079"/>
      <c r="C8" s="1831" t="s">
        <v>2464</v>
      </c>
      <c r="D8" s="1831"/>
      <c r="E8" s="1831"/>
      <c r="F8" s="1083" t="s">
        <v>3957</v>
      </c>
      <c r="G8" s="1081"/>
      <c r="H8" s="1082"/>
    </row>
    <row r="9" spans="2:8" ht="15.75" customHeight="1">
      <c r="B9" s="1835" t="s">
        <v>3958</v>
      </c>
      <c r="C9" s="1836"/>
      <c r="D9" s="1836"/>
      <c r="E9" s="1837"/>
      <c r="F9" s="1077" t="str">
        <f>F10&amp;F11&amp;F16</f>
        <v xml:space="preserve">SELECT 
       V_SHUKKO_KENSAKU_LIST.SHUKKO_DATE               -- 出庫日
      ,V_SHUKKO_KENSAKU_LIST.NYURYOKUSHA_MEI           -- 入力者名
      ,V_SHUKKO_KENSAKU_LIST.KOBAIHIN_CD               -- 購買品CD
      ,V_SHUKKO_KENSAKU_LIST.KOBAIHIN_MEI              -- 購買品名
      ,M_SHOHIN.HYOJUN_KOSU                            -- 工数
      ,V_SHUKKO_KENSAKU_LIST.TANKA                     -- 単価
      ,V_SHUKKO_KENSAKU_LIST.IRISU                     -- 入数
      ,V_SHUKKO_KENSAKU_LIST.BARA_TANI                 -- バラ単位
      ,V_SHUKKO_KENSAKU_LIST.SHUKKO_SURYO              -- 出庫数量
      ,V_SHUKKO_KENSAKU_LIST.IRISU_TANI                -- 入数単位
      ,V_SHUKKO_KENSAKU_LIST.HOKAN_BASHO_KBN_MEI       -- 保管場所区分名
      ,V_SHUKKO_KENSAKU_LIST.MAKER_CD                  -- メーカーCD
      ,V_SHUKKO_KENSAKU_LIST.MAKER_MEI                 -- メーカー名
      ,V_SHUKKO_KENSAKU_LIST.SHIIRE_CD                 -- 仕入先CD
      ,V_SHUKKO_KENSAKU_LIST.SHIIRE_MEI                -- 仕入先名
      ,V_SHUKKO_KENSAKU_LIST.SHUKKO_JIYU               -- 出庫事由
      ,V_SHUKKO_KENSAKU_LIST.NYUSHUKKO_NO              -- 入出庫No.
      ,V_SHUKKO_KENSAKU_LIST.ZAIKO_NO                  -- 在庫管理No.
      ,V_SHUKKO_KENSAKU_LIST.JURI_NO                   -- 受理No.
      ,V_SHUKKO_KENSAKU_LIST.NYURYOKUSHA_CD            -- 入力者CD
      ,V_SHUKKO_KENSAKU_LIST.HOKAN_BASHO_KBN           -- 保管場所区分
      ,V_SHUKKO_KENSAKU_LIST.UKEIRE_DATE               -- 受入日
      ,V_SHUKKO_KENSAKU_LIST.KENSHU_DATE               -- 検収日
      ,V_SHUKKO_KENSAKU_LIST.YOSAN_CD                  -- 予算コード
      ,V_SHUKKO_KENSAKU_LIST.BIKO                      -- 備考
 FROM V_SHUKKO_KENSAKU_LIST
 LEFT JOIN
      M_SHOHIN
   ON M_SHOHIN.SHOHIN_CD = V_SHUKKO_KENSAKU_LIST.KOBAIHIN_CD
 WHERE 1=1 </v>
      </c>
      <c r="G9" s="1077"/>
      <c r="H9" s="1078" t="s">
        <v>3959</v>
      </c>
    </row>
    <row r="10" spans="2:8" ht="15.75" customHeight="1">
      <c r="B10" s="1079"/>
      <c r="C10" s="1831" t="s">
        <v>1426</v>
      </c>
      <c r="D10" s="1831"/>
      <c r="E10" s="1831"/>
      <c r="F10" s="1080" t="s">
        <v>4376</v>
      </c>
      <c r="G10" s="1081"/>
      <c r="H10" s="1082"/>
    </row>
    <row r="11" spans="2:8" ht="15.75" customHeight="1">
      <c r="B11" s="1079"/>
      <c r="C11" s="1831" t="s">
        <v>2464</v>
      </c>
      <c r="D11" s="1831"/>
      <c r="E11" s="1831"/>
      <c r="F11" s="1080" t="s">
        <v>4377</v>
      </c>
      <c r="G11" s="1081"/>
      <c r="H11" s="1082"/>
    </row>
    <row r="12" spans="2:8" ht="15.75" customHeight="1">
      <c r="B12" s="1835" t="s">
        <v>3960</v>
      </c>
      <c r="C12" s="1836"/>
      <c r="D12" s="1836"/>
      <c r="E12" s="1837"/>
      <c r="F12" s="1077" t="str">
        <f>F13 &amp; F14 &amp; F16</f>
        <v xml:space="preserve">SELECT COUNT(*) AS CNT
 FROM V_SHUKKO_KENSAKU_LIST
 WHERE 1=1 </v>
      </c>
      <c r="G12" s="1077"/>
      <c r="H12" s="1078" t="s">
        <v>3961</v>
      </c>
    </row>
    <row r="13" spans="2:8" ht="15.75" customHeight="1">
      <c r="B13" s="1079"/>
      <c r="C13" s="1831" t="s">
        <v>1426</v>
      </c>
      <c r="D13" s="1831"/>
      <c r="E13" s="1831"/>
      <c r="F13" s="1083" t="s">
        <v>2493</v>
      </c>
      <c r="G13" s="1081"/>
      <c r="H13" s="1082"/>
    </row>
    <row r="14" spans="2:8" ht="15.75" customHeight="1">
      <c r="B14" s="1079"/>
      <c r="C14" s="1831" t="s">
        <v>2464</v>
      </c>
      <c r="D14" s="1831"/>
      <c r="E14" s="1831"/>
      <c r="F14" s="1083" t="s">
        <v>3957</v>
      </c>
      <c r="G14" s="1081"/>
      <c r="H14" s="1082"/>
    </row>
    <row r="15" spans="2:8" ht="15.75" customHeight="1">
      <c r="B15" s="1835" t="s">
        <v>3341</v>
      </c>
      <c r="C15" s="1836"/>
      <c r="D15" s="1836"/>
      <c r="E15" s="1837"/>
      <c r="F15" s="1077"/>
      <c r="G15" s="1077"/>
      <c r="H15" s="1078"/>
    </row>
    <row r="16" spans="2:8" ht="15.75" customHeight="1">
      <c r="B16" s="1079"/>
      <c r="C16" s="1831" t="s">
        <v>2465</v>
      </c>
      <c r="D16" s="1831"/>
      <c r="E16" s="1831"/>
      <c r="F16" s="1080" t="str">
        <f>" WHERE 1=1 " &amp; F17 &amp; F18 &amp; F19 &amp; F20 &amp; F21 &amp; F22 &amp; F23 &amp; F24 &amp; F25 &amp; F26 &amp; F27</f>
        <v xml:space="preserve"> WHERE 1=1 </v>
      </c>
      <c r="G16" s="1081"/>
      <c r="H16" s="1082"/>
    </row>
    <row r="17" spans="2:8" ht="15.75" customHeight="1">
      <c r="B17" s="1079"/>
      <c r="C17" s="1084"/>
      <c r="D17" s="1838" t="s">
        <v>1743</v>
      </c>
      <c r="E17" s="1838"/>
      <c r="F17" s="1085" t="str">
        <f>IF(G17,"
 AND V_SHUKKO_KENSAKU_LIST.NYURYOKUSHA_CD = " &amp; "'" &amp; UNJC0220_H_NYURYOKUSHA_CD_S &amp; "'","")</f>
        <v/>
      </c>
      <c r="G17" s="1081" t="b">
        <f>NOT(ISBLANK(UNJC0220_H_NYURYOKUSHA_MEI_S))</f>
        <v>0</v>
      </c>
      <c r="H17" s="1082"/>
    </row>
    <row r="18" spans="2:8" ht="15.75" customHeight="1">
      <c r="B18" s="1079"/>
      <c r="C18" s="1084"/>
      <c r="D18" s="1838" t="s">
        <v>3849</v>
      </c>
      <c r="E18" s="1838"/>
      <c r="F18" s="1085" t="str">
        <f>IF(G18,"
 AND V_SHUKKO_KENSAKU_LIST.NYUSHUKKO_NO = " &amp; "'" &amp; UNJC0220_H_NYUSHUKKO_NO_S &amp; "'","")</f>
        <v/>
      </c>
      <c r="G18" s="1081" t="b">
        <f>NOT(ISBLANK(UNJC0220_H_NYUSHUKKO_NO_S))</f>
        <v>0</v>
      </c>
      <c r="H18" s="1082"/>
    </row>
    <row r="19" spans="2:8" ht="15.75" customHeight="1">
      <c r="B19" s="1079"/>
      <c r="C19" s="1084"/>
      <c r="D19" s="1838" t="s">
        <v>3851</v>
      </c>
      <c r="E19" s="1838"/>
      <c r="F19" s="1085" t="str">
        <f>IF(G19,"
 AND V_SHUKKO_KENSAKU_LIST.ZAIKO_NO  = " &amp; "'" &amp; UNJC0220_H_ZAIKO_NO_S &amp; "'","")</f>
        <v/>
      </c>
      <c r="G19" s="1081" t="b">
        <f>NOT(ISBLANK(UNJC0220_H_ZAIKO_NO_S))</f>
        <v>0</v>
      </c>
      <c r="H19" s="1082"/>
    </row>
    <row r="20" spans="2:8" ht="15.75" customHeight="1">
      <c r="B20" s="1079"/>
      <c r="C20" s="1084"/>
      <c r="D20" s="1838" t="s">
        <v>1170</v>
      </c>
      <c r="E20" s="1838"/>
      <c r="F20" s="1085" t="str">
        <f>IF(G20,"
 AND V_SHUKKO_KENSAKU_LIST.JURI_NO = " &amp; "'" &amp; UNJC0220_H_JURI_NO_S &amp; "'","")</f>
        <v/>
      </c>
      <c r="G20" s="1081" t="b">
        <f>NOT(ISBLANK(UNJC0220_H_JURI_NO_S))</f>
        <v>0</v>
      </c>
      <c r="H20" s="1082"/>
    </row>
    <row r="21" spans="2:8" ht="15.75" customHeight="1">
      <c r="B21" s="1079"/>
      <c r="C21" s="1084"/>
      <c r="D21" s="1838" t="s">
        <v>3962</v>
      </c>
      <c r="E21" s="1838" t="s">
        <v>3963</v>
      </c>
      <c r="F21" s="1085" t="str">
        <f>IF(G21,"
 AND V_SHUKKO_KENSAKU_LIST.KOBAIHIN_CD = " &amp; "'" &amp; UNJC0220_H_KOBAIHIN_CD_S &amp; "'","")</f>
        <v/>
      </c>
      <c r="G21" s="1081" t="b">
        <f>NOT(ISBLANK(UNJC0220_H_KOBAIHIN_CD_S))</f>
        <v>0</v>
      </c>
      <c r="H21" s="1082"/>
    </row>
    <row r="22" spans="2:8" ht="15.75" customHeight="1">
      <c r="B22" s="1079"/>
      <c r="C22" s="1084"/>
      <c r="D22" s="1838" t="s">
        <v>1830</v>
      </c>
      <c r="E22" s="1838" t="s">
        <v>3964</v>
      </c>
      <c r="F22" s="1085" t="str">
        <f>IF(G22,"
 AND V_SHUKKO_KENSAKU_LIST.SHIIRE_CD = " &amp; "'" &amp; UNJC0220_H_SHIIRESAKI_CD_S &amp; "'","")</f>
        <v/>
      </c>
      <c r="G22" s="1081" t="b">
        <f>NOT(ISBLANK(UNJC0220_H_SHIIRESAKI_CD_S))</f>
        <v>0</v>
      </c>
      <c r="H22" s="1082"/>
    </row>
    <row r="23" spans="2:8" ht="15.75" customHeight="1">
      <c r="B23" s="1079"/>
      <c r="C23" s="1084"/>
      <c r="D23" s="1838" t="s">
        <v>3860</v>
      </c>
      <c r="E23" s="1838" t="s">
        <v>3965</v>
      </c>
      <c r="F23" s="1085" t="str">
        <f>IF(G23,"
 AND V_SHUKKO_KENSAKU_LIST.MAKER_CD = " &amp; "'" &amp; UNJC0220_H_MAKER_CD_S &amp; "'","")</f>
        <v/>
      </c>
      <c r="G23" s="1081" t="b">
        <f>NOT(ISBLANK(UNJC0220_H_MAKER_CD_S))</f>
        <v>0</v>
      </c>
      <c r="H23" s="1082"/>
    </row>
    <row r="24" spans="2:8" ht="15.75" customHeight="1">
      <c r="B24" s="1079"/>
      <c r="C24" s="1084"/>
      <c r="D24" s="1838" t="s">
        <v>3966</v>
      </c>
      <c r="E24" s="1838"/>
      <c r="F24" s="1085" t="str">
        <f>IF(G24,"
 AND V_SHUKKO_KENSAKU_LIST.HOKAN_BASHO_KBN = " &amp; "'" &amp; UNJC0220_H_HOKAN_BASHO_KBN_S &amp; "'","")</f>
        <v/>
      </c>
      <c r="G24" s="1081" t="b">
        <f>NOT(ISBLANK(UNJC0220_H_HOKAN_BASHO_KBN_MEI_S))</f>
        <v>0</v>
      </c>
      <c r="H24" s="1082"/>
    </row>
    <row r="25" spans="2:8" ht="15.75" customHeight="1">
      <c r="B25" s="1079"/>
      <c r="C25" s="1084"/>
      <c r="D25" s="1838" t="s">
        <v>3967</v>
      </c>
      <c r="E25" s="1838" t="s">
        <v>3968</v>
      </c>
      <c r="F25" s="1085" t="str">
        <f>IF(G25,"
 AND V_SHUKKO_KENSAKU_LIST.SHUKKO_DATE  &gt;=  '"&amp;TEXT(UNJC0220_H_SHUKKO_DATE_START_S,"YYYY/MM/DD")&amp;"'","")</f>
        <v/>
      </c>
      <c r="G25" s="1081" t="b">
        <f>NOT(ISBLANK(UNJC0220_H_SHUKKO_DATE_START_S))</f>
        <v>0</v>
      </c>
      <c r="H25" s="1082"/>
    </row>
    <row r="26" spans="2:8" ht="15.75" customHeight="1">
      <c r="B26" s="1079"/>
      <c r="C26" s="1084"/>
      <c r="D26" s="1838" t="s">
        <v>3969</v>
      </c>
      <c r="E26" s="1838" t="s">
        <v>23</v>
      </c>
      <c r="F26" s="1085" t="str">
        <f>IF(G26,"
 AND V_SHUKKO_KENSAKU_LIST.SHUKKO_DATE  &lt;=  '"&amp;TEXT(UNJC0220_H_SHUKKO_DATE_END_S,"YYYY/MM/DD")&amp;"'","")</f>
        <v/>
      </c>
      <c r="G26" s="1081" t="b">
        <f>NOT(ISBLANK(UNJC0220_H_SHUKKO_DATE_END_S))</f>
        <v>0</v>
      </c>
      <c r="H26" s="1082"/>
    </row>
    <row r="27" spans="2:8" ht="15.75" customHeight="1">
      <c r="B27" s="1079"/>
      <c r="C27" s="1084"/>
      <c r="D27" s="1842" t="s">
        <v>1983</v>
      </c>
      <c r="E27" s="1843"/>
      <c r="F27" s="1081" t="str">
        <f>IF(G27,"
 AND "&amp; IF(UNJC0220_H_FREEWD_KBN_S=3,"NOT","") &amp;"("&amp; IF(G28,F28,"") &amp; IF(G29,F29,"") &amp;IF(G30,F30,"") &amp;" )","")</f>
        <v/>
      </c>
      <c r="G27" s="1081" t="b">
        <f>OR(G28,G29,G30)</f>
        <v>0</v>
      </c>
      <c r="H27" s="1082"/>
    </row>
    <row r="28" spans="2:8" ht="15.75" customHeight="1">
      <c r="B28" s="1079"/>
      <c r="C28" s="1084"/>
      <c r="D28" s="1844"/>
      <c r="E28" s="1086" t="s">
        <v>2545</v>
      </c>
      <c r="F28" s="1087" t="str">
        <f>IF(G28,"
 V_SHUKKO_KENSAKU_LIST.FREEWD LIKE '%"&amp; UNJC0220_H_FREEWD_1_S &amp; "%'","")</f>
        <v/>
      </c>
      <c r="G28" s="1088" t="b">
        <f>NOT(ISBLANK(UNJC0220_H_FREEWD_1_S))</f>
        <v>0</v>
      </c>
      <c r="H28" s="1087"/>
    </row>
    <row r="29" spans="2:8" ht="15.75" customHeight="1">
      <c r="B29" s="1079"/>
      <c r="C29" s="1084"/>
      <c r="D29" s="1845"/>
      <c r="E29" s="1086" t="s">
        <v>2282</v>
      </c>
      <c r="F29" s="1087" t="str">
        <f>IF(G29,"
 "&amp;IF(G28, F31, "") &amp;" V_SHUKKO_KENSAKU_LIST.FREEWD LIKE '%"&amp; UNJC0220_H_FREEWD_2_S &amp; "%'","")</f>
        <v/>
      </c>
      <c r="G29" s="1088" t="b">
        <f>NOT(ISBLANK(UNJC0220_H_FREEWD_2_S))</f>
        <v>0</v>
      </c>
      <c r="H29" s="1087"/>
    </row>
    <row r="30" spans="2:8" ht="15.75" customHeight="1">
      <c r="B30" s="1079"/>
      <c r="C30" s="1084"/>
      <c r="D30" s="1845"/>
      <c r="E30" s="1086" t="s">
        <v>2284</v>
      </c>
      <c r="F30" s="1087" t="str">
        <f>IF(G30,"
 "&amp;IF(OR(G28,G29),F31,"") &amp; " V_SHUKKO_KENSAKU_LIST.FREEWD LIKE '%"&amp; UNJC0220_H_FREEWD_3_S &amp; "%'","")</f>
        <v/>
      </c>
      <c r="G30" s="1088" t="b">
        <f>NOT(ISBLANK(UNJC0220_H_FREEWD_3_S))</f>
        <v>0</v>
      </c>
      <c r="H30" s="1087"/>
    </row>
    <row r="31" spans="2:8" ht="15.75" customHeight="1">
      <c r="B31" s="1079"/>
      <c r="C31" s="1089"/>
      <c r="D31" s="1845"/>
      <c r="E31" s="1086" t="s">
        <v>163</v>
      </c>
      <c r="F31" s="1087" t="str">
        <f>IF(UNJC0220_H_FREEWD_KBN_S=1, "AND",IF(UNJC0220_H_FREEWD_KBN_S=2,"OR","AND"))</f>
        <v>AND</v>
      </c>
      <c r="G31" s="1088"/>
      <c r="H31" s="1087"/>
    </row>
    <row r="32" spans="2:8" ht="15.75" customHeight="1">
      <c r="B32" s="1079"/>
      <c r="C32" s="1831" t="s">
        <v>1448</v>
      </c>
      <c r="D32" s="1831"/>
      <c r="E32" s="1831"/>
      <c r="F32" s="1083" t="s">
        <v>3970</v>
      </c>
      <c r="G32" s="1081"/>
      <c r="H32" s="1082" t="s">
        <v>3971</v>
      </c>
    </row>
    <row r="33" spans="2:8" ht="15.75" customHeight="1">
      <c r="B33" s="1090"/>
      <c r="C33" s="1838" t="s">
        <v>3345</v>
      </c>
      <c r="D33" s="1838"/>
      <c r="E33" s="1838"/>
      <c r="F33" s="1080" t="str">
        <f xml:space="preserve"> " 
 OFFSET "&amp;(UNJC0220_B_PAGE_NO-1)&amp;"*"&amp;UNJC0220_B_HYOJI_GYO_SU&amp;" ROWS
 FETCH NEXT "&amp;UNJC0220_B_HYOJI_GYO_SU&amp;" ROWS ONLY"</f>
        <v xml:space="preserve"> 
 OFFSET 0*2 ROWS
 FETCH NEXT 2 ROWS ONLY</v>
      </c>
      <c r="G33" s="1081"/>
      <c r="H33" s="1082"/>
    </row>
    <row r="36" spans="2:8" ht="15.75" customHeight="1">
      <c r="B36" s="1835" t="s">
        <v>3972</v>
      </c>
      <c r="C36" s="1836"/>
      <c r="D36" s="1836"/>
      <c r="E36" s="1837"/>
      <c r="F36" s="1077"/>
      <c r="G36" s="1077"/>
      <c r="H36" s="1078"/>
    </row>
    <row r="37" spans="2:8" ht="15.75" customHeight="1">
      <c r="B37" s="1091"/>
      <c r="C37" s="1839" t="s">
        <v>1448</v>
      </c>
      <c r="D37" s="1840"/>
      <c r="E37" s="1841"/>
      <c r="F37" s="1080" t="s">
        <v>3973</v>
      </c>
      <c r="G37" s="1081"/>
      <c r="H37" s="1082" t="s">
        <v>3974</v>
      </c>
    </row>
    <row r="40" spans="2:8" ht="15.75" customHeight="1">
      <c r="B40" s="1835" t="s">
        <v>3975</v>
      </c>
      <c r="C40" s="1836"/>
      <c r="D40" s="1836"/>
      <c r="E40" s="1837"/>
      <c r="F40" s="842"/>
      <c r="G40" s="842"/>
      <c r="H40" s="1078" t="s">
        <v>3953</v>
      </c>
    </row>
    <row r="41" spans="2:8" ht="15.75" customHeight="1">
      <c r="B41" s="843"/>
      <c r="C41" s="1839" t="s">
        <v>1448</v>
      </c>
      <c r="D41" s="1840"/>
      <c r="E41" s="1841"/>
      <c r="F41" s="1092" t="s">
        <v>4321</v>
      </c>
      <c r="G41" s="844"/>
      <c r="H41" s="845" t="s">
        <v>3976</v>
      </c>
    </row>
  </sheetData>
  <mergeCells count="30">
    <mergeCell ref="C41:E41"/>
    <mergeCell ref="D23:E23"/>
    <mergeCell ref="D24:E24"/>
    <mergeCell ref="D25:E25"/>
    <mergeCell ref="D26:E26"/>
    <mergeCell ref="D27:E27"/>
    <mergeCell ref="D28:D31"/>
    <mergeCell ref="C32:E32"/>
    <mergeCell ref="C33:E33"/>
    <mergeCell ref="B36:E36"/>
    <mergeCell ref="C37:E37"/>
    <mergeCell ref="B40:E40"/>
    <mergeCell ref="D22:E22"/>
    <mergeCell ref="C11:E11"/>
    <mergeCell ref="B12:E12"/>
    <mergeCell ref="C13:E13"/>
    <mergeCell ref="C14:E14"/>
    <mergeCell ref="B15:E15"/>
    <mergeCell ref="C16:E16"/>
    <mergeCell ref="D17:E17"/>
    <mergeCell ref="D18:E18"/>
    <mergeCell ref="D19:E19"/>
    <mergeCell ref="D20:E20"/>
    <mergeCell ref="D21:E21"/>
    <mergeCell ref="C10:E10"/>
    <mergeCell ref="B5:E5"/>
    <mergeCell ref="B6:E6"/>
    <mergeCell ref="C7:E7"/>
    <mergeCell ref="C8:E8"/>
    <mergeCell ref="B9:E9"/>
  </mergeCells>
  <phoneticPr fontId="2"/>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rgb="FFFFC000"/>
  </sheetPr>
  <dimension ref="A1:H9"/>
  <sheetViews>
    <sheetView showGridLines="0" showRowColHeaders="0" topLeftCell="F1" zoomScaleNormal="100" workbookViewId="0">
      <selection activeCell="H3" sqref="H3"/>
    </sheetView>
  </sheetViews>
  <sheetFormatPr defaultRowHeight="16.5"/>
  <cols>
    <col min="1" max="1" width="9" style="376" hidden="1" customWidth="1"/>
    <col min="2" max="2" width="23.875" style="376" hidden="1" customWidth="1"/>
    <col min="3" max="3" width="27.25" style="376" hidden="1" customWidth="1"/>
    <col min="4" max="4" width="15.625" style="376" hidden="1" customWidth="1"/>
    <col min="5" max="5" width="9" style="376" hidden="1" customWidth="1"/>
    <col min="6" max="6" width="3.375" style="207" customWidth="1"/>
    <col min="7" max="8" width="11.75" style="207" customWidth="1"/>
    <col min="9" max="9" width="4.25" style="207" customWidth="1"/>
    <col min="10" max="11" width="11.75" style="207" customWidth="1"/>
    <col min="12" max="12" width="9.25" style="207" customWidth="1"/>
    <col min="13" max="13" width="3.375" style="207" customWidth="1"/>
    <col min="14" max="14" width="9.25" style="207" customWidth="1"/>
    <col min="15" max="15" width="11" style="207" customWidth="1"/>
    <col min="16" max="16" width="10.625" style="207" customWidth="1"/>
    <col min="17" max="19" width="10.375" style="207" customWidth="1"/>
    <col min="20" max="20" width="3.375" style="207" customWidth="1"/>
    <col min="21" max="16384" width="9" style="207"/>
  </cols>
  <sheetData>
    <row r="1" spans="1:8" s="73" customFormat="1" ht="19.5">
      <c r="A1" s="1135"/>
      <c r="B1" s="1135"/>
      <c r="C1" s="1135"/>
      <c r="D1" s="1135"/>
      <c r="E1" s="1135"/>
      <c r="F1" s="73" t="s">
        <v>3977</v>
      </c>
    </row>
    <row r="2" spans="1:8">
      <c r="B2" s="376" t="s">
        <v>3978</v>
      </c>
    </row>
    <row r="3" spans="1:8">
      <c r="B3" s="1141" t="s">
        <v>3979</v>
      </c>
      <c r="C3" s="1130" t="s">
        <v>3980</v>
      </c>
      <c r="D3" s="1141" t="s">
        <v>3981</v>
      </c>
      <c r="G3" s="210" t="s">
        <v>3834</v>
      </c>
      <c r="H3" s="1062"/>
    </row>
    <row r="5" spans="1:8">
      <c r="B5" s="1141" t="s">
        <v>3982</v>
      </c>
      <c r="C5" s="1130" t="s">
        <v>3983</v>
      </c>
      <c r="D5" s="1141"/>
    </row>
    <row r="7" spans="1:8">
      <c r="B7" s="1139" t="s">
        <v>1691</v>
      </c>
      <c r="C7" s="1139" t="s">
        <v>2224</v>
      </c>
      <c r="D7" s="1139" t="s">
        <v>2225</v>
      </c>
    </row>
    <row r="8" spans="1:8">
      <c r="B8" s="1130" t="s">
        <v>3197</v>
      </c>
      <c r="C8" s="1130" t="s">
        <v>3984</v>
      </c>
      <c r="D8" s="1130"/>
    </row>
    <row r="9" spans="1:8">
      <c r="B9" s="1130" t="s">
        <v>2257</v>
      </c>
      <c r="C9" s="1130" t="s">
        <v>3985</v>
      </c>
      <c r="D9" s="1130" t="str">
        <f>ADDRESS(ROW(A1),COLUMN(A1))&amp;":"&amp;ADDRESS(ROW(E1),COLUMN(E1))</f>
        <v>$A$1:$E$1</v>
      </c>
    </row>
  </sheetData>
  <sheetProtection sheet="1" objects="1" scenarios="1" selectLockedCells="1"/>
  <phoneticPr fontId="2"/>
  <conditionalFormatting sqref="F1:XFD1">
    <cfRule type="expression" dxfId="136" priority="1">
      <formula>UNJC0230_IF_MODE=2</formula>
    </cfRule>
  </conditionalFormatting>
  <dataValidations count="1">
    <dataValidation type="custom" allowBlank="1" showInputMessage="1" showErrorMessage="1" sqref="H3">
      <formula1>AND(LEN(UNJC0230_H_ZAIKO_NO)=LENB(UNJC0230_H_ZAIKO_NO),LEN(UNJC0230_H_ZAIKO_NO)=10)</formula1>
    </dataValidation>
  </dataValidations>
  <pageMargins left="0.7" right="0.7" top="0.75" bottom="0.75" header="0.3" footer="0.3"/>
  <pageSetup paperSize="9" orientation="portrait" verticalDpi="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rgb="FFFFC000"/>
  </sheetPr>
  <dimension ref="A1:K24"/>
  <sheetViews>
    <sheetView showGridLines="0" showRowColHeaders="0" topLeftCell="F6" zoomScaleNormal="100" workbookViewId="0">
      <selection activeCell="H9" sqref="H9"/>
    </sheetView>
  </sheetViews>
  <sheetFormatPr defaultRowHeight="16.5"/>
  <cols>
    <col min="1" max="1" width="9" style="376" hidden="1" customWidth="1"/>
    <col min="2" max="2" width="11.375" style="376" hidden="1" customWidth="1"/>
    <col min="3" max="3" width="32.75" style="376" hidden="1" customWidth="1"/>
    <col min="4" max="4" width="11.125" style="376" hidden="1" customWidth="1"/>
    <col min="5" max="5" width="9" style="376" hidden="1" customWidth="1"/>
    <col min="6" max="6" width="3.375" style="207" customWidth="1"/>
    <col min="7" max="7" width="16.25" style="207" customWidth="1"/>
    <col min="8" max="11" width="11.75" style="207" customWidth="1"/>
    <col min="12" max="12" width="3.125" style="207" customWidth="1"/>
    <col min="13" max="13" width="11.75" style="207" customWidth="1"/>
    <col min="14" max="14" width="9.25" style="207" customWidth="1"/>
    <col min="15" max="15" width="11" style="207" customWidth="1"/>
    <col min="16" max="16" width="10.625" style="207" customWidth="1"/>
    <col min="17" max="19" width="10.375" style="207" customWidth="1"/>
    <col min="20" max="20" width="3.375" style="207" customWidth="1"/>
    <col min="21" max="16384" width="9" style="207"/>
  </cols>
  <sheetData>
    <row r="1" spans="1:11" ht="6.75" hidden="1" customHeight="1"/>
    <row r="2" spans="1:11" ht="6.75" hidden="1" customHeight="1"/>
    <row r="3" spans="1:11" ht="6.75" hidden="1" customHeight="1"/>
    <row r="4" spans="1:11" ht="6.75" hidden="1" customHeight="1"/>
    <row r="5" spans="1:11" ht="6.75" hidden="1" customHeight="1"/>
    <row r="7" spans="1:11">
      <c r="B7" s="1139" t="s">
        <v>1691</v>
      </c>
      <c r="C7" s="1139" t="s">
        <v>2224</v>
      </c>
      <c r="D7" s="1139" t="s">
        <v>2225</v>
      </c>
      <c r="G7" s="208" t="s">
        <v>3986</v>
      </c>
      <c r="H7" s="209"/>
    </row>
    <row r="8" spans="1:11">
      <c r="B8" s="1130" t="s">
        <v>3197</v>
      </c>
      <c r="C8" s="1130" t="s">
        <v>3987</v>
      </c>
      <c r="D8" s="1130" t="str">
        <f>ROW(A1)&amp;":"&amp;ROW(A5)</f>
        <v>1:5</v>
      </c>
    </row>
    <row r="9" spans="1:11">
      <c r="B9" s="1130" t="s">
        <v>2257</v>
      </c>
      <c r="C9" s="1130" t="s">
        <v>3988</v>
      </c>
      <c r="D9" s="1130" t="str">
        <f>ADDRESS(ROW(A1),COLUMN(A1))&amp;":"&amp;ADDRESS(ROW(E1),COLUMN(E1))</f>
        <v>$A$1:$E$1</v>
      </c>
      <c r="G9" s="208" t="s">
        <v>82</v>
      </c>
      <c r="H9" s="1062"/>
      <c r="J9" s="210" t="s">
        <v>4425</v>
      </c>
      <c r="K9" s="1197"/>
    </row>
    <row r="10" spans="1:11">
      <c r="G10" s="210" t="s">
        <v>774</v>
      </c>
      <c r="H10" s="1829"/>
      <c r="I10" s="1829"/>
      <c r="J10" s="208" t="s">
        <v>3989</v>
      </c>
      <c r="K10" s="1096"/>
    </row>
    <row r="11" spans="1:11" ht="17.25" thickBot="1">
      <c r="A11" s="376" t="s">
        <v>3990</v>
      </c>
      <c r="D11" s="1154" t="s">
        <v>3991</v>
      </c>
      <c r="G11" s="208" t="s">
        <v>3992</v>
      </c>
      <c r="H11" s="1852"/>
      <c r="I11" s="1852"/>
      <c r="J11" s="208" t="s">
        <v>3993</v>
      </c>
      <c r="K11" s="1096"/>
    </row>
    <row r="12" spans="1:11">
      <c r="B12" s="1130" t="s">
        <v>98</v>
      </c>
      <c r="C12" s="1155" t="s">
        <v>3994</v>
      </c>
      <c r="D12" s="1156"/>
      <c r="G12" s="208" t="s">
        <v>4351</v>
      </c>
      <c r="H12" s="1113"/>
      <c r="J12" s="208" t="s">
        <v>3995</v>
      </c>
      <c r="K12" s="1099"/>
    </row>
    <row r="13" spans="1:11">
      <c r="B13" s="1130" t="s">
        <v>3940</v>
      </c>
      <c r="C13" s="1155" t="s">
        <v>3996</v>
      </c>
      <c r="D13" s="1157"/>
    </row>
    <row r="14" spans="1:11">
      <c r="B14" s="1130" t="s">
        <v>3997</v>
      </c>
      <c r="C14" s="1155" t="s">
        <v>3998</v>
      </c>
      <c r="D14" s="1157"/>
      <c r="G14" s="208" t="s">
        <v>3999</v>
      </c>
      <c r="H14" s="1100"/>
      <c r="I14" s="1853"/>
      <c r="J14" s="1854"/>
      <c r="K14" s="1855"/>
    </row>
    <row r="15" spans="1:11">
      <c r="B15" s="1130" t="s">
        <v>4000</v>
      </c>
      <c r="C15" s="1155" t="s">
        <v>4001</v>
      </c>
      <c r="D15" s="1158"/>
      <c r="G15" s="208" t="s">
        <v>4002</v>
      </c>
      <c r="H15" s="1101"/>
      <c r="J15" s="208" t="s">
        <v>4003</v>
      </c>
      <c r="K15" s="1113"/>
    </row>
    <row r="16" spans="1:11">
      <c r="B16" s="1130" t="s">
        <v>4338</v>
      </c>
      <c r="C16" s="1155" t="s">
        <v>4339</v>
      </c>
      <c r="D16" s="1158"/>
      <c r="G16" s="208" t="s">
        <v>4353</v>
      </c>
      <c r="H16" s="1113"/>
      <c r="J16" s="208" t="s">
        <v>4008</v>
      </c>
      <c r="K16" s="1099"/>
    </row>
    <row r="17" spans="2:11" ht="17.25" thickBot="1">
      <c r="B17" s="1159" t="s">
        <v>4004</v>
      </c>
      <c r="C17" s="1160" t="s">
        <v>4005</v>
      </c>
      <c r="D17" s="1161"/>
      <c r="G17" s="210" t="s">
        <v>4006</v>
      </c>
      <c r="H17" s="1105"/>
      <c r="J17" s="780" t="s">
        <v>4007</v>
      </c>
      <c r="K17" s="1099"/>
    </row>
    <row r="18" spans="2:11">
      <c r="G18" s="208"/>
    </row>
    <row r="19" spans="2:11">
      <c r="G19" s="208" t="s">
        <v>4009</v>
      </c>
      <c r="H19" s="1100"/>
      <c r="I19" s="1853"/>
      <c r="J19" s="1854"/>
      <c r="K19" s="1855"/>
    </row>
    <row r="20" spans="2:11">
      <c r="G20" s="208" t="s">
        <v>4010</v>
      </c>
      <c r="H20" s="1100"/>
      <c r="I20" s="1853"/>
      <c r="J20" s="1854"/>
      <c r="K20" s="1855"/>
    </row>
    <row r="21" spans="2:11">
      <c r="G21" s="208" t="s">
        <v>4011</v>
      </c>
      <c r="H21" s="1856"/>
      <c r="I21" s="1744"/>
      <c r="J21" s="1744"/>
      <c r="K21" s="1745"/>
    </row>
    <row r="23" spans="2:11">
      <c r="G23" s="208" t="s">
        <v>4012</v>
      </c>
      <c r="H23" s="1846"/>
      <c r="I23" s="1847"/>
      <c r="J23" s="1847"/>
      <c r="K23" s="1848"/>
    </row>
    <row r="24" spans="2:11">
      <c r="G24" s="208"/>
      <c r="H24" s="1849"/>
      <c r="I24" s="1850"/>
      <c r="J24" s="1850"/>
      <c r="K24" s="1851"/>
    </row>
  </sheetData>
  <sheetProtection sheet="1" objects="1" scenarios="1" selectLockedCells="1"/>
  <mergeCells count="7">
    <mergeCell ref="H23:K24"/>
    <mergeCell ref="H10:I10"/>
    <mergeCell ref="H11:I11"/>
    <mergeCell ref="I14:K14"/>
    <mergeCell ref="I19:K19"/>
    <mergeCell ref="I20:K20"/>
    <mergeCell ref="H21:K21"/>
  </mergeCells>
  <phoneticPr fontId="2"/>
  <conditionalFormatting sqref="H17">
    <cfRule type="expression" dxfId="135" priority="9">
      <formula>INDIRECT(ADDRESS(ROW(),COLUMN()))=TRUNC(INDIRECT(ADDRESS(ROW(),COLUMN())))</formula>
    </cfRule>
  </conditionalFormatting>
  <conditionalFormatting sqref="H17">
    <cfRule type="expression" dxfId="134" priority="8">
      <formula>INDIRECT(ADDRESS(ROW(),COLUMN(UNKB0020_B_STS_CD)))&gt;UNKB0020_IF_STS_LIMIT</formula>
    </cfRule>
  </conditionalFormatting>
  <conditionalFormatting sqref="K15">
    <cfRule type="expression" dxfId="133" priority="7">
      <formula>INDIRECT(ADDRESS(ROW(),COLUMN()))=TRUNC(INDIRECT(ADDRESS(ROW(),COLUMN())))</formula>
    </cfRule>
  </conditionalFormatting>
  <conditionalFormatting sqref="H12">
    <cfRule type="expression" dxfId="132" priority="2">
      <formula>INDIRECT(ADDRESS(ROW(),COLUMN()))=TRUNC(INDIRECT(ADDRESS(ROW(),COLUMN())))</formula>
    </cfRule>
  </conditionalFormatting>
  <conditionalFormatting sqref="H16">
    <cfRule type="expression" dxfId="131" priority="1">
      <formula>INDIRECT(ADDRESS(ROW(),COLUMN()))=TRUNC(INDIRECT(ADDRESS(ROW(),COLUMN())))</formula>
    </cfRule>
  </conditionalFormatting>
  <dataValidations count="5">
    <dataValidation type="custom" allowBlank="1" showInputMessage="1" showErrorMessage="1" sqref="H23:K24">
      <formula1>LENB(H23)&lt;=100</formula1>
    </dataValidation>
    <dataValidation type="custom" allowBlank="1" showInputMessage="1" showErrorMessage="1" sqref="H9">
      <formula1>AND(LEN(UNJC0230_B_JURI_NO)=LENB(UNJC0230_B_JURI_NO),LEN(UNJC0230_B_JURI_NO)=10)</formula1>
    </dataValidation>
    <dataValidation type="custom" allowBlank="1" showInputMessage="1" showErrorMessage="1" sqref="K15 H12 H16">
      <formula1>AND(NOT(ISERROR(INT(H12))),ROUND(H12,2)=H12,AND(H12&lt;100000,H12&gt;-100000))</formula1>
    </dataValidation>
    <dataValidation type="whole" allowBlank="1" showInputMessage="1" showErrorMessage="1" sqref="H17">
      <formula1>0</formula1>
      <formula2>1</formula2>
    </dataValidation>
    <dataValidation type="date" allowBlank="1" showInputMessage="1" showErrorMessage="1" sqref="K9">
      <formula1>36526</formula1>
      <formula2>73415</formula2>
    </dataValidation>
  </dataValidations>
  <pageMargins left="0.7" right="0.7" top="0.75" bottom="0.75" header="0.3" footer="0.3"/>
  <pageSetup paperSize="9" orientation="portrait" verticalDpi="0"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AX85"/>
  <sheetViews>
    <sheetView zoomScaleNormal="100" workbookViewId="0">
      <selection activeCell="R67" sqref="R67"/>
    </sheetView>
  </sheetViews>
  <sheetFormatPr defaultRowHeight="13.5"/>
  <cols>
    <col min="1" max="1" width="9" style="970"/>
    <col min="2" max="2" width="26.5" style="970" bestFit="1" customWidth="1"/>
    <col min="3" max="3" width="31.625" style="970" bestFit="1" customWidth="1"/>
    <col min="4" max="4" width="24" style="970" bestFit="1" customWidth="1"/>
    <col min="5" max="13" width="9" style="970"/>
    <col min="14" max="14" width="9" style="970" customWidth="1"/>
    <col min="15" max="18" width="8.875" style="970" customWidth="1"/>
    <col min="19" max="19" width="2.75" style="970" customWidth="1"/>
    <col min="20" max="20" width="9" style="970"/>
    <col min="21" max="21" width="21.5" style="970" bestFit="1" customWidth="1"/>
    <col min="22" max="22" width="47.25" style="970" bestFit="1" customWidth="1"/>
    <col min="23" max="23" width="16.75" style="970" customWidth="1"/>
    <col min="24" max="16384" width="9" style="970"/>
  </cols>
  <sheetData>
    <row r="1" spans="1:50">
      <c r="A1" s="239" t="s">
        <v>1552</v>
      </c>
      <c r="I1" s="1106" t="s">
        <v>323</v>
      </c>
      <c r="T1" s="239" t="s">
        <v>1141</v>
      </c>
      <c r="U1" s="280"/>
      <c r="V1" s="280"/>
      <c r="W1" s="280"/>
      <c r="X1" s="280"/>
      <c r="Y1" s="280"/>
      <c r="Z1" s="280"/>
      <c r="AA1" s="280"/>
      <c r="AB1" s="280"/>
      <c r="AC1" s="280"/>
      <c r="AD1" s="280"/>
    </row>
    <row r="2" spans="1:50">
      <c r="A2" s="239"/>
      <c r="B2" s="280"/>
      <c r="C2" s="280"/>
      <c r="D2" s="280"/>
      <c r="E2" s="280"/>
      <c r="F2" s="280"/>
      <c r="J2" s="239" t="s">
        <v>4013</v>
      </c>
      <c r="N2" s="279" t="s">
        <v>4014</v>
      </c>
      <c r="T2" s="280"/>
      <c r="U2" s="280"/>
      <c r="V2" s="280"/>
      <c r="W2" s="280"/>
      <c r="X2" s="280"/>
      <c r="Y2" s="280"/>
      <c r="Z2" s="280"/>
      <c r="AA2" s="280"/>
      <c r="AB2" s="280"/>
      <c r="AC2" s="280"/>
      <c r="AG2" s="970" t="s">
        <v>522</v>
      </c>
    </row>
    <row r="3" spans="1:50" ht="16.5">
      <c r="A3" s="280"/>
      <c r="B3" s="1094" t="s">
        <v>104</v>
      </c>
      <c r="C3" s="1094" t="s">
        <v>4015</v>
      </c>
      <c r="D3" s="1094">
        <v>1</v>
      </c>
      <c r="E3" s="280" t="s">
        <v>105</v>
      </c>
      <c r="F3" s="280" t="s">
        <v>106</v>
      </c>
      <c r="T3" s="280"/>
      <c r="U3" s="239" t="s">
        <v>111</v>
      </c>
      <c r="V3" s="280"/>
      <c r="W3" s="280"/>
      <c r="X3" s="280"/>
      <c r="Y3" s="280"/>
      <c r="Z3" s="231" t="s">
        <v>1687</v>
      </c>
      <c r="AA3" s="231"/>
      <c r="AB3" s="280"/>
      <c r="AC3" s="280"/>
      <c r="AG3" s="1107" t="s">
        <v>2288</v>
      </c>
      <c r="AH3" s="1107" t="s">
        <v>2289</v>
      </c>
      <c r="AI3" s="1107" t="s">
        <v>2290</v>
      </c>
      <c r="AJ3" s="1107" t="s">
        <v>4016</v>
      </c>
      <c r="AK3" s="1107" t="s">
        <v>4017</v>
      </c>
      <c r="AL3" s="1107" t="s">
        <v>4018</v>
      </c>
      <c r="AM3" s="1107" t="s">
        <v>4019</v>
      </c>
      <c r="AN3" s="1107" t="s">
        <v>2301</v>
      </c>
      <c r="AO3" s="1107" t="s">
        <v>4020</v>
      </c>
      <c r="AP3" s="1107" t="s">
        <v>4341</v>
      </c>
      <c r="AQ3" s="1107" t="s">
        <v>4021</v>
      </c>
      <c r="AR3" s="1107" t="s">
        <v>4022</v>
      </c>
      <c r="AS3" s="1107" t="s">
        <v>4023</v>
      </c>
      <c r="AT3" s="1107" t="s">
        <v>2291</v>
      </c>
      <c r="AU3" s="1107" t="s">
        <v>2292</v>
      </c>
      <c r="AV3" s="1107" t="s">
        <v>2293</v>
      </c>
      <c r="AW3" s="1107" t="s">
        <v>2294</v>
      </c>
      <c r="AX3" s="1107" t="s">
        <v>2295</v>
      </c>
    </row>
    <row r="4" spans="1:50" ht="16.5">
      <c r="A4" s="280"/>
      <c r="B4" s="1094" t="s">
        <v>4024</v>
      </c>
      <c r="C4" s="1094" t="s">
        <v>4025</v>
      </c>
      <c r="D4" s="1094"/>
      <c r="E4" s="280"/>
      <c r="F4" s="280"/>
      <c r="J4" s="970" t="s">
        <v>466</v>
      </c>
      <c r="N4" s="970" t="s">
        <v>466</v>
      </c>
      <c r="O4" s="209"/>
      <c r="P4" s="207"/>
      <c r="Q4" s="207"/>
      <c r="R4" s="207"/>
      <c r="T4" s="280"/>
      <c r="U4" s="1094" t="s">
        <v>4026</v>
      </c>
      <c r="V4" s="1094" t="s">
        <v>4027</v>
      </c>
      <c r="W4" s="1094"/>
      <c r="X4" s="280"/>
      <c r="Y4" s="280"/>
      <c r="Z4" s="579" t="s">
        <v>1688</v>
      </c>
      <c r="AA4" s="579"/>
      <c r="AB4" s="280"/>
      <c r="AC4" s="280"/>
      <c r="AG4" s="1108" t="s">
        <v>1194</v>
      </c>
      <c r="AH4" s="1108" t="s">
        <v>358</v>
      </c>
      <c r="AI4" s="1108" t="s">
        <v>359</v>
      </c>
      <c r="AJ4" s="1108" t="s">
        <v>360</v>
      </c>
      <c r="AK4" s="1108" t="s">
        <v>3917</v>
      </c>
      <c r="AL4" s="1109" t="s">
        <v>4028</v>
      </c>
      <c r="AM4" s="1108" t="s">
        <v>4000</v>
      </c>
      <c r="AN4" s="1108" t="s">
        <v>266</v>
      </c>
      <c r="AO4" s="1109" t="s">
        <v>1198</v>
      </c>
      <c r="AP4" s="1108" t="s">
        <v>4342</v>
      </c>
      <c r="AQ4" s="1109" t="s">
        <v>4029</v>
      </c>
      <c r="AR4" s="1109" t="s">
        <v>4030</v>
      </c>
      <c r="AS4" s="1108" t="s">
        <v>4031</v>
      </c>
      <c r="AT4" s="1108" t="s">
        <v>375</v>
      </c>
      <c r="AU4" s="1108" t="s">
        <v>376</v>
      </c>
      <c r="AV4" s="1108" t="s">
        <v>377</v>
      </c>
      <c r="AW4" s="1108" t="s">
        <v>378</v>
      </c>
      <c r="AX4" s="1108" t="s">
        <v>379</v>
      </c>
    </row>
    <row r="5" spans="1:50" ht="16.5">
      <c r="B5" s="1094" t="s">
        <v>4032</v>
      </c>
      <c r="C5" s="1094" t="s">
        <v>4033</v>
      </c>
      <c r="D5" s="1094">
        <f>IF(UNJC0230_B_SHIYAKU_FLG=TRUE,1,2)</f>
        <v>2</v>
      </c>
      <c r="E5" s="280" t="s">
        <v>105</v>
      </c>
      <c r="F5" s="280" t="s">
        <v>106</v>
      </c>
      <c r="J5" s="970" t="s">
        <v>4034</v>
      </c>
      <c r="K5" s="210" t="s">
        <v>3834</v>
      </c>
      <c r="L5" s="217"/>
      <c r="N5" s="970" t="s">
        <v>4035</v>
      </c>
      <c r="O5" s="207"/>
      <c r="P5" s="207"/>
      <c r="Q5" s="207"/>
      <c r="R5" s="207"/>
      <c r="T5" s="280"/>
      <c r="U5" s="1094" t="s">
        <v>110</v>
      </c>
      <c r="V5" s="1094" t="s">
        <v>4036</v>
      </c>
      <c r="W5" s="1094"/>
      <c r="X5" s="280"/>
      <c r="Y5" s="280"/>
      <c r="Z5" s="76" t="s">
        <v>1689</v>
      </c>
      <c r="AA5" s="76" t="s">
        <v>4037</v>
      </c>
      <c r="AB5" s="280"/>
      <c r="AE5" s="970" t="s">
        <v>4038</v>
      </c>
      <c r="AF5" s="970" t="s">
        <v>4039</v>
      </c>
      <c r="AG5" s="273">
        <f>UNJC0230_IF_W_USER_ID</f>
        <v>0</v>
      </c>
      <c r="AH5" s="273">
        <f>UNJC0230_IF_W_SERIAL</f>
        <v>0</v>
      </c>
      <c r="AI5" s="273">
        <v>1</v>
      </c>
      <c r="AJ5" s="273">
        <f>UNJC0230_IF_W_MODE</f>
        <v>1</v>
      </c>
      <c r="AK5" s="273" t="str">
        <f>IF(UNJC0230_B_NYUSHUKKO_NO="","",UNJC0230_B_NYUSHUKKO_NO)</f>
        <v/>
      </c>
      <c r="AL5" s="273" t="str">
        <f>IF(UNJC0230_H_ZAIKO_NO="","",UNJC0230_H_ZAIKO_NO)</f>
        <v/>
      </c>
      <c r="AM5" s="273" t="str">
        <f>IF(UNJC0230_B_IRAI_NO="","",UNJC0230_B_IRAI_NO)</f>
        <v/>
      </c>
      <c r="AN5" s="273" t="str">
        <f>IF(UNJC0230_B_JURI_NO="","",UNJC0230_B_JURI_NO)</f>
        <v/>
      </c>
      <c r="AO5" s="273" t="str">
        <f>IF(UNJC0230_B_NYURYOKUSHA_MEI="","",UNJC0230_B_NYURYOKUSHA_CD)</f>
        <v/>
      </c>
      <c r="AP5" s="273" t="str">
        <f>IF(UNJC0230_B_HOKAN_BASHO_KBN="","",UNJC0230_B_HOKAN_BASHO_KBN)</f>
        <v/>
      </c>
      <c r="AQ5" s="1110" t="str">
        <f>IF(UNJC0230_B_SHUKKO_DATE="","",UNJC0230_B_SHUKKO_DATE)</f>
        <v/>
      </c>
      <c r="AR5" s="273" t="str">
        <f>IF(UNJC0230_B_SURYO=0,"",UNJC0230_B_SURYO)</f>
        <v/>
      </c>
      <c r="AS5" s="273" t="str">
        <f>IF(UNJC0230_B_JIYU="","",UNJC0230_B_JIYU)</f>
        <v/>
      </c>
      <c r="AT5" s="1110"/>
      <c r="AU5" s="1110"/>
      <c r="AV5" s="273"/>
      <c r="AW5" s="273"/>
      <c r="AX5" s="273"/>
    </row>
    <row r="6" spans="1:50" ht="16.5">
      <c r="O6" s="1062"/>
      <c r="P6" s="207"/>
      <c r="Q6" s="210" t="s">
        <v>4425</v>
      </c>
      <c r="R6" s="1197"/>
      <c r="T6" s="280"/>
      <c r="U6" s="1094" t="s">
        <v>109</v>
      </c>
      <c r="V6" s="1094" t="s">
        <v>4040</v>
      </c>
      <c r="W6" s="1094">
        <v>0</v>
      </c>
      <c r="X6" s="280"/>
      <c r="Y6" s="280"/>
      <c r="Z6" s="76" t="s">
        <v>1690</v>
      </c>
      <c r="AA6" s="76" t="str">
        <f>ADDRESS(ROW(UNJC0230_IF_SAVE_CHECK_RESULT),COLUMN(UNJC0230_IF_SAVE_CHECK_RESULT))</f>
        <v>$AA$30</v>
      </c>
      <c r="AB6" s="280"/>
      <c r="AC6" s="280"/>
      <c r="AL6" s="970" t="s">
        <v>4041</v>
      </c>
      <c r="AO6" s="970" t="s">
        <v>4042</v>
      </c>
      <c r="AQ6" s="970" t="s">
        <v>4043</v>
      </c>
      <c r="AR6" s="970" t="s">
        <v>4044</v>
      </c>
    </row>
    <row r="7" spans="1:50" ht="16.5">
      <c r="A7" s="1106" t="s">
        <v>112</v>
      </c>
      <c r="B7" s="280"/>
      <c r="C7" s="280"/>
      <c r="D7" s="280"/>
      <c r="E7" s="280"/>
      <c r="O7" s="1829"/>
      <c r="P7" s="1829"/>
      <c r="Q7" s="208" t="s">
        <v>3989</v>
      </c>
      <c r="R7" s="1096"/>
      <c r="T7" s="280"/>
      <c r="U7" s="1094" t="s">
        <v>1324</v>
      </c>
      <c r="V7" s="1094" t="s">
        <v>4045</v>
      </c>
      <c r="W7" s="1094">
        <v>1</v>
      </c>
      <c r="X7" s="280"/>
      <c r="Y7" s="280"/>
      <c r="Z7" s="579" t="s">
        <v>1691</v>
      </c>
      <c r="AA7" s="579" t="s">
        <v>1692</v>
      </c>
      <c r="AB7" s="280"/>
      <c r="AC7" s="280"/>
    </row>
    <row r="8" spans="1:50" ht="16.5">
      <c r="A8" s="280"/>
      <c r="B8" s="1094" t="s">
        <v>4046</v>
      </c>
      <c r="C8" s="1094" t="s">
        <v>4047</v>
      </c>
      <c r="D8" s="1094">
        <v>0</v>
      </c>
      <c r="E8" s="280" t="s">
        <v>119</v>
      </c>
      <c r="O8" s="1852"/>
      <c r="P8" s="1852"/>
      <c r="Q8" s="208" t="s">
        <v>3993</v>
      </c>
      <c r="R8" s="1096"/>
      <c r="T8" s="280"/>
      <c r="U8" s="280"/>
      <c r="V8" s="280"/>
      <c r="W8" s="280"/>
      <c r="X8" s="280"/>
      <c r="Y8" s="280"/>
      <c r="Z8" s="76" t="s">
        <v>1677</v>
      </c>
      <c r="AA8" s="76" t="s">
        <v>4037</v>
      </c>
      <c r="AB8" s="280"/>
      <c r="AC8" s="280"/>
    </row>
    <row r="9" spans="1:50" ht="16.5">
      <c r="J9" s="970" t="s">
        <v>471</v>
      </c>
      <c r="O9" s="1113"/>
      <c r="P9" s="207"/>
      <c r="Q9" s="208" t="s">
        <v>3995</v>
      </c>
      <c r="R9" s="1099"/>
      <c r="T9" s="280"/>
      <c r="U9" s="280"/>
      <c r="V9" s="280"/>
      <c r="W9" s="280"/>
      <c r="X9" s="280"/>
      <c r="Y9" s="280"/>
      <c r="Z9" s="76" t="s">
        <v>1693</v>
      </c>
      <c r="AA9" s="580" t="s">
        <v>4048</v>
      </c>
      <c r="AB9" s="280"/>
      <c r="AC9" s="280"/>
      <c r="AD9" s="280"/>
    </row>
    <row r="10" spans="1:50" ht="16.5">
      <c r="A10" s="280"/>
      <c r="B10" s="280"/>
      <c r="C10" s="280"/>
      <c r="D10" s="280"/>
      <c r="E10" s="280"/>
      <c r="J10" s="970" t="s">
        <v>4049</v>
      </c>
      <c r="K10" s="210" t="s">
        <v>3834</v>
      </c>
      <c r="L10" s="217"/>
      <c r="O10" s="207"/>
      <c r="P10" s="207"/>
      <c r="Q10" s="207"/>
      <c r="R10" s="207"/>
      <c r="T10" s="280"/>
      <c r="U10" s="239" t="s">
        <v>526</v>
      </c>
      <c r="V10" s="280"/>
      <c r="W10" s="280"/>
      <c r="X10" s="280"/>
      <c r="Y10" s="280"/>
      <c r="Z10" s="76" t="s">
        <v>1694</v>
      </c>
      <c r="AA10" s="580" t="s">
        <v>4050</v>
      </c>
      <c r="AB10" s="280"/>
      <c r="AC10" s="280"/>
    </row>
    <row r="11" spans="1:50" ht="16.5">
      <c r="A11" s="279" t="s">
        <v>120</v>
      </c>
      <c r="B11" s="280"/>
      <c r="C11" s="38"/>
      <c r="O11" s="1100"/>
      <c r="P11" s="1853"/>
      <c r="Q11" s="1854"/>
      <c r="R11" s="1855"/>
      <c r="T11" s="280"/>
      <c r="U11" s="1094" t="s">
        <v>1339</v>
      </c>
      <c r="V11" s="1094" t="s">
        <v>4051</v>
      </c>
      <c r="W11" s="1094">
        <v>1</v>
      </c>
      <c r="X11" s="280"/>
      <c r="Y11" s="280"/>
      <c r="Z11" s="1459" t="s">
        <v>1695</v>
      </c>
      <c r="AA11" s="1459"/>
      <c r="AB11" s="280"/>
      <c r="AC11" s="280"/>
    </row>
    <row r="12" spans="1:50" ht="16.5">
      <c r="B12" s="1094" t="s">
        <v>121</v>
      </c>
      <c r="C12" s="1094" t="s">
        <v>4052</v>
      </c>
      <c r="D12" s="1094"/>
      <c r="O12" s="1101"/>
      <c r="P12" s="207"/>
      <c r="Q12" s="208" t="s">
        <v>4003</v>
      </c>
      <c r="R12" s="1113"/>
      <c r="T12" s="280"/>
      <c r="X12" s="280"/>
      <c r="Y12" s="280"/>
      <c r="Z12" s="581" t="s">
        <v>1677</v>
      </c>
      <c r="AA12" s="581"/>
      <c r="AB12" s="280"/>
      <c r="AC12" s="280"/>
    </row>
    <row r="13" spans="1:50" ht="16.5">
      <c r="B13" s="1094" t="s">
        <v>122</v>
      </c>
      <c r="C13" s="1094" t="s">
        <v>4053</v>
      </c>
      <c r="D13" s="1094"/>
      <c r="O13" s="1113"/>
      <c r="P13" s="207"/>
      <c r="Q13" s="208" t="s">
        <v>4008</v>
      </c>
      <c r="R13" s="1099"/>
      <c r="T13" s="280"/>
      <c r="X13" s="280"/>
      <c r="Y13" s="280"/>
      <c r="Z13" s="16" t="s">
        <v>1696</v>
      </c>
      <c r="AA13" s="76"/>
      <c r="AB13" s="280"/>
      <c r="AC13" s="280"/>
    </row>
    <row r="14" spans="1:50" ht="16.5">
      <c r="B14" s="1094" t="s">
        <v>123</v>
      </c>
      <c r="C14" s="1094" t="s">
        <v>4054</v>
      </c>
      <c r="D14" s="1094"/>
      <c r="J14" s="970" t="s">
        <v>472</v>
      </c>
      <c r="O14" s="1105"/>
      <c r="P14" s="207"/>
      <c r="Q14" s="780" t="s">
        <v>4007</v>
      </c>
      <c r="R14" s="1099"/>
      <c r="T14" s="280"/>
      <c r="U14" s="280"/>
      <c r="V14" s="280"/>
      <c r="W14" s="280"/>
      <c r="X14" s="280"/>
      <c r="Y14" s="280"/>
      <c r="Z14" s="16" t="s">
        <v>1697</v>
      </c>
      <c r="AA14" s="16"/>
      <c r="AB14" s="280"/>
      <c r="AC14" s="280"/>
    </row>
    <row r="15" spans="1:50" ht="16.5">
      <c r="B15" s="1094" t="s">
        <v>124</v>
      </c>
      <c r="C15" s="1094" t="s">
        <v>4055</v>
      </c>
      <c r="D15" s="1094"/>
      <c r="J15" s="970" t="s">
        <v>4056</v>
      </c>
      <c r="K15" s="210" t="s">
        <v>3834</v>
      </c>
      <c r="L15" s="217"/>
      <c r="O15" s="207"/>
      <c r="P15" s="207"/>
      <c r="Q15" s="207"/>
      <c r="R15" s="207"/>
      <c r="T15" s="280"/>
      <c r="U15" s="279" t="s">
        <v>533</v>
      </c>
      <c r="W15" s="280"/>
      <c r="X15" s="280"/>
      <c r="Y15" s="280"/>
      <c r="Z15" s="16" t="s">
        <v>1698</v>
      </c>
      <c r="AA15" s="16"/>
      <c r="AB15" s="280"/>
      <c r="AC15" s="280"/>
    </row>
    <row r="16" spans="1:50" ht="16.5">
      <c r="O16" s="1100"/>
      <c r="P16" s="1853"/>
      <c r="Q16" s="1854"/>
      <c r="R16" s="1855"/>
      <c r="T16" s="280"/>
      <c r="U16" s="1094" t="s">
        <v>4057</v>
      </c>
      <c r="V16" s="1094" t="s">
        <v>4058</v>
      </c>
      <c r="W16" s="1094"/>
      <c r="Y16" s="280"/>
      <c r="Z16" s="16" t="s">
        <v>1699</v>
      </c>
      <c r="AA16" s="16"/>
      <c r="AB16" s="280"/>
      <c r="AC16" s="280"/>
      <c r="AD16" s="280"/>
    </row>
    <row r="17" spans="1:30" ht="16.5">
      <c r="A17" s="279" t="s">
        <v>500</v>
      </c>
      <c r="C17" s="280"/>
      <c r="D17" s="38"/>
      <c r="E17" s="279" t="s">
        <v>482</v>
      </c>
      <c r="F17" s="279" t="s">
        <v>8</v>
      </c>
      <c r="G17" s="279" t="s">
        <v>484</v>
      </c>
      <c r="O17" s="1100"/>
      <c r="P17" s="1853"/>
      <c r="Q17" s="1854"/>
      <c r="R17" s="1855"/>
      <c r="T17" s="280"/>
      <c r="U17" s="1094" t="s">
        <v>340</v>
      </c>
      <c r="V17" s="1094" t="s">
        <v>4059</v>
      </c>
      <c r="W17" s="1094"/>
      <c r="Y17" s="280"/>
      <c r="Z17" s="16" t="s">
        <v>1700</v>
      </c>
      <c r="AA17" s="16"/>
      <c r="AB17" s="280"/>
      <c r="AC17" s="280"/>
      <c r="AD17" s="280"/>
    </row>
    <row r="18" spans="1:30" ht="16.5">
      <c r="B18" s="1094" t="s">
        <v>1363</v>
      </c>
      <c r="C18" s="1094" t="s">
        <v>4060</v>
      </c>
      <c r="D18" s="1094" t="str">
        <f>IF(UNJC0230_IF_MODE=1,"-",IF(UNJC0230_IF_MODE=2,"修正キャンセル","修正"))</f>
        <v>修正</v>
      </c>
      <c r="E18" s="280" t="s">
        <v>1365</v>
      </c>
      <c r="F18" s="970" t="s">
        <v>484</v>
      </c>
      <c r="G18" s="970" t="s">
        <v>8</v>
      </c>
      <c r="O18" s="1856"/>
      <c r="P18" s="1744"/>
      <c r="Q18" s="1744"/>
      <c r="R18" s="1745"/>
      <c r="T18" s="280"/>
      <c r="U18" s="1094" t="s">
        <v>528</v>
      </c>
      <c r="V18" s="1094" t="s">
        <v>4061</v>
      </c>
      <c r="W18" s="1094"/>
      <c r="X18" s="280"/>
      <c r="Y18" s="280"/>
      <c r="Z18" s="16" t="s">
        <v>1701</v>
      </c>
      <c r="AA18" s="16"/>
      <c r="AB18" s="280"/>
      <c r="AC18" s="280"/>
      <c r="AD18" s="280"/>
    </row>
    <row r="19" spans="1:30" ht="16.5">
      <c r="A19" s="280"/>
      <c r="B19" s="1094" t="s">
        <v>1366</v>
      </c>
      <c r="C19" s="1094" t="s">
        <v>4062</v>
      </c>
      <c r="D19" s="1094" t="s">
        <v>4063</v>
      </c>
      <c r="E19" s="280" t="s">
        <v>4064</v>
      </c>
      <c r="F19" s="280" t="s">
        <v>4064</v>
      </c>
      <c r="G19" s="280" t="s">
        <v>4064</v>
      </c>
      <c r="J19" s="280" t="s">
        <v>4065</v>
      </c>
      <c r="O19" s="207"/>
      <c r="P19" s="207"/>
      <c r="Q19" s="207"/>
      <c r="R19" s="207"/>
      <c r="T19" s="280"/>
      <c r="U19" s="1094" t="s">
        <v>330</v>
      </c>
      <c r="V19" s="1094" t="s">
        <v>4066</v>
      </c>
      <c r="W19" s="1094">
        <f>IF(UNJC0230_IF_SAVE_RESULT_CD=0,2,1)</f>
        <v>2</v>
      </c>
      <c r="X19" s="970" t="s">
        <v>335</v>
      </c>
      <c r="Y19" s="280"/>
      <c r="Z19" s="16" t="s">
        <v>1702</v>
      </c>
      <c r="AA19" s="16"/>
      <c r="AB19" s="280"/>
      <c r="AC19" s="280"/>
      <c r="AD19" s="280"/>
    </row>
    <row r="20" spans="1:30" ht="16.5">
      <c r="J20" s="970" t="s">
        <v>4067</v>
      </c>
      <c r="K20" s="210" t="s">
        <v>3834</v>
      </c>
      <c r="L20" s="1062"/>
      <c r="O20" s="1846"/>
      <c r="P20" s="1847"/>
      <c r="Q20" s="1847"/>
      <c r="R20" s="1848"/>
      <c r="T20" s="280"/>
      <c r="U20" s="1094" t="s">
        <v>1733</v>
      </c>
      <c r="V20" s="1094" t="s">
        <v>4068</v>
      </c>
      <c r="W20" s="1094" t="s">
        <v>1354</v>
      </c>
      <c r="X20" s="280"/>
      <c r="Z20" s="231" t="s">
        <v>1703</v>
      </c>
      <c r="AA20" s="21"/>
    </row>
    <row r="21" spans="1:30" ht="16.5">
      <c r="A21" s="1106" t="s">
        <v>1376</v>
      </c>
      <c r="B21" s="280"/>
      <c r="C21" s="280"/>
      <c r="D21" s="280"/>
      <c r="E21" s="279" t="s">
        <v>482</v>
      </c>
      <c r="F21" s="279" t="s">
        <v>8</v>
      </c>
      <c r="G21" s="279" t="s">
        <v>484</v>
      </c>
      <c r="O21" s="1849"/>
      <c r="P21" s="1850"/>
      <c r="Q21" s="1850"/>
      <c r="R21" s="1851"/>
      <c r="T21" s="280"/>
      <c r="Y21" s="280"/>
      <c r="Z21" s="582" t="s">
        <v>1704</v>
      </c>
      <c r="AA21" s="583"/>
      <c r="AB21" s="280"/>
      <c r="AC21" s="280"/>
      <c r="AD21" s="280"/>
    </row>
    <row r="22" spans="1:30" ht="16.5">
      <c r="A22" s="239"/>
      <c r="B22" s="1094" t="s">
        <v>1363</v>
      </c>
      <c r="C22" s="1094" t="s">
        <v>4069</v>
      </c>
      <c r="D22" s="1094">
        <f>IF(UNJC0230_IF_MODE=1,2,IF(UNJC0230_IF_MODE=2,1,1))</f>
        <v>1</v>
      </c>
      <c r="E22" s="970" t="s">
        <v>498</v>
      </c>
      <c r="F22" s="970" t="s">
        <v>499</v>
      </c>
      <c r="G22" s="970" t="s">
        <v>499</v>
      </c>
      <c r="T22" s="280"/>
      <c r="X22" s="280"/>
      <c r="Y22" s="280"/>
      <c r="Z22" s="582" t="s">
        <v>1705</v>
      </c>
      <c r="AA22" s="583"/>
      <c r="AB22" s="280"/>
      <c r="AC22" s="280"/>
      <c r="AD22" s="280"/>
    </row>
    <row r="23" spans="1:30" ht="16.5">
      <c r="A23" s="239"/>
      <c r="B23" s="1094" t="s">
        <v>1380</v>
      </c>
      <c r="C23" s="1094" t="s">
        <v>4070</v>
      </c>
      <c r="D23" s="1094">
        <f>IF(UNJC0230_IF_MODE=1,2,IF(UNJC0230_IF_MODE=2,1,2))</f>
        <v>2</v>
      </c>
      <c r="E23" s="970" t="s">
        <v>498</v>
      </c>
      <c r="F23" s="970" t="s">
        <v>499</v>
      </c>
      <c r="G23" s="970" t="s">
        <v>498</v>
      </c>
      <c r="T23" s="280"/>
      <c r="Y23" s="280"/>
      <c r="Z23" s="231" t="s">
        <v>1706</v>
      </c>
      <c r="AA23" s="21"/>
      <c r="AB23" s="280"/>
      <c r="AC23" s="280"/>
      <c r="AD23" s="280"/>
    </row>
    <row r="24" spans="1:30" ht="16.5">
      <c r="A24" s="280"/>
      <c r="B24" s="1094" t="s">
        <v>1366</v>
      </c>
      <c r="C24" s="1094" t="s">
        <v>4071</v>
      </c>
      <c r="D24" s="1094">
        <f>IF(UNJC0230_IF_MODE=1,1,IF(UNJC0230_IF_MODE=2,1,2))</f>
        <v>2</v>
      </c>
      <c r="E24" s="970" t="s">
        <v>499</v>
      </c>
      <c r="F24" s="970" t="s">
        <v>499</v>
      </c>
      <c r="G24" s="970" t="s">
        <v>498</v>
      </c>
      <c r="T24" s="280"/>
      <c r="Y24" s="280"/>
      <c r="Z24" s="280"/>
      <c r="AA24" s="280"/>
      <c r="AB24" s="280"/>
      <c r="AC24" s="280"/>
      <c r="AD24" s="280"/>
    </row>
    <row r="25" spans="1:30" ht="16.5">
      <c r="A25" s="280"/>
      <c r="B25" s="1094" t="s">
        <v>4073</v>
      </c>
      <c r="C25" s="1094" t="s">
        <v>4074</v>
      </c>
      <c r="D25" s="1094">
        <f>IF(UNJC0230_IF_MODE=1,2,IF(UNJC0230_IF_MODE=2,2,1))</f>
        <v>1</v>
      </c>
      <c r="E25" s="970" t="s">
        <v>498</v>
      </c>
      <c r="F25" s="970" t="s">
        <v>498</v>
      </c>
      <c r="G25" s="970" t="s">
        <v>499</v>
      </c>
      <c r="N25" s="970" t="s">
        <v>471</v>
      </c>
      <c r="T25" s="280"/>
      <c r="U25" s="280"/>
      <c r="V25" s="280"/>
      <c r="W25" s="280"/>
      <c r="X25" s="280"/>
      <c r="Y25" s="280"/>
      <c r="Z25" s="279" t="s">
        <v>1729</v>
      </c>
      <c r="AC25" s="280"/>
      <c r="AD25" s="280"/>
    </row>
    <row r="26" spans="1:30" ht="16.5">
      <c r="A26" s="280"/>
      <c r="N26" s="970" t="s">
        <v>4075</v>
      </c>
      <c r="O26" s="209"/>
      <c r="P26" s="207"/>
      <c r="Q26" s="207"/>
      <c r="R26" s="207"/>
      <c r="T26" s="280"/>
      <c r="U26" s="280"/>
      <c r="V26" s="280"/>
      <c r="W26" s="280"/>
      <c r="X26" s="280"/>
      <c r="Y26" s="280"/>
      <c r="Z26" s="280" t="s">
        <v>331</v>
      </c>
      <c r="AA26" s="280" t="s">
        <v>4076</v>
      </c>
      <c r="AB26" s="273">
        <f>IF(ISBLANK(UNJC0230_IF_SAVE_CHECK_RESULT)=TRUE,2,1)</f>
        <v>2</v>
      </c>
      <c r="AC26" s="970" t="s">
        <v>335</v>
      </c>
    </row>
    <row r="27" spans="1:30" ht="16.5">
      <c r="A27" s="1106" t="s">
        <v>1376</v>
      </c>
      <c r="B27" s="280"/>
      <c r="C27" s="280"/>
      <c r="D27" s="280"/>
      <c r="E27" s="280"/>
      <c r="F27" s="280"/>
      <c r="G27" s="280"/>
      <c r="O27" s="207"/>
      <c r="P27" s="207"/>
      <c r="Q27" s="207"/>
      <c r="R27" s="207"/>
      <c r="T27" s="280"/>
      <c r="U27" s="280"/>
      <c r="V27" s="280"/>
      <c r="W27" s="280"/>
      <c r="X27" s="280"/>
      <c r="Y27" s="280"/>
      <c r="Z27" s="970" t="s">
        <v>4077</v>
      </c>
      <c r="AA27" s="280" t="s">
        <v>4078</v>
      </c>
      <c r="AB27" s="273" t="str">
        <f>"以下の項目が入力されていません。"&amp;
IF(UNJC0230_IF_SAVE_CHECK_RESULT&gt;=1,"
行番号："&amp;UNJC0230_IF_SAVE_CHECK_RESULT-ROW(UNJC0230_IF_SAVE_CHECK_START)+1,"")&amp;
"
項目名："&amp;UNJC0230_IF_SAVE_CHECK_ERROR_KOMOKU</f>
        <v>以下の項目が入力されていません。
項目名：</v>
      </c>
      <c r="AC27" s="280"/>
      <c r="AD27" s="280"/>
    </row>
    <row r="28" spans="1:30" ht="16.5">
      <c r="B28" s="1094" t="s">
        <v>4333</v>
      </c>
      <c r="C28" s="1094" t="s">
        <v>4335</v>
      </c>
      <c r="D28" s="1094">
        <f>IF(UNJC0230_B_SURYO_BEFORE+UNJC0230_B_ZAIKO_SURYO-UNJC0230_B_SURYO&lt;0,1,2)</f>
        <v>2</v>
      </c>
      <c r="E28" s="801" t="s">
        <v>4337</v>
      </c>
      <c r="O28" s="1062"/>
      <c r="P28" s="207"/>
      <c r="Q28" s="210" t="s">
        <v>4425</v>
      </c>
      <c r="R28" s="1197"/>
      <c r="T28" s="280"/>
      <c r="U28" s="280"/>
      <c r="V28" s="280"/>
      <c r="X28" s="280"/>
      <c r="Y28" s="280"/>
      <c r="Z28" s="280"/>
      <c r="AA28" s="280"/>
      <c r="AB28" s="280"/>
      <c r="AC28" s="280"/>
      <c r="AD28" s="280"/>
    </row>
    <row r="29" spans="1:30" ht="16.5">
      <c r="B29" s="1094" t="s">
        <v>4334</v>
      </c>
      <c r="C29" s="1094" t="s">
        <v>4336</v>
      </c>
      <c r="D29" s="1094" t="s">
        <v>4340</v>
      </c>
      <c r="O29" s="1829"/>
      <c r="P29" s="1829"/>
      <c r="Q29" s="208" t="s">
        <v>3989</v>
      </c>
      <c r="R29" s="1096"/>
      <c r="U29" s="280"/>
      <c r="V29" s="280"/>
      <c r="Z29" s="280"/>
      <c r="AA29" s="280" t="s">
        <v>4080</v>
      </c>
      <c r="AB29" s="280" t="s">
        <v>4081</v>
      </c>
    </row>
    <row r="30" spans="1:30" ht="16.5">
      <c r="O30" s="1852"/>
      <c r="P30" s="1852"/>
      <c r="Q30" s="208" t="s">
        <v>3993</v>
      </c>
      <c r="R30" s="1096"/>
      <c r="Z30" s="970" t="s">
        <v>1707</v>
      </c>
      <c r="AA30" s="273"/>
      <c r="AB30" s="281"/>
    </row>
    <row r="31" spans="1:30" ht="16.5">
      <c r="A31" s="279" t="s">
        <v>740</v>
      </c>
      <c r="O31" s="1113"/>
      <c r="P31" s="207"/>
      <c r="Q31" s="208" t="s">
        <v>3995</v>
      </c>
      <c r="R31" s="1099"/>
    </row>
    <row r="32" spans="1:30" ht="16.5">
      <c r="B32" s="1094" t="s">
        <v>741</v>
      </c>
      <c r="C32" s="1094" t="s">
        <v>4079</v>
      </c>
      <c r="D32" s="1094" t="str">
        <f ca="1">"試薬出庫入力_"&amp;UNJC0230_IF_REF_NO&amp;"_"&amp;TEXT(NOW(),"YYYYMMDD")</f>
        <v>試薬出庫入力__20170927</v>
      </c>
      <c r="O32" s="207"/>
      <c r="P32" s="207"/>
      <c r="Q32" s="207"/>
      <c r="R32" s="207"/>
    </row>
    <row r="33" spans="14:18" ht="16.5">
      <c r="O33" s="1100"/>
      <c r="P33" s="1853"/>
      <c r="Q33" s="1854"/>
      <c r="R33" s="1855"/>
    </row>
    <row r="34" spans="14:18" ht="16.5">
      <c r="O34" s="1101"/>
      <c r="P34" s="207"/>
      <c r="Q34" s="208" t="s">
        <v>4003</v>
      </c>
      <c r="R34" s="1113"/>
    </row>
    <row r="35" spans="14:18" ht="16.5">
      <c r="O35" s="1113"/>
      <c r="P35" s="207"/>
      <c r="Q35" s="208" t="s">
        <v>4008</v>
      </c>
      <c r="R35" s="1099"/>
    </row>
    <row r="36" spans="14:18" ht="16.5">
      <c r="O36" s="1105"/>
      <c r="P36" s="207"/>
      <c r="Q36" s="780" t="s">
        <v>4007</v>
      </c>
      <c r="R36" s="1099"/>
    </row>
    <row r="37" spans="14:18" ht="16.5">
      <c r="O37" s="207"/>
      <c r="P37" s="207"/>
      <c r="Q37" s="207"/>
      <c r="R37" s="207"/>
    </row>
    <row r="38" spans="14:18" ht="16.5">
      <c r="O38" s="1100"/>
      <c r="P38" s="1853"/>
      <c r="Q38" s="1854"/>
      <c r="R38" s="1855"/>
    </row>
    <row r="39" spans="14:18" ht="16.5">
      <c r="O39" s="1100"/>
      <c r="P39" s="1853"/>
      <c r="Q39" s="1854"/>
      <c r="R39" s="1855"/>
    </row>
    <row r="40" spans="14:18" ht="16.5">
      <c r="O40" s="1856"/>
      <c r="P40" s="1744"/>
      <c r="Q40" s="1744"/>
      <c r="R40" s="1745"/>
    </row>
    <row r="41" spans="14:18" ht="16.5">
      <c r="O41" s="207"/>
      <c r="P41" s="207"/>
      <c r="Q41" s="207"/>
      <c r="R41" s="207"/>
    </row>
    <row r="42" spans="14:18" ht="13.5" customHeight="1">
      <c r="O42" s="1846"/>
      <c r="P42" s="1847"/>
      <c r="Q42" s="1847"/>
      <c r="R42" s="1848"/>
    </row>
    <row r="43" spans="14:18" ht="13.5" customHeight="1">
      <c r="O43" s="1849"/>
      <c r="P43" s="1850"/>
      <c r="Q43" s="1850"/>
      <c r="R43" s="1851"/>
    </row>
    <row r="46" spans="14:18">
      <c r="N46" s="970" t="s">
        <v>472</v>
      </c>
    </row>
    <row r="47" spans="14:18" ht="16.5">
      <c r="N47" s="970" t="s">
        <v>4082</v>
      </c>
      <c r="O47" s="217"/>
      <c r="P47" s="215"/>
      <c r="Q47" s="215"/>
      <c r="R47" s="215"/>
    </row>
    <row r="48" spans="14:18" ht="16.5">
      <c r="O48" s="215"/>
      <c r="P48" s="215"/>
      <c r="Q48" s="215"/>
      <c r="R48" s="215"/>
    </row>
    <row r="49" spans="15:18" ht="16.5">
      <c r="O49" s="217"/>
      <c r="P49" s="215"/>
      <c r="Q49" s="218" t="s">
        <v>4425</v>
      </c>
      <c r="R49" s="219"/>
    </row>
    <row r="50" spans="15:18" ht="16.5">
      <c r="O50" s="1857"/>
      <c r="P50" s="1857"/>
      <c r="Q50" s="216" t="s">
        <v>3989</v>
      </c>
      <c r="R50" s="219"/>
    </row>
    <row r="51" spans="15:18" ht="16.5">
      <c r="O51" s="1857"/>
      <c r="P51" s="1857"/>
      <c r="Q51" s="216" t="s">
        <v>3993</v>
      </c>
      <c r="R51" s="219"/>
    </row>
    <row r="52" spans="15:18" ht="16.5">
      <c r="O52" s="1113"/>
      <c r="P52" s="215"/>
      <c r="Q52" s="216" t="s">
        <v>3995</v>
      </c>
      <c r="R52" s="217"/>
    </row>
    <row r="53" spans="15:18" ht="16.5">
      <c r="O53" s="215"/>
      <c r="P53" s="215"/>
      <c r="Q53" s="215"/>
      <c r="R53" s="215"/>
    </row>
    <row r="54" spans="15:18" ht="16.5">
      <c r="O54" s="1111"/>
      <c r="P54" s="1423"/>
      <c r="Q54" s="1424"/>
      <c r="R54" s="1425"/>
    </row>
    <row r="55" spans="15:18" ht="16.5">
      <c r="O55" s="1112"/>
      <c r="P55" s="215"/>
      <c r="Q55" s="216" t="s">
        <v>4003</v>
      </c>
      <c r="R55" s="1113"/>
    </row>
    <row r="56" spans="15:18" ht="16.5">
      <c r="O56" s="1113"/>
      <c r="P56" s="215"/>
      <c r="Q56" s="216" t="s">
        <v>4008</v>
      </c>
      <c r="R56" s="217"/>
    </row>
    <row r="57" spans="15:18" ht="16.5">
      <c r="O57" s="1113"/>
      <c r="P57" s="215"/>
      <c r="Q57" s="216" t="s">
        <v>4007</v>
      </c>
      <c r="R57" s="217"/>
    </row>
    <row r="58" spans="15:18" ht="16.5">
      <c r="O58" s="215"/>
      <c r="P58" s="215"/>
      <c r="Q58" s="215"/>
      <c r="R58" s="215"/>
    </row>
    <row r="59" spans="15:18" ht="16.5">
      <c r="O59" s="1111"/>
      <c r="P59" s="1423"/>
      <c r="Q59" s="1424"/>
      <c r="R59" s="1425"/>
    </row>
    <row r="60" spans="15:18" ht="16.5">
      <c r="O60" s="1111"/>
      <c r="P60" s="1423"/>
      <c r="Q60" s="1424"/>
      <c r="R60" s="1425"/>
    </row>
    <row r="61" spans="15:18" ht="16.5">
      <c r="O61" s="1430"/>
      <c r="P61" s="1858"/>
      <c r="Q61" s="1858"/>
      <c r="R61" s="1859"/>
    </row>
    <row r="62" spans="15:18" ht="16.5">
      <c r="O62" s="215"/>
      <c r="P62" s="215"/>
      <c r="Q62" s="215"/>
      <c r="R62" s="215"/>
    </row>
    <row r="63" spans="15:18" ht="13.5" customHeight="1">
      <c r="O63" s="1449"/>
      <c r="P63" s="1450"/>
      <c r="Q63" s="1450"/>
      <c r="R63" s="1451"/>
    </row>
    <row r="64" spans="15:18" ht="13.5" customHeight="1">
      <c r="O64" s="1452"/>
      <c r="P64" s="1453"/>
      <c r="Q64" s="1453"/>
      <c r="R64" s="1454"/>
    </row>
    <row r="67" spans="14:18">
      <c r="N67" s="333" t="s">
        <v>4065</v>
      </c>
    </row>
    <row r="68" spans="14:18" ht="16.5">
      <c r="N68" s="970" t="s">
        <v>4083</v>
      </c>
      <c r="O68" s="217"/>
      <c r="P68" s="215"/>
      <c r="Q68" s="215"/>
      <c r="R68" s="215"/>
    </row>
    <row r="69" spans="14:18" ht="16.5">
      <c r="O69" s="215"/>
      <c r="P69" s="215"/>
      <c r="Q69" s="215"/>
      <c r="R69" s="215"/>
    </row>
    <row r="70" spans="14:18" ht="16.5">
      <c r="O70" s="217"/>
      <c r="P70" s="215"/>
      <c r="Q70" s="218" t="s">
        <v>4425</v>
      </c>
      <c r="R70" s="219"/>
    </row>
    <row r="71" spans="14:18" ht="16.5">
      <c r="O71" s="1857"/>
      <c r="P71" s="1857"/>
      <c r="Q71" s="216" t="s">
        <v>3989</v>
      </c>
      <c r="R71" s="219"/>
    </row>
    <row r="72" spans="14:18" ht="16.5">
      <c r="O72" s="1857"/>
      <c r="P72" s="1857"/>
      <c r="Q72" s="216" t="s">
        <v>3993</v>
      </c>
      <c r="R72" s="219"/>
    </row>
    <row r="73" spans="14:18" ht="16.5">
      <c r="O73" s="1113"/>
      <c r="P73" s="215"/>
      <c r="Q73" s="216" t="s">
        <v>3995</v>
      </c>
      <c r="R73" s="217"/>
    </row>
    <row r="74" spans="14:18" ht="16.5">
      <c r="O74" s="215"/>
      <c r="P74" s="215"/>
      <c r="Q74" s="215"/>
      <c r="R74" s="215"/>
    </row>
    <row r="75" spans="14:18" ht="16.5">
      <c r="O75" s="1111"/>
      <c r="P75" s="1423"/>
      <c r="Q75" s="1424"/>
      <c r="R75" s="1425"/>
    </row>
    <row r="76" spans="14:18" ht="16.5">
      <c r="O76" s="1112"/>
      <c r="P76" s="215"/>
      <c r="Q76" s="216" t="s">
        <v>4003</v>
      </c>
      <c r="R76" s="1113"/>
    </row>
    <row r="77" spans="14:18" ht="16.5">
      <c r="O77" s="1113"/>
      <c r="P77" s="215"/>
      <c r="Q77" s="216" t="s">
        <v>4008</v>
      </c>
      <c r="R77" s="217"/>
    </row>
    <row r="78" spans="14:18" ht="16.5">
      <c r="O78" s="1113"/>
      <c r="P78" s="215"/>
      <c r="Q78" s="216" t="s">
        <v>4007</v>
      </c>
      <c r="R78" s="217"/>
    </row>
    <row r="79" spans="14:18" ht="16.5">
      <c r="O79" s="215"/>
      <c r="P79" s="215"/>
      <c r="Q79" s="215"/>
      <c r="R79" s="215"/>
    </row>
    <row r="80" spans="14:18" ht="16.5">
      <c r="O80" s="1111"/>
      <c r="P80" s="1423"/>
      <c r="Q80" s="1424"/>
      <c r="R80" s="1425"/>
    </row>
    <row r="81" spans="15:18" ht="16.5">
      <c r="O81" s="1111"/>
      <c r="P81" s="1423"/>
      <c r="Q81" s="1424"/>
      <c r="R81" s="1425"/>
    </row>
    <row r="82" spans="15:18" ht="16.5">
      <c r="O82" s="1430"/>
      <c r="P82" s="1858"/>
      <c r="Q82" s="1858"/>
      <c r="R82" s="1859"/>
    </row>
    <row r="83" spans="15:18" ht="16.5">
      <c r="O83" s="215"/>
      <c r="P83" s="215"/>
      <c r="Q83" s="215"/>
      <c r="R83" s="215"/>
    </row>
    <row r="84" spans="15:18" ht="13.5" customHeight="1">
      <c r="O84" s="1449"/>
      <c r="P84" s="1450"/>
      <c r="Q84" s="1450"/>
      <c r="R84" s="1451"/>
    </row>
    <row r="85" spans="15:18" ht="13.5" customHeight="1">
      <c r="O85" s="1452"/>
      <c r="P85" s="1453"/>
      <c r="Q85" s="1453"/>
      <c r="R85" s="1454"/>
    </row>
  </sheetData>
  <mergeCells count="29">
    <mergeCell ref="P75:R75"/>
    <mergeCell ref="P80:R80"/>
    <mergeCell ref="P81:R81"/>
    <mergeCell ref="O82:R82"/>
    <mergeCell ref="O84:R85"/>
    <mergeCell ref="O72:P72"/>
    <mergeCell ref="P39:R39"/>
    <mergeCell ref="O40:R40"/>
    <mergeCell ref="O42:R43"/>
    <mergeCell ref="O50:P50"/>
    <mergeCell ref="O51:P51"/>
    <mergeCell ref="P54:R54"/>
    <mergeCell ref="P59:R59"/>
    <mergeCell ref="P60:R60"/>
    <mergeCell ref="O61:R61"/>
    <mergeCell ref="O63:R64"/>
    <mergeCell ref="O71:P71"/>
    <mergeCell ref="P38:R38"/>
    <mergeCell ref="O7:P7"/>
    <mergeCell ref="O8:P8"/>
    <mergeCell ref="P11:R11"/>
    <mergeCell ref="Z11:AA11"/>
    <mergeCell ref="P16:R16"/>
    <mergeCell ref="P17:R17"/>
    <mergeCell ref="O18:R18"/>
    <mergeCell ref="O20:R21"/>
    <mergeCell ref="O29:P29"/>
    <mergeCell ref="O30:P30"/>
    <mergeCell ref="P33:R33"/>
  </mergeCells>
  <phoneticPr fontId="2"/>
  <conditionalFormatting sqref="O14">
    <cfRule type="expression" dxfId="130" priority="20">
      <formula>INDIRECT(ADDRESS(ROW(),COLUMN()))=TRUNC(INDIRECT(ADDRESS(ROW(),COLUMN())))</formula>
    </cfRule>
  </conditionalFormatting>
  <conditionalFormatting sqref="O14">
    <cfRule type="expression" dxfId="129" priority="19">
      <formula>INDIRECT(ADDRESS(ROW(),COLUMN(UNKB0020_B_STS_CD)))&gt;UNKB0020_IF_STS_LIMIT</formula>
    </cfRule>
  </conditionalFormatting>
  <conditionalFormatting sqref="R12">
    <cfRule type="expression" dxfId="128" priority="18">
      <formula>INDIRECT(ADDRESS(ROW(),COLUMN()))=TRUNC(INDIRECT(ADDRESS(ROW(),COLUMN())))</formula>
    </cfRule>
  </conditionalFormatting>
  <conditionalFormatting sqref="O9">
    <cfRule type="expression" dxfId="127" priority="17">
      <formula>INDIRECT(ADDRESS(ROW(),COLUMN()))=TRUNC(INDIRECT(ADDRESS(ROW(),COLUMN())))</formula>
    </cfRule>
  </conditionalFormatting>
  <conditionalFormatting sqref="O13">
    <cfRule type="expression" dxfId="126" priority="16">
      <formula>INDIRECT(ADDRESS(ROW(),COLUMN()))=TRUNC(INDIRECT(ADDRESS(ROW(),COLUMN())))</formula>
    </cfRule>
  </conditionalFormatting>
  <conditionalFormatting sqref="O36">
    <cfRule type="expression" dxfId="125" priority="15">
      <formula>INDIRECT(ADDRESS(ROW(),COLUMN()))=TRUNC(INDIRECT(ADDRESS(ROW(),COLUMN())))</formula>
    </cfRule>
  </conditionalFormatting>
  <conditionalFormatting sqref="O36">
    <cfRule type="expression" dxfId="124" priority="14">
      <formula>INDIRECT(ADDRESS(ROW(),COLUMN(UNKB0020_B_STS_CD)))&gt;UNKB0020_IF_STS_LIMIT</formula>
    </cfRule>
  </conditionalFormatting>
  <conditionalFormatting sqref="R34">
    <cfRule type="expression" dxfId="123" priority="13">
      <formula>INDIRECT(ADDRESS(ROW(),COLUMN()))=TRUNC(INDIRECT(ADDRESS(ROW(),COLUMN())))</formula>
    </cfRule>
  </conditionalFormatting>
  <conditionalFormatting sqref="O31">
    <cfRule type="expression" dxfId="122" priority="12">
      <formula>INDIRECT(ADDRESS(ROW(),COLUMN()))=TRUNC(INDIRECT(ADDRESS(ROW(),COLUMN())))</formula>
    </cfRule>
  </conditionalFormatting>
  <conditionalFormatting sqref="O35">
    <cfRule type="expression" dxfId="121" priority="11">
      <formula>INDIRECT(ADDRESS(ROW(),COLUMN()))=TRUNC(INDIRECT(ADDRESS(ROW(),COLUMN())))</formula>
    </cfRule>
  </conditionalFormatting>
  <conditionalFormatting sqref="O57">
    <cfRule type="expression" dxfId="120" priority="10">
      <formula>INDIRECT(ADDRESS(ROW(),COLUMN()))=TRUNC(INDIRECT(ADDRESS(ROW(),COLUMN())))</formula>
    </cfRule>
  </conditionalFormatting>
  <conditionalFormatting sqref="O57">
    <cfRule type="expression" dxfId="119" priority="9">
      <formula>INDIRECT(ADDRESS(ROW(),COLUMN(UNKB0020_B_STS_CD)))&gt;UNKB0020_IF_STS_LIMIT</formula>
    </cfRule>
  </conditionalFormatting>
  <conditionalFormatting sqref="R55">
    <cfRule type="expression" dxfId="118" priority="8">
      <formula>INDIRECT(ADDRESS(ROW(),COLUMN()))=TRUNC(INDIRECT(ADDRESS(ROW(),COLUMN())))</formula>
    </cfRule>
  </conditionalFormatting>
  <conditionalFormatting sqref="O52">
    <cfRule type="expression" dxfId="117" priority="7">
      <formula>INDIRECT(ADDRESS(ROW(),COLUMN()))=TRUNC(INDIRECT(ADDRESS(ROW(),COLUMN())))</formula>
    </cfRule>
  </conditionalFormatting>
  <conditionalFormatting sqref="O56">
    <cfRule type="expression" dxfId="116" priority="6">
      <formula>INDIRECT(ADDRESS(ROW(),COLUMN()))=TRUNC(INDIRECT(ADDRESS(ROW(),COLUMN())))</formula>
    </cfRule>
  </conditionalFormatting>
  <conditionalFormatting sqref="O78">
    <cfRule type="expression" dxfId="115" priority="5">
      <formula>INDIRECT(ADDRESS(ROW(),COLUMN()))=TRUNC(INDIRECT(ADDRESS(ROW(),COLUMN())))</formula>
    </cfRule>
  </conditionalFormatting>
  <conditionalFormatting sqref="O78">
    <cfRule type="expression" dxfId="114" priority="4">
      <formula>INDIRECT(ADDRESS(ROW(),COLUMN(UNKB0020_B_STS_CD)))&gt;UNKB0020_IF_STS_LIMIT</formula>
    </cfRule>
  </conditionalFormatting>
  <conditionalFormatting sqref="R76">
    <cfRule type="expression" dxfId="113" priority="3">
      <formula>INDIRECT(ADDRESS(ROW(),COLUMN()))=TRUNC(INDIRECT(ADDRESS(ROW(),COLUMN())))</formula>
    </cfRule>
  </conditionalFormatting>
  <conditionalFormatting sqref="O73">
    <cfRule type="expression" dxfId="112" priority="2">
      <formula>INDIRECT(ADDRESS(ROW(),COLUMN()))=TRUNC(INDIRECT(ADDRESS(ROW(),COLUMN())))</formula>
    </cfRule>
  </conditionalFormatting>
  <conditionalFormatting sqref="O77">
    <cfRule type="expression" dxfId="111" priority="1">
      <formula>INDIRECT(ADDRESS(ROW(),COLUMN()))=TRUNC(INDIRECT(ADDRESS(ROW(),COLUMN())))</formula>
    </cfRule>
  </conditionalFormatting>
  <dataValidations count="6">
    <dataValidation type="custom" allowBlank="1" showInputMessage="1" showErrorMessage="1" sqref="O6 O49 O28 O70">
      <formula1>AND(LEN(UNJC0230_B_JURI_NO)=LENB(UNJC0230_B_JURI_NO),LEN(UNJC0230_B_JURI_NO)=10)</formula1>
    </dataValidation>
    <dataValidation type="custom" allowBlank="1" showInputMessage="1" showErrorMessage="1" sqref="O20:R21 O63:R64 O42:R43 O84:R85">
      <formula1>LENB(O20)&lt;=100</formula1>
    </dataValidation>
    <dataValidation type="custom" allowBlank="1" showInputMessage="1" showErrorMessage="1" sqref="L5 L20 L10 L15">
      <formula1>AND(LEN(UNJC0230_H_ZAIKO_NO)=LENB(UNJC0230_H_ZAIKO_NO),LEN(UNJC0230_H_ZAIKO_NO)=10)</formula1>
    </dataValidation>
    <dataValidation type="whole" allowBlank="1" showInputMessage="1" showErrorMessage="1" sqref="O57 O14 O36 O78">
      <formula1>0</formula1>
      <formula2>1</formula2>
    </dataValidation>
    <dataValidation type="custom" allowBlank="1" showInputMessage="1" showErrorMessage="1" sqref="R12 O9 O13 R34 O31 O35 R55 O52 O56 R76 O73 O77">
      <formula1>AND(NOT(ISERROR(INT(O9))),ROUND(O9,2)=O9,AND(O9&lt;100000,O9&gt;-100000))</formula1>
    </dataValidation>
    <dataValidation type="date" allowBlank="1" showInputMessage="1" showErrorMessage="1" sqref="R6 R28">
      <formula1>36526</formula1>
      <formula2>73415</formula2>
    </dataValidation>
  </dataValidation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B2:H22"/>
  <sheetViews>
    <sheetView zoomScale="85" zoomScaleNormal="85" workbookViewId="0">
      <selection activeCell="F37" sqref="F37"/>
    </sheetView>
  </sheetViews>
  <sheetFormatPr defaultRowHeight="15" customHeight="1"/>
  <cols>
    <col min="1" max="1" width="9" style="970"/>
    <col min="2" max="2" width="3.5" style="970" customWidth="1"/>
    <col min="3" max="3" width="3.125" style="970" customWidth="1"/>
    <col min="4" max="4" width="25.125" style="970" bestFit="1" customWidth="1"/>
    <col min="5" max="5" width="4.375" style="970" customWidth="1"/>
    <col min="6" max="6" width="82.5" style="970" bestFit="1" customWidth="1"/>
    <col min="7" max="7" width="4" style="970" customWidth="1"/>
    <col min="8" max="8" width="40.375" style="970" bestFit="1" customWidth="1"/>
    <col min="9" max="16384" width="9" style="970"/>
  </cols>
  <sheetData>
    <row r="2" spans="2:8" ht="15" customHeight="1">
      <c r="B2" s="1810" t="s">
        <v>3952</v>
      </c>
      <c r="C2" s="1810"/>
      <c r="D2" s="1813"/>
      <c r="E2" s="1059"/>
      <c r="F2" s="1114"/>
      <c r="G2" s="1114"/>
      <c r="H2" s="709" t="s">
        <v>3953</v>
      </c>
    </row>
    <row r="3" spans="2:8" ht="15" customHeight="1">
      <c r="B3" s="1115"/>
      <c r="C3" s="1862" t="s">
        <v>3952</v>
      </c>
      <c r="D3" s="1863"/>
      <c r="E3" s="1057"/>
      <c r="F3" s="1116" t="str">
        <f>IF(UNJC0230_IF_MODE=1,$F$4,$F$8)</f>
        <v>SELECT *
  FROM V_SHIYAKU_SHUKKO_DATA_SANSHO
 WHERE NYUSHUKKO_NO = ''</v>
      </c>
      <c r="G3" s="842"/>
      <c r="H3" s="1117" t="s">
        <v>4084</v>
      </c>
    </row>
    <row r="4" spans="2:8" ht="15" customHeight="1">
      <c r="B4" s="843"/>
      <c r="C4" s="1864" t="s">
        <v>4085</v>
      </c>
      <c r="D4" s="1865"/>
      <c r="E4" s="1058"/>
      <c r="F4" s="1118" t="str">
        <f>F5&amp;F6&amp;F7</f>
        <v>SELECT *
  FROM V_SHIYAKU_SHUKKO_DATA_SHINKI
 WHERE ZAIKO_NO = ''</v>
      </c>
      <c r="G4" s="844"/>
      <c r="H4" s="845" t="s">
        <v>484</v>
      </c>
    </row>
    <row r="5" spans="2:8" ht="15" customHeight="1">
      <c r="B5" s="843"/>
      <c r="C5" s="851"/>
      <c r="D5" s="848" t="s">
        <v>1426</v>
      </c>
      <c r="E5" s="848"/>
      <c r="F5" s="1118" t="s">
        <v>3956</v>
      </c>
      <c r="G5" s="844"/>
      <c r="H5" s="845" t="s">
        <v>484</v>
      </c>
    </row>
    <row r="6" spans="2:8" ht="15" customHeight="1">
      <c r="B6" s="843"/>
      <c r="C6" s="851"/>
      <c r="D6" s="848" t="s">
        <v>2464</v>
      </c>
      <c r="E6" s="1119"/>
      <c r="F6" s="1118" t="s">
        <v>4086</v>
      </c>
      <c r="G6" s="844"/>
      <c r="H6" s="845" t="s">
        <v>484</v>
      </c>
    </row>
    <row r="7" spans="2:8" ht="15" customHeight="1">
      <c r="B7" s="843"/>
      <c r="C7" s="851"/>
      <c r="D7" s="848" t="s">
        <v>2465</v>
      </c>
      <c r="E7" s="848"/>
      <c r="F7" s="1118" t="str">
        <f>" WHERE ZAIKO_NO = '"&amp;UNJC0230_IF_REF_NO&amp;"'"</f>
        <v xml:space="preserve"> WHERE ZAIKO_NO = ''</v>
      </c>
      <c r="G7" s="844"/>
      <c r="H7" s="845" t="s">
        <v>484</v>
      </c>
    </row>
    <row r="8" spans="2:8" ht="15" customHeight="1">
      <c r="B8" s="843"/>
      <c r="C8" s="1864" t="s">
        <v>4087</v>
      </c>
      <c r="D8" s="1865"/>
      <c r="E8" s="1058"/>
      <c r="F8" s="1118" t="str">
        <f>F9&amp;F10&amp;F11</f>
        <v>SELECT *
  FROM V_SHIYAKU_SHUKKO_DATA_SANSHO
 WHERE NYUSHUKKO_NO = ''</v>
      </c>
      <c r="G8" s="844"/>
      <c r="H8" s="845" t="s">
        <v>484</v>
      </c>
    </row>
    <row r="9" spans="2:8" ht="15" customHeight="1">
      <c r="B9" s="843"/>
      <c r="C9" s="851"/>
      <c r="D9" s="848" t="s">
        <v>1426</v>
      </c>
      <c r="E9" s="848"/>
      <c r="F9" s="1118" t="s">
        <v>3956</v>
      </c>
      <c r="G9" s="844"/>
      <c r="H9" s="845" t="s">
        <v>484</v>
      </c>
    </row>
    <row r="10" spans="2:8" ht="15" customHeight="1">
      <c r="B10" s="843"/>
      <c r="C10" s="851"/>
      <c r="D10" s="848" t="s">
        <v>2464</v>
      </c>
      <c r="E10" s="848"/>
      <c r="F10" s="1118" t="s">
        <v>4088</v>
      </c>
      <c r="G10" s="844"/>
      <c r="H10" s="845" t="s">
        <v>484</v>
      </c>
    </row>
    <row r="11" spans="2:8" ht="15" customHeight="1">
      <c r="B11" s="843"/>
      <c r="C11" s="851"/>
      <c r="D11" s="848" t="s">
        <v>2465</v>
      </c>
      <c r="E11" s="848"/>
      <c r="F11" s="1118" t="str">
        <f>" WHERE NYUSHUKKO_NO = '"&amp;UNJC0230_IF_REF_NO&amp;"'"</f>
        <v xml:space="preserve"> WHERE NYUSHUKKO_NO = ''</v>
      </c>
      <c r="G11" s="844"/>
      <c r="H11" s="845" t="s">
        <v>484</v>
      </c>
    </row>
    <row r="12" spans="2:8" ht="15" customHeight="1">
      <c r="B12" s="843"/>
      <c r="C12" s="1862" t="s">
        <v>3952</v>
      </c>
      <c r="D12" s="1866"/>
      <c r="E12" s="1060"/>
      <c r="F12" s="1116" t="str">
        <f>F13&amp;F14</f>
        <v>SELECT COUNT(*) AS CNT
  FROM V_SHIYAKU_SHUKKO_DATA_SHINKI
 WHERE ZAIKO_NO = ''</v>
      </c>
      <c r="G12" s="842"/>
      <c r="H12" s="709" t="s">
        <v>4089</v>
      </c>
    </row>
    <row r="13" spans="2:8" ht="15" customHeight="1">
      <c r="B13" s="843"/>
      <c r="C13" s="851"/>
      <c r="D13" s="848" t="s">
        <v>1426</v>
      </c>
      <c r="E13" s="848"/>
      <c r="F13" s="1118" t="s">
        <v>4090</v>
      </c>
      <c r="G13" s="844"/>
      <c r="H13" s="845" t="s">
        <v>484</v>
      </c>
    </row>
    <row r="14" spans="2:8" ht="15" customHeight="1">
      <c r="B14" s="846"/>
      <c r="C14" s="851"/>
      <c r="D14" s="848" t="s">
        <v>2465</v>
      </c>
      <c r="E14" s="848"/>
      <c r="F14" s="1118" t="str">
        <f>" WHERE ZAIKO_NO = '"&amp;UNJC0230_IF_REF_NO&amp;"'"</f>
        <v xml:space="preserve"> WHERE ZAIKO_NO = ''</v>
      </c>
      <c r="G14" s="844"/>
      <c r="H14" s="845" t="s">
        <v>484</v>
      </c>
    </row>
    <row r="17" spans="2:8" ht="15" customHeight="1">
      <c r="B17" s="1810" t="s">
        <v>4091</v>
      </c>
      <c r="C17" s="1810"/>
      <c r="D17" s="1810"/>
      <c r="E17" s="1056"/>
      <c r="F17" s="842"/>
      <c r="G17" s="842"/>
      <c r="H17" s="709" t="s">
        <v>3953</v>
      </c>
    </row>
    <row r="18" spans="2:8" ht="15" customHeight="1">
      <c r="B18" s="846"/>
      <c r="C18" s="1860" t="s">
        <v>4092</v>
      </c>
      <c r="D18" s="1861"/>
      <c r="E18" s="1120"/>
      <c r="F18" s="844" t="str">
        <f>"EXEC SP_SAVE_T_SHUKKO '"&amp;UNJC0230_IF_W_USER_ID&amp;"','"&amp;UNJC0230_IF_W_SERIAL&amp;"',"&amp;UNJC0230_IF_W_MODE&amp;",'"&amp;UNJC0230_IF_REF_NO&amp;"',"&amp;IF(UNJC0230_B_SURYO="",0,UNJC0230_B_SURYO)</f>
        <v>EXEC SP_SAVE_T_SHUKKO '','',1,'',0</v>
      </c>
      <c r="G18" s="844"/>
      <c r="H18" s="845" t="s">
        <v>4093</v>
      </c>
    </row>
    <row r="21" spans="2:8" ht="15" customHeight="1">
      <c r="B21" s="1810" t="s">
        <v>3975</v>
      </c>
      <c r="C21" s="1810"/>
      <c r="D21" s="1810"/>
      <c r="E21" s="1056"/>
      <c r="F21" s="842"/>
      <c r="G21" s="842"/>
      <c r="H21" s="709" t="s">
        <v>3953</v>
      </c>
    </row>
    <row r="22" spans="2:8" ht="15" customHeight="1">
      <c r="B22" s="843"/>
      <c r="C22" s="1860" t="s">
        <v>4094</v>
      </c>
      <c r="D22" s="1861"/>
      <c r="E22" s="1120"/>
      <c r="F22" s="1118" t="str">
        <f>"SELECT SHAIN_CD
      ,SHIMEI
  FROM M_SHAIN
 WHERE SHAIN_CD = '"&amp;UNJC0230_IF_W_USER_ID&amp;"'"</f>
        <v>SELECT SHAIN_CD
      ,SHIMEI
  FROM M_SHAIN
 WHERE SHAIN_CD = ''</v>
      </c>
      <c r="G22" s="844"/>
      <c r="H22" s="845" t="s">
        <v>4095</v>
      </c>
    </row>
  </sheetData>
  <mergeCells count="9">
    <mergeCell ref="C18:D18"/>
    <mergeCell ref="B21:D21"/>
    <mergeCell ref="C22:D22"/>
    <mergeCell ref="B2:D2"/>
    <mergeCell ref="C3:D3"/>
    <mergeCell ref="C4:D4"/>
    <mergeCell ref="C8:D8"/>
    <mergeCell ref="C12:D12"/>
    <mergeCell ref="B17:D17"/>
  </mergeCells>
  <phoneticPr fontId="2"/>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tabColor rgb="FFFFC000"/>
  </sheetPr>
  <dimension ref="A1:M35"/>
  <sheetViews>
    <sheetView showGridLines="0" showRowColHeaders="0" topLeftCell="F1" workbookViewId="0">
      <selection activeCell="H3" sqref="H3"/>
    </sheetView>
  </sheetViews>
  <sheetFormatPr defaultColWidth="3.375" defaultRowHeight="16.5"/>
  <cols>
    <col min="1" max="1" width="9.25" style="1136" hidden="1" customWidth="1"/>
    <col min="2" max="2" width="26.625" style="1136" hidden="1" customWidth="1"/>
    <col min="3" max="3" width="38.375" style="1136" hidden="1" customWidth="1"/>
    <col min="4" max="4" width="12.25" style="1136" hidden="1" customWidth="1"/>
    <col min="5" max="5" width="8.875" style="1136" hidden="1" customWidth="1"/>
    <col min="6" max="6" width="3.375" style="207"/>
    <col min="7" max="7" width="11.375" style="207" customWidth="1"/>
    <col min="8" max="8" width="13.5" style="207" customWidth="1"/>
    <col min="9" max="9" width="3.375" style="207"/>
    <col min="10" max="10" width="13.5" style="207" customWidth="1"/>
    <col min="11" max="11" width="3.375" style="207"/>
    <col min="12" max="12" width="13.5" style="207" customWidth="1"/>
    <col min="13" max="16384" width="3.375" style="207"/>
  </cols>
  <sheetData>
    <row r="1" spans="1:13" s="73" customFormat="1" ht="19.5">
      <c r="A1" s="1136"/>
      <c r="B1" s="1136"/>
      <c r="C1" s="1136"/>
      <c r="D1" s="1136"/>
      <c r="E1" s="1136"/>
      <c r="F1" s="73" t="s">
        <v>4098</v>
      </c>
    </row>
    <row r="2" spans="1:13">
      <c r="B2" s="1130" t="s">
        <v>3197</v>
      </c>
      <c r="C2" s="1130" t="s">
        <v>4099</v>
      </c>
      <c r="D2" s="1130"/>
    </row>
    <row r="3" spans="1:13">
      <c r="B3" s="1130" t="s">
        <v>2257</v>
      </c>
      <c r="C3" s="1130" t="s">
        <v>4100</v>
      </c>
      <c r="D3" s="1130" t="str">
        <f>ADDRESS(ROW(A1),COLUMN(A1))&amp;":"&amp;ADDRESS(ROW(E1),COLUMN(E1))</f>
        <v>$A$1:$E$1</v>
      </c>
      <c r="G3" s="208" t="s">
        <v>3837</v>
      </c>
      <c r="H3" s="1125"/>
      <c r="I3" s="1341" t="str">
        <f>IF(UNJC0240_H_KOBAIHIN_CD="","",UNJC0240_H_KOBAIHIN_MEI)</f>
        <v/>
      </c>
      <c r="J3" s="1790"/>
      <c r="K3" s="1790"/>
      <c r="L3" s="1790"/>
      <c r="M3" s="1791"/>
    </row>
    <row r="4" spans="1:13">
      <c r="G4" s="208" t="s">
        <v>72</v>
      </c>
      <c r="H4" s="1125"/>
      <c r="I4" s="1341" t="str">
        <f>IF(UNJC0240_H_SHIIRESAKI_CD="","",UNJC0240_H_SHIIRESAKI_MEI)</f>
        <v/>
      </c>
      <c r="J4" s="1790"/>
      <c r="K4" s="1790"/>
      <c r="L4" s="1790"/>
      <c r="M4" s="1791"/>
    </row>
    <row r="5" spans="1:13">
      <c r="B5" s="1137" t="s">
        <v>2220</v>
      </c>
      <c r="D5" s="1138" t="s">
        <v>4101</v>
      </c>
      <c r="G5" s="208" t="s">
        <v>73</v>
      </c>
      <c r="H5" s="1125"/>
      <c r="I5" s="1341" t="str">
        <f>IF(UNJC0240_H_MAKER_CD="","",UNJC0240_H_MAKER_MEI)</f>
        <v/>
      </c>
      <c r="J5" s="1790"/>
      <c r="K5" s="1790"/>
      <c r="L5" s="1790"/>
      <c r="M5" s="1791"/>
    </row>
    <row r="6" spans="1:13">
      <c r="B6" s="1139" t="s">
        <v>1691</v>
      </c>
      <c r="C6" s="1139" t="s">
        <v>4102</v>
      </c>
      <c r="D6" s="1140" t="s">
        <v>2225</v>
      </c>
      <c r="G6" s="208" t="s">
        <v>4103</v>
      </c>
      <c r="H6" s="1829"/>
      <c r="I6" s="1829"/>
      <c r="J6" s="1829"/>
    </row>
    <row r="7" spans="1:13">
      <c r="B7" s="1141" t="s">
        <v>4104</v>
      </c>
      <c r="C7" s="1142" t="s">
        <v>4105</v>
      </c>
      <c r="D7" s="1143"/>
    </row>
    <row r="8" spans="1:13">
      <c r="B8" s="1144" t="s">
        <v>4106</v>
      </c>
      <c r="C8" s="1145" t="s">
        <v>4107</v>
      </c>
      <c r="D8" s="1146"/>
      <c r="G8" s="208" t="s">
        <v>4427</v>
      </c>
      <c r="H8" s="1198"/>
      <c r="I8" s="1061" t="s">
        <v>4323</v>
      </c>
      <c r="J8" s="1198"/>
    </row>
    <row r="9" spans="1:13">
      <c r="B9" s="1144" t="s">
        <v>61</v>
      </c>
      <c r="C9" s="1145" t="s">
        <v>4108</v>
      </c>
      <c r="D9" s="1146"/>
      <c r="G9" s="208" t="s">
        <v>4428</v>
      </c>
      <c r="H9" s="1198"/>
      <c r="I9" s="1061" t="s">
        <v>4323</v>
      </c>
      <c r="J9" s="1198"/>
    </row>
    <row r="10" spans="1:13">
      <c r="B10" s="1144" t="s">
        <v>4109</v>
      </c>
      <c r="C10" s="1147" t="s">
        <v>4110</v>
      </c>
      <c r="D10" s="1148"/>
      <c r="K10" s="208"/>
    </row>
    <row r="11" spans="1:13">
      <c r="B11" s="1144" t="s">
        <v>4346</v>
      </c>
      <c r="C11" s="1147" t="s">
        <v>4347</v>
      </c>
      <c r="D11" s="1167" t="b">
        <v>0</v>
      </c>
      <c r="G11" s="208" t="s">
        <v>4112</v>
      </c>
      <c r="H11" s="204"/>
      <c r="I11" s="77" t="str">
        <f>IF(UNJC0240_H_FREEWD_KBN=1,"AND",IF(UNJC0240_H_FREEWD_KBN=2,"OR","NAND"))</f>
        <v>AND</v>
      </c>
      <c r="J11" s="204"/>
      <c r="K11" s="77" t="str">
        <f>UNJC0240_H_FREEWD_KBN_DISP</f>
        <v>AND</v>
      </c>
      <c r="L11" s="204"/>
    </row>
    <row r="12" spans="1:13" ht="17.25" thickBot="1">
      <c r="B12" s="1144" t="s">
        <v>163</v>
      </c>
      <c r="C12" s="1147" t="s">
        <v>4111</v>
      </c>
      <c r="D12" s="1149">
        <v>1</v>
      </c>
    </row>
    <row r="15" spans="1:13">
      <c r="B15" s="1830" t="s">
        <v>2219</v>
      </c>
      <c r="C15" s="1830"/>
    </row>
    <row r="16" spans="1:13">
      <c r="B16" s="1150" t="s">
        <v>2222</v>
      </c>
      <c r="C16" s="1150" t="s">
        <v>2784</v>
      </c>
      <c r="D16" s="1150" t="s">
        <v>2223</v>
      </c>
    </row>
    <row r="17" spans="2:4">
      <c r="B17" s="1144" t="s">
        <v>3962</v>
      </c>
      <c r="C17" s="1144" t="s">
        <v>4113</v>
      </c>
      <c r="D17" s="1151"/>
    </row>
    <row r="18" spans="2:4">
      <c r="B18" s="1144" t="s">
        <v>3856</v>
      </c>
      <c r="C18" s="1144" t="s">
        <v>4114</v>
      </c>
      <c r="D18" s="1151"/>
    </row>
    <row r="19" spans="2:4">
      <c r="B19" s="1144" t="s">
        <v>64</v>
      </c>
      <c r="C19" s="1144" t="s">
        <v>4115</v>
      </c>
      <c r="D19" s="1151"/>
    </row>
    <row r="20" spans="2:4">
      <c r="B20" s="1144" t="s">
        <v>23</v>
      </c>
      <c r="C20" s="1144" t="s">
        <v>4116</v>
      </c>
      <c r="D20" s="1151"/>
    </row>
    <row r="21" spans="2:4">
      <c r="B21" s="1144" t="s">
        <v>3860</v>
      </c>
      <c r="C21" s="1144" t="s">
        <v>4117</v>
      </c>
      <c r="D21" s="1151"/>
    </row>
    <row r="22" spans="2:4">
      <c r="B22" s="1144" t="s">
        <v>61</v>
      </c>
      <c r="C22" s="1144" t="s">
        <v>4118</v>
      </c>
      <c r="D22" s="1151"/>
    </row>
    <row r="23" spans="2:4">
      <c r="B23" s="1144" t="s">
        <v>3844</v>
      </c>
      <c r="C23" s="1144" t="s">
        <v>4119</v>
      </c>
      <c r="D23" s="1151"/>
    </row>
    <row r="24" spans="2:4">
      <c r="B24" s="1144" t="s">
        <v>3866</v>
      </c>
      <c r="C24" s="1144" t="s">
        <v>4120</v>
      </c>
      <c r="D24" s="1151"/>
    </row>
    <row r="25" spans="2:4">
      <c r="B25" s="1144" t="s">
        <v>4121</v>
      </c>
      <c r="C25" s="1144" t="s">
        <v>4122</v>
      </c>
      <c r="D25" s="1152"/>
    </row>
    <row r="26" spans="2:4">
      <c r="B26" s="1144" t="s">
        <v>4123</v>
      </c>
      <c r="C26" s="1144" t="s">
        <v>4124</v>
      </c>
      <c r="D26" s="1152"/>
    </row>
    <row r="27" spans="2:4">
      <c r="B27" s="1144" t="s">
        <v>4125</v>
      </c>
      <c r="C27" s="1144" t="s">
        <v>4126</v>
      </c>
      <c r="D27" s="1152"/>
    </row>
    <row r="28" spans="2:4">
      <c r="B28" s="1144" t="s">
        <v>4127</v>
      </c>
      <c r="C28" s="1144" t="s">
        <v>4128</v>
      </c>
      <c r="D28" s="1152"/>
    </row>
    <row r="29" spans="2:4">
      <c r="B29" s="1144" t="s">
        <v>4346</v>
      </c>
      <c r="C29" s="1144" t="s">
        <v>4349</v>
      </c>
      <c r="D29" s="1152"/>
    </row>
    <row r="30" spans="2:4">
      <c r="B30" s="1130" t="s">
        <v>2823</v>
      </c>
      <c r="C30" s="1130" t="s">
        <v>4129</v>
      </c>
      <c r="D30" s="1151"/>
    </row>
    <row r="31" spans="2:4">
      <c r="B31" s="1130" t="s">
        <v>2282</v>
      </c>
      <c r="C31" s="1130" t="s">
        <v>4130</v>
      </c>
      <c r="D31" s="1151"/>
    </row>
    <row r="32" spans="2:4">
      <c r="B32" s="1130" t="s">
        <v>2284</v>
      </c>
      <c r="C32" s="1130" t="s">
        <v>4131</v>
      </c>
      <c r="D32" s="1151"/>
    </row>
    <row r="33" spans="2:4">
      <c r="B33" s="1144" t="s">
        <v>163</v>
      </c>
      <c r="C33" s="1144" t="s">
        <v>4132</v>
      </c>
      <c r="D33" s="1151"/>
    </row>
    <row r="35" spans="2:4">
      <c r="B35" s="376"/>
      <c r="C35" s="376"/>
      <c r="D35" s="376"/>
    </row>
  </sheetData>
  <sheetProtection sheet="1" objects="1" scenarios="1" selectLockedCells="1"/>
  <mergeCells count="5">
    <mergeCell ref="I3:M3"/>
    <mergeCell ref="I4:M4"/>
    <mergeCell ref="I5:M5"/>
    <mergeCell ref="H6:J6"/>
    <mergeCell ref="B15:C15"/>
  </mergeCells>
  <phoneticPr fontId="2"/>
  <dataValidations count="3">
    <dataValidation type="custom" allowBlank="1" showInputMessage="1" showErrorMessage="1" sqref="H6:J6">
      <formula1>AND(LEN(H6)=LENB(H6),LEN(H6)=20)</formula1>
    </dataValidation>
    <dataValidation type="custom" allowBlank="1" showInputMessage="1" showErrorMessage="1" sqref="H3:H5">
      <formula1>AND(LEN(H3)=LENB(H3),LEN(H3)=10)</formula1>
    </dataValidation>
    <dataValidation type="date" allowBlank="1" showInputMessage="1" showErrorMessage="1" sqref="H8 H9 J9 J8">
      <formula1>36526</formula1>
      <formula2>73415</formula2>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12513" r:id="rId4" name="Button 1">
              <controlPr defaultSize="0" print="0" autoFill="0" autoPict="0" macro="[0]!UNJC0240_SearchDataCopy">
                <anchor moveWithCells="1" sizeWithCells="1">
                  <from>
                    <xdr:col>2</xdr:col>
                    <xdr:colOff>676275</xdr:colOff>
                    <xdr:row>13</xdr:row>
                    <xdr:rowOff>47625</xdr:rowOff>
                  </from>
                  <to>
                    <xdr:col>2</xdr:col>
                    <xdr:colOff>1619250</xdr:colOff>
                    <xdr:row>14</xdr:row>
                    <xdr:rowOff>142875</xdr:rowOff>
                  </to>
                </anchor>
              </controlPr>
            </control>
          </mc:Choice>
        </mc:AlternateContent>
        <mc:AlternateContent xmlns:mc="http://schemas.openxmlformats.org/markup-compatibility/2006">
          <mc:Choice Requires="x14">
            <control shapeId="2112514" r:id="rId5" name="Option Button 2">
              <controlPr defaultSize="0" autoFill="0" autoLine="0" autoPict="0">
                <anchor moveWithCells="1">
                  <from>
                    <xdr:col>12</xdr:col>
                    <xdr:colOff>228600</xdr:colOff>
                    <xdr:row>9</xdr:row>
                    <xdr:rowOff>228600</xdr:rowOff>
                  </from>
                  <to>
                    <xdr:col>14</xdr:col>
                    <xdr:colOff>228600</xdr:colOff>
                    <xdr:row>11</xdr:row>
                    <xdr:rowOff>57150</xdr:rowOff>
                  </to>
                </anchor>
              </controlPr>
            </control>
          </mc:Choice>
        </mc:AlternateContent>
        <mc:AlternateContent xmlns:mc="http://schemas.openxmlformats.org/markup-compatibility/2006">
          <mc:Choice Requires="x14">
            <control shapeId="2112515" r:id="rId6" name="Option Button 3">
              <controlPr defaultSize="0" autoFill="0" autoLine="0" autoPict="0">
                <anchor moveWithCells="1">
                  <from>
                    <xdr:col>15</xdr:col>
                    <xdr:colOff>28575</xdr:colOff>
                    <xdr:row>10</xdr:row>
                    <xdr:rowOff>0</xdr:rowOff>
                  </from>
                  <to>
                    <xdr:col>16</xdr:col>
                    <xdr:colOff>190500</xdr:colOff>
                    <xdr:row>11</xdr:row>
                    <xdr:rowOff>38100</xdr:rowOff>
                  </to>
                </anchor>
              </controlPr>
            </control>
          </mc:Choice>
        </mc:AlternateContent>
        <mc:AlternateContent xmlns:mc="http://schemas.openxmlformats.org/markup-compatibility/2006">
          <mc:Choice Requires="x14">
            <control shapeId="2112516" r:id="rId7" name="Option Button 4">
              <controlPr defaultSize="0" autoFill="0" autoLine="0" autoPict="0">
                <anchor moveWithCells="1">
                  <from>
                    <xdr:col>16</xdr:col>
                    <xdr:colOff>228600</xdr:colOff>
                    <xdr:row>10</xdr:row>
                    <xdr:rowOff>0</xdr:rowOff>
                  </from>
                  <to>
                    <xdr:col>19</xdr:col>
                    <xdr:colOff>85725</xdr:colOff>
                    <xdr:row>11</xdr:row>
                    <xdr:rowOff>47625</xdr:rowOff>
                  </to>
                </anchor>
              </controlPr>
            </control>
          </mc:Choice>
        </mc:AlternateContent>
        <mc:AlternateContent xmlns:mc="http://schemas.openxmlformats.org/markup-compatibility/2006">
          <mc:Choice Requires="x14">
            <control shapeId="2112517" r:id="rId8" name="Check Box 5">
              <controlPr defaultSize="0" autoFill="0" autoLine="0" autoPict="0">
                <anchor moveWithCells="1">
                  <from>
                    <xdr:col>12</xdr:col>
                    <xdr:colOff>238125</xdr:colOff>
                    <xdr:row>8</xdr:row>
                    <xdr:rowOff>76200</xdr:rowOff>
                  </from>
                  <to>
                    <xdr:col>16</xdr:col>
                    <xdr:colOff>19050</xdr:colOff>
                    <xdr:row>9</xdr:row>
                    <xdr:rowOff>38100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tabColor rgb="FFFFC000"/>
  </sheetPr>
  <dimension ref="A1:V26"/>
  <sheetViews>
    <sheetView showGridLines="0" showRowColHeaders="0" topLeftCell="F6" zoomScaleNormal="100" workbookViewId="0">
      <selection sqref="A1:E1"/>
    </sheetView>
  </sheetViews>
  <sheetFormatPr defaultRowHeight="16.5"/>
  <cols>
    <col min="1" max="1" width="9" style="376" hidden="1" customWidth="1"/>
    <col min="2" max="2" width="13.25" style="376" hidden="1" customWidth="1"/>
    <col min="3" max="3" width="30.625" style="376" hidden="1" customWidth="1"/>
    <col min="4" max="4" width="13.375" style="376" hidden="1" customWidth="1"/>
    <col min="5" max="5" width="9" style="376" hidden="1" customWidth="1"/>
    <col min="6" max="6" width="3.375" style="207" customWidth="1"/>
    <col min="7" max="7" width="5.375" style="207" customWidth="1"/>
    <col min="8" max="8" width="11.125" style="207" bestFit="1" customWidth="1"/>
    <col min="9" max="9" width="27.5" style="207" customWidth="1"/>
    <col min="10" max="10" width="11.125" style="207" bestFit="1" customWidth="1"/>
    <col min="11" max="11" width="27.625" style="207" customWidth="1"/>
    <col min="12" max="15" width="8.25" style="207" customWidth="1"/>
    <col min="16" max="16" width="18.75" style="207" customWidth="1"/>
    <col min="17" max="17" width="6.375" style="207" bestFit="1" customWidth="1"/>
    <col min="18" max="18" width="11.125" style="207" bestFit="1" customWidth="1"/>
    <col min="19" max="19" width="27.625" style="207" customWidth="1"/>
    <col min="20" max="21" width="11.125" style="207" bestFit="1" customWidth="1"/>
    <col min="22" max="22" width="3.875" style="207" customWidth="1"/>
    <col min="23" max="16384" width="9" style="207"/>
  </cols>
  <sheetData>
    <row r="1" spans="2:22" ht="1.5" hidden="1" customHeight="1"/>
    <row r="2" spans="2:22" ht="1.5" hidden="1" customHeight="1"/>
    <row r="3" spans="2:22" ht="1.5" hidden="1" customHeight="1"/>
    <row r="4" spans="2:22" ht="1.5" hidden="1" customHeight="1"/>
    <row r="5" spans="2:22" ht="1.5" hidden="1" customHeight="1"/>
    <row r="6" spans="2:22">
      <c r="F6" s="207" t="str">
        <f>"("&amp;UNJC0240_B_PAGE_NO&amp;"/"&amp;UNJC0240_B_ALL_PAGE_SU&amp;")"</f>
        <v>(1/1)</v>
      </c>
    </row>
    <row r="7" spans="2:22">
      <c r="B7" s="1130" t="s">
        <v>3197</v>
      </c>
      <c r="C7" s="1130" t="s">
        <v>4133</v>
      </c>
      <c r="D7" s="1130" t="str">
        <f>ROW(A1)&amp;":"&amp;ROW(A5)</f>
        <v>1:5</v>
      </c>
      <c r="G7" s="3" t="s">
        <v>17</v>
      </c>
      <c r="H7" s="3" t="s">
        <v>3880</v>
      </c>
      <c r="I7" s="1121" t="s">
        <v>3881</v>
      </c>
      <c r="J7" s="1054" t="s">
        <v>4134</v>
      </c>
      <c r="K7" s="1054" t="s">
        <v>61</v>
      </c>
      <c r="L7" s="3" t="s">
        <v>552</v>
      </c>
      <c r="M7" s="3" t="s">
        <v>88</v>
      </c>
      <c r="N7" s="3" t="s">
        <v>4135</v>
      </c>
      <c r="O7" s="3" t="s">
        <v>66</v>
      </c>
      <c r="P7" s="1054" t="s">
        <v>3884</v>
      </c>
      <c r="Q7" s="1166" t="s">
        <v>4343</v>
      </c>
      <c r="R7" s="1054" t="s">
        <v>64</v>
      </c>
      <c r="S7" s="1054" t="s">
        <v>23</v>
      </c>
      <c r="T7" s="3" t="s">
        <v>4136</v>
      </c>
      <c r="U7" s="3" t="s">
        <v>4137</v>
      </c>
      <c r="V7" s="1122"/>
    </row>
    <row r="8" spans="2:22">
      <c r="B8" s="1131" t="s">
        <v>2257</v>
      </c>
      <c r="C8" s="1131" t="s">
        <v>4138</v>
      </c>
      <c r="D8" s="1131" t="str">
        <f>ADDRESS(ROW(A1),COLUMN(A1))&amp;":"&amp;ADDRESS(ROW(E1),COLUMN(E1))</f>
        <v>$A$1:$E$1</v>
      </c>
    </row>
    <row r="9" spans="2:22">
      <c r="B9" s="1130" t="s">
        <v>282</v>
      </c>
      <c r="C9" s="1130" t="s">
        <v>4139</v>
      </c>
      <c r="D9" s="1130" t="str">
        <f>ADDRESS(ROW(UNJC0240_B_MAKER_CD)+1,COLUMN(UNJC0240_B_MAKER_CD))</f>
        <v>$J$8</v>
      </c>
    </row>
    <row r="11" spans="2:22">
      <c r="B11" s="1130" t="s">
        <v>189</v>
      </c>
      <c r="C11" s="1130" t="s">
        <v>4140</v>
      </c>
      <c r="D11" s="1130"/>
    </row>
    <row r="12" spans="2:22">
      <c r="B12" s="1130" t="s">
        <v>190</v>
      </c>
      <c r="C12" s="1130" t="s">
        <v>4141</v>
      </c>
      <c r="D12" s="1130">
        <v>1</v>
      </c>
    </row>
    <row r="13" spans="2:22">
      <c r="B13" s="1130" t="s">
        <v>191</v>
      </c>
      <c r="C13" s="1130" t="s">
        <v>4142</v>
      </c>
      <c r="D13" s="1130">
        <f>IF(OR(UNJC0240_B_ALL_KENSU=0,UNJC0240_B_HYOJI_GYO_SU=0),1,ROUNDUP(UNJC0240_B_ALL_KENSU/UNJC0240_B_HYOJI_GYO_SU,0))</f>
        <v>1</v>
      </c>
    </row>
    <row r="14" spans="2:22">
      <c r="B14" s="1130" t="s">
        <v>126</v>
      </c>
      <c r="C14" s="1130" t="s">
        <v>4143</v>
      </c>
      <c r="D14" s="1130">
        <v>10</v>
      </c>
    </row>
    <row r="15" spans="2:22">
      <c r="B15" s="1130" t="s">
        <v>192</v>
      </c>
      <c r="C15" s="1130" t="s">
        <v>4144</v>
      </c>
      <c r="D15" s="1130">
        <v>2</v>
      </c>
    </row>
    <row r="16" spans="2:22">
      <c r="B16" s="1132"/>
      <c r="C16" s="1133"/>
      <c r="D16" s="1132"/>
    </row>
    <row r="17" spans="2:4">
      <c r="B17" s="1130" t="s">
        <v>201</v>
      </c>
      <c r="C17" s="1130" t="s">
        <v>4145</v>
      </c>
      <c r="D17" s="1130" t="str">
        <f>ADDRESS(ROW(UNJC0240_B_GYO)+1,COLUMN(UNJC0240_B_GYO))</f>
        <v>$G$8</v>
      </c>
    </row>
    <row r="18" spans="2:4">
      <c r="B18" s="1130" t="s">
        <v>202</v>
      </c>
      <c r="C18" s="1130" t="s">
        <v>4146</v>
      </c>
      <c r="D18" s="1130" t="str">
        <f>ADDRESS(ROW(UNJC0240_B_GYO)+1+UNJC0240_B_HYOJI_KENSU-1,COLUMN(UNJC0240_B_GYO)+COLUMNS(UNJC0240_IF_LIST_COPY_MOTO)-1)</f>
        <v>$U$17</v>
      </c>
    </row>
    <row r="19" spans="2:4">
      <c r="B19" s="1130" t="s">
        <v>3904</v>
      </c>
      <c r="C19" s="1130" t="s">
        <v>4147</v>
      </c>
      <c r="D19" s="1130" t="b">
        <f>IF(UNJC0240_B_HYOJI_KENSU&lt;&gt;0,TRUE,FALSE)</f>
        <v>1</v>
      </c>
    </row>
    <row r="20" spans="2:4">
      <c r="B20" s="1130" t="s">
        <v>203</v>
      </c>
      <c r="C20" s="1130" t="s">
        <v>4148</v>
      </c>
      <c r="D20" s="1130" t="str">
        <f>IF(UNJC0240_B_HYOJI_KENSU=0,"",UNJC0240_B_LIST_START&amp;":"&amp;
ADDRESS(ROW(UNJC0240_B_GYO)+1+UNJC0240_B_HYOJI_KENSU-1,COLUMN(UNJC0240_B_GYO)+COLUMNS(UNJC0240_IF_LIST_COPY_MOTO)-1))</f>
        <v>$G$8:$U$17</v>
      </c>
    </row>
    <row r="21" spans="2:4">
      <c r="B21" s="1130" t="s">
        <v>204</v>
      </c>
      <c r="C21" s="1130" t="s">
        <v>4149</v>
      </c>
      <c r="D21" s="1130" t="str">
        <f>ADDRESS(ROW(UNJC0240_B_GYO)+1,COLUMN(UNJC0240_B_GYO))&amp;":"&amp;
ADDRESS(ROW(UNJC0240_B_GYO)+1+UNJC0240_B_HYOJI_GYO_SU-1,COLUMN(UNJC0240_B_GYO)+COLUMNS(UNJC0240_IF_LIST_COPY_MOTO)-1)</f>
        <v>$G$8:$U$9</v>
      </c>
    </row>
    <row r="22" spans="2:4">
      <c r="B22" s="1132"/>
      <c r="C22" s="1133"/>
      <c r="D22" s="1132"/>
    </row>
    <row r="23" spans="2:4">
      <c r="B23" s="1130" t="s">
        <v>234</v>
      </c>
      <c r="C23" s="1130" t="s">
        <v>4150</v>
      </c>
      <c r="D23" s="1130">
        <f>UNJC0240_B_PAGE_NO+1</f>
        <v>2</v>
      </c>
    </row>
    <row r="24" spans="2:4">
      <c r="B24" s="1130" t="s">
        <v>233</v>
      </c>
      <c r="C24" s="1130" t="s">
        <v>4151</v>
      </c>
      <c r="D24" s="1130">
        <f>UNJC0240_B_PAGE_NO-1</f>
        <v>0</v>
      </c>
    </row>
    <row r="25" spans="2:4">
      <c r="B25" s="1130" t="s">
        <v>235</v>
      </c>
      <c r="C25" s="1130" t="s">
        <v>4152</v>
      </c>
      <c r="D25" s="1130">
        <f>IF(1&lt;UNJC0240_B_PAGE_NO,1,2)</f>
        <v>2</v>
      </c>
    </row>
    <row r="26" spans="2:4">
      <c r="B26" s="1130" t="s">
        <v>237</v>
      </c>
      <c r="C26" s="1130" t="s">
        <v>4153</v>
      </c>
      <c r="D26" s="1130">
        <f>IF(UNJC0240_B_PAGE_NO&lt;UNJC0240_B_ALL_PAGE_SU,1,2)</f>
        <v>2</v>
      </c>
    </row>
  </sheetData>
  <sheetProtection sheet="1" objects="1" scenarios="1" selectLockedCells="1"/>
  <phoneticPr fontId="2"/>
  <conditionalFormatting sqref="I1:I5">
    <cfRule type="containsText" dxfId="110" priority="1" operator="containsText" text="準備納期外">
      <formula>NOT(ISERROR(SEARCH("準備納期外",I1)))</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2:AX19"/>
  <sheetViews>
    <sheetView topLeftCell="N1" workbookViewId="0">
      <selection activeCell="Y9" sqref="Y9"/>
    </sheetView>
  </sheetViews>
  <sheetFormatPr defaultRowHeight="13.5"/>
  <cols>
    <col min="1" max="1" width="13.375" style="970" customWidth="1"/>
    <col min="2" max="2" width="11.375" style="970" customWidth="1"/>
    <col min="3" max="3" width="18" style="970" customWidth="1"/>
    <col min="4" max="4" width="7.5" style="970" customWidth="1"/>
    <col min="5" max="19" width="9" style="970"/>
    <col min="20" max="20" width="13.625" style="970" customWidth="1"/>
    <col min="21" max="21" width="14.25" style="970" customWidth="1"/>
    <col min="22" max="23" width="9" style="970"/>
    <col min="24" max="24" width="3" style="970" customWidth="1"/>
    <col min="25" max="25" width="2.625" style="970" customWidth="1"/>
    <col min="26" max="26" width="1.875" style="970" customWidth="1"/>
    <col min="27" max="27" width="2.125" style="970" customWidth="1"/>
    <col min="28" max="29" width="1.875" style="970" customWidth="1"/>
    <col min="30" max="30" width="1.625" style="970" customWidth="1"/>
    <col min="31" max="31" width="10.125" style="970" customWidth="1"/>
    <col min="32" max="36" width="9" style="970"/>
    <col min="37" max="37" width="11.375" style="970" customWidth="1"/>
    <col min="38" max="38" width="13.5" style="970" customWidth="1"/>
    <col min="39" max="39" width="12.125" style="970" customWidth="1"/>
    <col min="40" max="40" width="17.75" style="970" customWidth="1"/>
    <col min="41" max="44" width="9" style="970"/>
    <col min="45" max="45" width="17.125" style="970" customWidth="1"/>
    <col min="46" max="46" width="6.375" style="970" bestFit="1" customWidth="1"/>
    <col min="47" max="47" width="12.875" style="970" customWidth="1"/>
    <col min="48" max="48" width="18" style="970" customWidth="1"/>
    <col min="49" max="49" width="14.125" style="970" customWidth="1"/>
    <col min="50" max="50" width="15" style="970" customWidth="1"/>
    <col min="51" max="51" width="9" style="970"/>
    <col min="52" max="52" width="26.375" style="970" customWidth="1"/>
    <col min="53" max="16384" width="9" style="970"/>
  </cols>
  <sheetData>
    <row r="2" spans="1:50">
      <c r="A2" s="279" t="s">
        <v>3916</v>
      </c>
      <c r="J2" s="280"/>
      <c r="Q2" s="280"/>
      <c r="R2" s="280"/>
      <c r="S2" s="280"/>
      <c r="T2" s="280"/>
      <c r="U2" s="280"/>
      <c r="V2" s="280"/>
    </row>
    <row r="3" spans="1:50" ht="16.5">
      <c r="D3" s="1064" t="s">
        <v>17</v>
      </c>
      <c r="E3" s="1064" t="s">
        <v>3880</v>
      </c>
      <c r="F3" s="1065" t="s">
        <v>3881</v>
      </c>
      <c r="G3" s="1066" t="s">
        <v>4134</v>
      </c>
      <c r="H3" s="1066" t="s">
        <v>61</v>
      </c>
      <c r="I3" s="1064" t="s">
        <v>552</v>
      </c>
      <c r="J3" s="1064" t="s">
        <v>88</v>
      </c>
      <c r="K3" s="1064" t="s">
        <v>4135</v>
      </c>
      <c r="L3" s="1064" t="s">
        <v>66</v>
      </c>
      <c r="M3" s="1064" t="s">
        <v>3884</v>
      </c>
      <c r="N3" s="1064" t="s">
        <v>4343</v>
      </c>
      <c r="O3" s="1066" t="s">
        <v>64</v>
      </c>
      <c r="P3" s="1066" t="s">
        <v>23</v>
      </c>
      <c r="Q3" s="1064" t="s">
        <v>4136</v>
      </c>
      <c r="R3" s="1064" t="s">
        <v>4137</v>
      </c>
      <c r="T3" s="279" t="s">
        <v>4154</v>
      </c>
      <c r="W3" s="239" t="s">
        <v>254</v>
      </c>
      <c r="X3" s="280" t="s">
        <v>4155</v>
      </c>
      <c r="AF3" s="279" t="s">
        <v>1828</v>
      </c>
      <c r="AH3" s="970" t="s">
        <v>1825</v>
      </c>
      <c r="AI3" s="970" t="s">
        <v>4156</v>
      </c>
      <c r="AK3" s="1069"/>
      <c r="AL3" s="1069"/>
      <c r="AM3" s="1069"/>
      <c r="AN3" s="1069"/>
      <c r="AO3" s="1069"/>
      <c r="AP3" s="1069"/>
      <c r="AQ3" s="1069"/>
      <c r="AR3" s="1069"/>
      <c r="AS3" s="1069"/>
      <c r="AT3" s="1069"/>
      <c r="AU3" s="1069"/>
      <c r="AV3" s="1069"/>
      <c r="AW3" s="1068"/>
      <c r="AX3" s="1068"/>
    </row>
    <row r="4" spans="1:50" ht="16.5">
      <c r="B4" s="970" t="s">
        <v>198</v>
      </c>
      <c r="C4" s="280" t="s">
        <v>4157</v>
      </c>
      <c r="D4" s="915"/>
      <c r="E4" s="915"/>
      <c r="F4" s="915"/>
      <c r="G4" s="915"/>
      <c r="H4" s="915"/>
      <c r="I4" s="915"/>
      <c r="J4" s="915"/>
      <c r="K4" s="915"/>
      <c r="L4" s="915"/>
      <c r="M4" s="915"/>
      <c r="N4" s="915"/>
      <c r="O4" s="915"/>
      <c r="P4" s="915"/>
      <c r="Q4" s="915"/>
      <c r="R4" s="915"/>
      <c r="U4" s="280" t="s">
        <v>4158</v>
      </c>
      <c r="Y4" s="1125"/>
      <c r="Z4" s="1341" t="str">
        <f>IF(UNJC0240_H_KOBAIHIN_CD="","",UNJC0240_H_KOBAIHIN_MEI)</f>
        <v/>
      </c>
      <c r="AA4" s="1790"/>
      <c r="AB4" s="1790"/>
      <c r="AC4" s="1790"/>
      <c r="AD4" s="1791"/>
      <c r="AK4" s="1054" t="s">
        <v>3880</v>
      </c>
      <c r="AL4" s="1054" t="s">
        <v>4159</v>
      </c>
      <c r="AM4" s="1054" t="s">
        <v>4161</v>
      </c>
      <c r="AN4" s="1054" t="s">
        <v>4162</v>
      </c>
      <c r="AO4" s="1054" t="s">
        <v>4163</v>
      </c>
      <c r="AP4" s="1054" t="s">
        <v>4166</v>
      </c>
      <c r="AQ4" s="1054" t="s">
        <v>4165</v>
      </c>
      <c r="AR4" s="1054" t="s">
        <v>4164</v>
      </c>
      <c r="AS4" s="1054" t="s">
        <v>3933</v>
      </c>
      <c r="AT4" s="1166" t="s">
        <v>4343</v>
      </c>
      <c r="AU4" s="1054" t="s">
        <v>64</v>
      </c>
      <c r="AV4" s="1054" t="s">
        <v>4160</v>
      </c>
      <c r="AW4" s="1054" t="s">
        <v>4167</v>
      </c>
      <c r="AX4" s="1054" t="s">
        <v>4137</v>
      </c>
    </row>
    <row r="5" spans="1:50" ht="16.5">
      <c r="B5" s="970" t="s">
        <v>199</v>
      </c>
      <c r="C5" s="280" t="s">
        <v>4168</v>
      </c>
      <c r="D5" s="965"/>
      <c r="E5" s="965"/>
      <c r="F5" s="1071"/>
      <c r="G5" s="965"/>
      <c r="H5" s="1071"/>
      <c r="I5" s="1072"/>
      <c r="J5" s="965"/>
      <c r="K5" s="1072"/>
      <c r="L5" s="965"/>
      <c r="M5" s="965"/>
      <c r="N5" s="965"/>
      <c r="O5" s="965"/>
      <c r="P5" s="1071"/>
      <c r="Q5" s="62"/>
      <c r="R5" s="62"/>
      <c r="T5" s="299" t="s">
        <v>4169</v>
      </c>
      <c r="U5" s="607"/>
      <c r="X5" s="280"/>
      <c r="Y5" s="1125"/>
      <c r="Z5" s="1341" t="str">
        <f>IF(UNJC0240_H_SHIIRESAKI_CD="","",UNJC0240_H_SHIIRESAKI_MEI)</f>
        <v/>
      </c>
      <c r="AA5" s="1790"/>
      <c r="AB5" s="1790"/>
      <c r="AC5" s="1790"/>
      <c r="AD5" s="1791"/>
      <c r="AK5" s="273"/>
    </row>
    <row r="6" spans="1:50" ht="16.5">
      <c r="T6" s="299" t="s">
        <v>3822</v>
      </c>
      <c r="U6" s="612"/>
      <c r="Y6" s="1125"/>
      <c r="Z6" s="1341" t="str">
        <f>IF(UNJC0240_H_MAKER_CD="","",UNJC0240_H_MAKER_MEI)</f>
        <v/>
      </c>
      <c r="AA6" s="1790"/>
      <c r="AB6" s="1790"/>
      <c r="AC6" s="1790"/>
      <c r="AD6" s="1791"/>
      <c r="AG6" s="970" t="s">
        <v>259</v>
      </c>
      <c r="AH6" s="970" t="s">
        <v>4170</v>
      </c>
      <c r="AI6" s="273">
        <v>1</v>
      </c>
    </row>
    <row r="7" spans="1:50" ht="16.5">
      <c r="B7" s="280"/>
      <c r="C7" s="280"/>
      <c r="D7" s="280"/>
      <c r="T7" s="299" t="s">
        <v>61</v>
      </c>
      <c r="U7" s="612"/>
      <c r="Y7" s="1829"/>
      <c r="Z7" s="1829"/>
      <c r="AA7" s="1829"/>
      <c r="AB7" s="207"/>
      <c r="AC7" s="207"/>
      <c r="AD7" s="207"/>
      <c r="AG7" s="970" t="s">
        <v>684</v>
      </c>
      <c r="AH7" s="970" t="s">
        <v>4171</v>
      </c>
      <c r="AI7" s="273" t="str">
        <f>IF(UNJC0240_IF_PRINT_COUNT=0,"",
"UNJC0240_IF!"&amp;ADDRESS(ROW(UNJC0240_IF_PRINT_START),COLUMN(UNJC0240_IF_PRINT_START))&amp;":" &amp; ADDRESS(ROW(UNJC0240_IF_PRINT_START)+UNJC0240_IF_PRINT_COUNT-1,COLUMN(UNJC0240_IF_PRINT_START)+COLUMNS(UNJC0240_IF_PRINT_SHOSHIKI_COPY_MOTO)-1))</f>
        <v>UNJC0240_IF!$AK$5:$AX$5</v>
      </c>
    </row>
    <row r="8" spans="1:50" ht="16.5">
      <c r="A8" s="239" t="s">
        <v>103</v>
      </c>
      <c r="B8" s="280" t="s">
        <v>104</v>
      </c>
      <c r="C8" s="280" t="s">
        <v>4172</v>
      </c>
      <c r="D8" s="281">
        <v>1</v>
      </c>
      <c r="E8" s="280" t="s">
        <v>105</v>
      </c>
      <c r="F8" s="280" t="s">
        <v>106</v>
      </c>
      <c r="T8" s="299" t="s">
        <v>3844</v>
      </c>
      <c r="U8" s="612"/>
      <c r="Y8" s="207"/>
      <c r="Z8" s="207"/>
      <c r="AA8" s="207"/>
      <c r="AB8" s="207"/>
      <c r="AC8" s="207"/>
      <c r="AD8" s="207"/>
      <c r="AG8" s="970" t="s">
        <v>3945</v>
      </c>
      <c r="AH8" s="970" t="s">
        <v>4173</v>
      </c>
      <c r="AI8" s="273" t="b">
        <f>IF(UNJC0240_IF_PRINT_COUNT=0,FALSE,TRUE)</f>
        <v>1</v>
      </c>
    </row>
    <row r="9" spans="1:50" ht="16.5">
      <c r="A9" s="280"/>
      <c r="B9" s="280"/>
      <c r="C9" s="280"/>
      <c r="E9" s="280"/>
      <c r="F9" s="280"/>
      <c r="T9" s="299" t="s">
        <v>4348</v>
      </c>
      <c r="U9" s="612" t="b">
        <v>0</v>
      </c>
      <c r="Y9" s="1198"/>
      <c r="Z9" s="1129" t="s">
        <v>4323</v>
      </c>
      <c r="AA9" s="1198"/>
      <c r="AB9" s="207"/>
      <c r="AC9" s="207"/>
      <c r="AD9" s="207"/>
    </row>
    <row r="10" spans="1:50" ht="16.5">
      <c r="A10" s="280"/>
      <c r="B10" s="280"/>
      <c r="C10" s="280"/>
      <c r="E10" s="280"/>
      <c r="F10" s="280"/>
      <c r="T10" s="299" t="s">
        <v>163</v>
      </c>
      <c r="U10" s="613">
        <v>1</v>
      </c>
      <c r="Y10" s="1198"/>
      <c r="Z10" s="1129" t="s">
        <v>4323</v>
      </c>
      <c r="AA10" s="1198"/>
      <c r="AB10" s="207"/>
      <c r="AC10" s="207"/>
      <c r="AD10" s="207"/>
      <c r="AG10" s="970" t="s">
        <v>262</v>
      </c>
      <c r="AH10" s="280" t="s">
        <v>4174</v>
      </c>
      <c r="AI10" s="273" t="str">
        <f ca="1">"試薬在庫検索_"&amp;TEXT(NOW(),"YYYYMMDD")</f>
        <v>試薬在庫検索_20170927</v>
      </c>
    </row>
    <row r="11" spans="1:50" ht="16.5">
      <c r="A11" s="280"/>
      <c r="B11" s="280"/>
      <c r="C11" s="38"/>
      <c r="F11" s="280"/>
      <c r="T11" s="299"/>
      <c r="Y11" s="207"/>
      <c r="Z11" s="207"/>
      <c r="AA11" s="207"/>
      <c r="AB11" s="208"/>
      <c r="AC11" s="207"/>
      <c r="AD11" s="207"/>
    </row>
    <row r="12" spans="1:50" ht="16.5">
      <c r="A12" s="279" t="s">
        <v>120</v>
      </c>
      <c r="B12" s="970" t="s">
        <v>121</v>
      </c>
      <c r="C12" s="280" t="s">
        <v>4175</v>
      </c>
      <c r="D12" s="37"/>
      <c r="T12" s="299"/>
      <c r="Y12" s="204"/>
      <c r="Z12" s="77" t="str">
        <f>IF(UNJC0240_H_FREEWD_KBN=1,"AND",IF(UNJC0240_H_FREEWD_KBN=2,"OR","NAND"))</f>
        <v>AND</v>
      </c>
      <c r="AA12" s="204"/>
      <c r="AB12" s="77" t="str">
        <f>UNJC0240_H_FREEWD_KBN_DISP</f>
        <v>AND</v>
      </c>
      <c r="AC12" s="204"/>
      <c r="AD12" s="207"/>
    </row>
    <row r="13" spans="1:50" ht="16.5">
      <c r="B13" s="970" t="s">
        <v>122</v>
      </c>
      <c r="C13" s="280" t="s">
        <v>4176</v>
      </c>
      <c r="D13" s="37"/>
      <c r="T13" s="85"/>
    </row>
    <row r="14" spans="1:50">
      <c r="B14" s="970" t="s">
        <v>123</v>
      </c>
      <c r="C14" s="280" t="s">
        <v>4177</v>
      </c>
      <c r="D14" s="37"/>
    </row>
    <row r="15" spans="1:50">
      <c r="C15" s="280"/>
    </row>
    <row r="16" spans="1:50">
      <c r="B16" s="970" t="s">
        <v>124</v>
      </c>
      <c r="C16" s="280" t="s">
        <v>4178</v>
      </c>
      <c r="D16" s="37"/>
    </row>
    <row r="19" spans="1:3">
      <c r="A19" s="279"/>
      <c r="C19" s="280"/>
    </row>
  </sheetData>
  <mergeCells count="4">
    <mergeCell ref="Z4:AD4"/>
    <mergeCell ref="Z5:AD5"/>
    <mergeCell ref="Z6:AD6"/>
    <mergeCell ref="Y7:AA7"/>
  </mergeCells>
  <phoneticPr fontId="2"/>
  <conditionalFormatting sqref="I5">
    <cfRule type="expression" dxfId="109" priority="2">
      <formula>INDIRECT(ADDRESS(ROW(),COLUMN()))=TRUNC(INDIRECT(ADDRESS(ROW(),COLUMN())))</formula>
    </cfRule>
  </conditionalFormatting>
  <conditionalFormatting sqref="K5">
    <cfRule type="expression" dxfId="108" priority="1">
      <formula>INDIRECT(ADDRESS(ROW(),COLUMN()))=TRUNC(INDIRECT(ADDRESS(ROW(),COLUMN())))</formula>
    </cfRule>
  </conditionalFormatting>
  <dataValidations count="3">
    <dataValidation type="custom" allowBlank="1" showInputMessage="1" showErrorMessage="1" sqref="Y4:Y6">
      <formula1>AND(LEN(Y4)=LENB(Y4),LEN(Y4)=10)</formula1>
    </dataValidation>
    <dataValidation type="custom" allowBlank="1" showInputMessage="1" showErrorMessage="1" sqref="Y7:AA7">
      <formula1>AND(LEN(Y7)=LENB(Y7),LEN(Y7)=20)</formula1>
    </dataValidation>
    <dataValidation type="date" allowBlank="1" showInputMessage="1" showErrorMessage="1" sqref="Y9 Y10 AA10 AA9">
      <formula1>36526</formula1>
      <formula2>73415</formula2>
    </dataValidation>
  </dataValidations>
  <pageMargins left="0.7" right="0.7" top="0.75" bottom="0.75" header="0.3" footer="0.3"/>
  <pageSetup orientation="portrait" verticalDpi="0"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B5:H41"/>
  <sheetViews>
    <sheetView zoomScale="85" zoomScaleNormal="85" workbookViewId="0">
      <selection activeCell="F26" sqref="F26"/>
    </sheetView>
  </sheetViews>
  <sheetFormatPr defaultRowHeight="15.75" customHeight="1"/>
  <cols>
    <col min="1" max="1" width="9" style="970"/>
    <col min="2" max="2" width="3.5" style="970" customWidth="1"/>
    <col min="3" max="3" width="3.125" style="970" customWidth="1"/>
    <col min="4" max="4" width="3.25" style="970" customWidth="1"/>
    <col min="5" max="5" width="25.125" style="970" bestFit="1" customWidth="1"/>
    <col min="6" max="6" width="82.625" style="970" bestFit="1" customWidth="1"/>
    <col min="7" max="7" width="8.375" style="970" bestFit="1" customWidth="1"/>
    <col min="8" max="8" width="40.375" style="970" bestFit="1" customWidth="1"/>
    <col min="9" max="16384" width="9" style="970"/>
  </cols>
  <sheetData>
    <row r="5" spans="2:8" ht="15.75" customHeight="1">
      <c r="B5" s="1832" t="s">
        <v>3952</v>
      </c>
      <c r="C5" s="1833"/>
      <c r="D5" s="1833"/>
      <c r="E5" s="1834"/>
      <c r="F5" s="1075"/>
      <c r="G5" s="1075"/>
      <c r="H5" s="1076" t="s">
        <v>3953</v>
      </c>
    </row>
    <row r="6" spans="2:8" ht="15.75" customHeight="1">
      <c r="B6" s="1835" t="s">
        <v>3954</v>
      </c>
      <c r="C6" s="1836"/>
      <c r="D6" s="1836"/>
      <c r="E6" s="1837"/>
      <c r="F6" s="1077" t="str">
        <f>F7 &amp; F8 &amp; F9 &amp; F17 &amp; UNJC0240_SQL_SORT &amp; F33</f>
        <v>SELECT 
       ROW_NUMBER() OVER (ORDER BY KOBAIHIN_CD ASC)
      ,V_ZAIKO_KENSAKU_LIST.KOBAIHIN_CD
      ,V_ZAIKO_KENSAKU_LIST.KOBAIHIN_MEI
      ,V_ZAIKO_KENSAKU_LIST.MAKER_CD
      ,V_ZAIKO_KENSAKU_LIST.MAKER_MEI
      ,V_ZAIKO_KENSAKU_LIST.IRISU
      ,V_ZAIKO_KENSAKU_LIST.BARA_TANI
      ,V_ZAIKO_KENSAKU_LIST.ZAIKO_SURYO
      ,V_ZAIKO_KENSAKU_LIST.IRISU_TANI
      ,V_ZAIKO_KENSAKU_LIST.HOKAN_BASHO_KBN_MEI
      ,V_ZAIKO_KENSAKU_LIST.DOKU_MARK
      ,V_ZAIKO_KENSAKU_LIST.SHIIRE_CD
      ,V_ZAIKO_KENSAKU_LIST.SHIIRE_MEI
      ,V_ZAIKO_KENSAKU_LIST.LAST_NYUKO_DATE
      ,V_ZAIKO_KENSAKU_LIST.LAST_SHUKKO_DATE
 FROM V_ZAIKO_KENSAKU_LIST
 WHERE 1=1 ORDER BY KOBAIHIN_CD ASC 
 OFFSET 0*2 ROWS
 FETCH NEXT 2 ROWS ONLY</v>
      </c>
      <c r="G6" s="1077"/>
      <c r="H6" s="1078" t="s">
        <v>4179</v>
      </c>
    </row>
    <row r="7" spans="2:8" ht="15.75" customHeight="1">
      <c r="B7" s="1079"/>
      <c r="C7" s="1842" t="s">
        <v>4180</v>
      </c>
      <c r="D7" s="1867"/>
      <c r="E7" s="1868"/>
      <c r="F7" s="1080" t="str">
        <f xml:space="preserve"> "SELECT 
       ROW_NUMBER() OVER (" &amp; UNJC0240_SQL_SORT &amp;")"</f>
        <v>SELECT 
       ROW_NUMBER() OVER (ORDER BY KOBAIHIN_CD ASC)</v>
      </c>
      <c r="G7" s="1081"/>
      <c r="H7" s="1082"/>
    </row>
    <row r="8" spans="2:8" ht="15.75" customHeight="1">
      <c r="B8" s="1079"/>
      <c r="C8" s="1869"/>
      <c r="D8" s="1870"/>
      <c r="E8" s="1871"/>
      <c r="F8" s="1080" t="s">
        <v>4344</v>
      </c>
      <c r="G8" s="1081"/>
      <c r="H8" s="1082"/>
    </row>
    <row r="9" spans="2:8" ht="15.75" customHeight="1">
      <c r="B9" s="1079"/>
      <c r="C9" s="1831" t="s">
        <v>2464</v>
      </c>
      <c r="D9" s="1831"/>
      <c r="E9" s="1831"/>
      <c r="F9" s="1083" t="s">
        <v>4181</v>
      </c>
      <c r="G9" s="1081"/>
      <c r="H9" s="1082"/>
    </row>
    <row r="10" spans="2:8" ht="15.75" customHeight="1">
      <c r="B10" s="1835" t="s">
        <v>3958</v>
      </c>
      <c r="C10" s="1836"/>
      <c r="D10" s="1836"/>
      <c r="E10" s="1837"/>
      <c r="F10" s="1077" t="str">
        <f>F11&amp;F12&amp;F17</f>
        <v xml:space="preserve">SELECT 
       V_ZAIKO_KENSAKU_LIST.KOBAIHIN_CD          --購買品CD
      ,V_ZAIKO_KENSAKU_LIST.KOBAIHIN_MEI         --購買品名
      ,V_ZAIKO_KENSAKU_LIST.MAKER_CD             --メーカーCD
      ,V_ZAIKO_KENSAKU_LIST.MAKER_MEI            --メーカー名
      ,V_ZAIKO_KENSAKU_LIST.IRISU                --入数
      ,V_ZAIKO_KENSAKU_LIST.BARA_TANI            --バラ単位
      ,V_ZAIKO_KENSAKU_LIST.ZAIKO_SURYO          --在庫数
      ,V_ZAIKO_KENSAKU_LIST.IRISU_TANI           --入数単位
      ,V_ZAIKO_KENSAKU_LIST.HOKAN_BASHO_KBN_MEI  --保管場所名
      ,V_ZAIKO_KENSAKU_LIST.DOKU_MARK            --毒劇物
      ,V_ZAIKO_KENSAKU_LIST.SHIIRE_CD            --仕入先CD
      ,V_ZAIKO_KENSAKU_LIST.SHIIRE_MEI           --仕入先名
      ,V_ZAIKO_KENSAKU_LIST.LAST_NYUKO_DATE      --最終入庫日
      ,V_ZAIKO_KENSAKU_LIST.LAST_SHUKKO_DATE     --最終出庫日
 FROM V_ZAIKO_KENSAKU_LIST
 WHERE 1=1 </v>
      </c>
      <c r="G10" s="1077"/>
      <c r="H10" s="1078" t="s">
        <v>4182</v>
      </c>
    </row>
    <row r="11" spans="2:8" ht="15.75" customHeight="1">
      <c r="B11" s="1079"/>
      <c r="C11" s="1831" t="s">
        <v>1426</v>
      </c>
      <c r="D11" s="1831"/>
      <c r="E11" s="1831"/>
      <c r="F11" s="1080" t="s">
        <v>4345</v>
      </c>
      <c r="G11" s="1081"/>
      <c r="H11" s="1082"/>
    </row>
    <row r="12" spans="2:8" ht="15.75" customHeight="1">
      <c r="B12" s="1079"/>
      <c r="C12" s="1831" t="s">
        <v>2464</v>
      </c>
      <c r="D12" s="1831"/>
      <c r="E12" s="1831"/>
      <c r="F12" s="1083" t="s">
        <v>4181</v>
      </c>
      <c r="G12" s="1081"/>
      <c r="H12" s="1082"/>
    </row>
    <row r="13" spans="2:8" ht="15.75" customHeight="1">
      <c r="B13" s="1835" t="s">
        <v>3960</v>
      </c>
      <c r="C13" s="1836"/>
      <c r="D13" s="1836"/>
      <c r="E13" s="1837"/>
      <c r="F13" s="1077" t="str">
        <f>F14 &amp; F15 &amp; F17</f>
        <v xml:space="preserve">SELECT COUNT(*) AS CNT
 FROM V_ZAIKO_KENSAKU_LIST
 WHERE 1=1 </v>
      </c>
      <c r="G13" s="1077"/>
      <c r="H13" s="1078" t="s">
        <v>4183</v>
      </c>
    </row>
    <row r="14" spans="2:8" ht="15.75" customHeight="1">
      <c r="B14" s="1079"/>
      <c r="C14" s="1831" t="s">
        <v>1426</v>
      </c>
      <c r="D14" s="1831"/>
      <c r="E14" s="1831"/>
      <c r="F14" s="1083" t="s">
        <v>2493</v>
      </c>
      <c r="G14" s="1081"/>
      <c r="H14" s="1082"/>
    </row>
    <row r="15" spans="2:8" ht="15.75" customHeight="1">
      <c r="B15" s="1079"/>
      <c r="C15" s="1831" t="s">
        <v>2464</v>
      </c>
      <c r="D15" s="1831"/>
      <c r="E15" s="1831"/>
      <c r="F15" s="1083" t="s">
        <v>4181</v>
      </c>
      <c r="G15" s="1081"/>
      <c r="H15" s="1082"/>
    </row>
    <row r="16" spans="2:8" ht="15.75" customHeight="1">
      <c r="B16" s="1835" t="s">
        <v>3341</v>
      </c>
      <c r="C16" s="1836"/>
      <c r="D16" s="1836"/>
      <c r="E16" s="1837"/>
      <c r="F16" s="1077"/>
      <c r="G16" s="1077"/>
      <c r="H16" s="1078"/>
    </row>
    <row r="17" spans="2:8" ht="15.75" customHeight="1">
      <c r="B17" s="1079"/>
      <c r="C17" s="1831" t="s">
        <v>2465</v>
      </c>
      <c r="D17" s="1831"/>
      <c r="E17" s="1831"/>
      <c r="F17" s="1080" t="str">
        <f>" WHERE 1=1 " &amp; F18 &amp; F19 &amp; F20 &amp; F21 &amp; F22 &amp; F23 &amp; F24 &amp; F25 &amp; F26 &amp; F27</f>
        <v xml:space="preserve"> WHERE 1=1 </v>
      </c>
      <c r="G17" s="1081"/>
      <c r="H17" s="1082"/>
    </row>
    <row r="18" spans="2:8" ht="15.75" customHeight="1">
      <c r="B18" s="1079"/>
      <c r="C18" s="1084"/>
      <c r="D18" s="1838" t="s">
        <v>3962</v>
      </c>
      <c r="E18" s="1838" t="s">
        <v>3963</v>
      </c>
      <c r="F18" s="1085" t="str">
        <f>IF(G18,"
 AND V_ZAIKO_KENSAKU_LIST.KOBAIHIN_CD = " &amp; "'" &amp; UNJC0240_H_KOBAIHIN_CD_S &amp; "'","")</f>
        <v/>
      </c>
      <c r="G18" s="1081" t="b">
        <f>NOT(ISBLANK(UNJC0240_H_KOBAIHIN_CD_S))</f>
        <v>0</v>
      </c>
      <c r="H18" s="1082"/>
    </row>
    <row r="19" spans="2:8" ht="15.75" customHeight="1">
      <c r="B19" s="1079"/>
      <c r="C19" s="1084"/>
      <c r="D19" s="1838" t="s">
        <v>4184</v>
      </c>
      <c r="E19" s="1838" t="s">
        <v>3964</v>
      </c>
      <c r="F19" s="1085" t="str">
        <f>IF(G19,"
 AND V_ZAIKO_KENSAKU_LIST.SHIIRE_CD = " &amp; "'" &amp; UNJC0240_H_SHIIRESAKI_CD_S &amp; "'","")</f>
        <v/>
      </c>
      <c r="G19" s="1081" t="b">
        <f>NOT(ISBLANK(UNJC0240_H_SHIIRESAKI_CD_S))</f>
        <v>0</v>
      </c>
      <c r="H19" s="1082"/>
    </row>
    <row r="20" spans="2:8" ht="15.75" customHeight="1">
      <c r="B20" s="1079"/>
      <c r="C20" s="1084"/>
      <c r="D20" s="1838" t="s">
        <v>3860</v>
      </c>
      <c r="E20" s="1838" t="s">
        <v>3965</v>
      </c>
      <c r="F20" s="1085" t="str">
        <f>IF(G20,"
 AND V_ZAIKO_KENSAKU_LIST.MAKER_CD = " &amp; "'" &amp; UNJC0240_H_MAKER_CD_S &amp; "'","")</f>
        <v/>
      </c>
      <c r="G20" s="1081" t="b">
        <f>NOT(ISBLANK(UNJC0240_H_MAKER_CD_S))</f>
        <v>0</v>
      </c>
      <c r="H20" s="1082"/>
    </row>
    <row r="21" spans="2:8" ht="15.75" customHeight="1">
      <c r="B21" s="1079"/>
      <c r="C21" s="1084"/>
      <c r="D21" s="1872" t="s">
        <v>3966</v>
      </c>
      <c r="E21" s="1843"/>
      <c r="F21" s="1085" t="str">
        <f>IF(G21,"
 AND V_ZAIKO_KENSAKU_LIST.HOKAN_BASHO_KBN = " &amp; "'" &amp; UNJC0240_H_HOKAN_BASHO_KBN_S &amp; "'","")</f>
        <v/>
      </c>
      <c r="G21" s="1081" t="b">
        <f>NOT(ISBLANK(UNJC0240_H_HOKAN_BASHO_KBN_MEI_S))</f>
        <v>0</v>
      </c>
      <c r="H21" s="1082"/>
    </row>
    <row r="22" spans="2:8" ht="15.75" customHeight="1">
      <c r="B22" s="1079"/>
      <c r="C22" s="1084"/>
      <c r="D22" s="1838" t="s">
        <v>4185</v>
      </c>
      <c r="E22" s="1838" t="s">
        <v>4186</v>
      </c>
      <c r="F22" s="1085" t="str">
        <f>IF(G22,"
 AND V_ZAIKO_KENSAKU_LIST.LAST_NYUKO_DATE &gt;=  '"&amp;TEXT(UNJC0240_H_NYUKO_DATE_START_S,"YYYY/MM/DD")&amp;"'","")</f>
        <v/>
      </c>
      <c r="G22" s="1081" t="b">
        <f>NOT(ISBLANK(UNJC0240_H_NYUKO_DATE_START_S))</f>
        <v>0</v>
      </c>
      <c r="H22" s="1082"/>
    </row>
    <row r="23" spans="2:8" ht="15.75" customHeight="1">
      <c r="B23" s="1079"/>
      <c r="C23" s="1084"/>
      <c r="D23" s="1838" t="s">
        <v>4187</v>
      </c>
      <c r="E23" s="1838" t="s">
        <v>28</v>
      </c>
      <c r="F23" s="1085" t="str">
        <f>IF(G23,"
 AND V_ZAIKO_KENSAKU_LIST.LAST_NYUKO_DATE &lt;=  '"&amp;TEXT(UNJC0240_H_NYUKO_DATE_END_S,"YYYY/MM/DD")&amp;"'","")</f>
        <v/>
      </c>
      <c r="G23" s="1081" t="b">
        <f>NOT(ISBLANK(UNJC0240_H_NYUKO_DATE_END_S))</f>
        <v>0</v>
      </c>
      <c r="H23" s="1082"/>
    </row>
    <row r="24" spans="2:8" ht="15.75" customHeight="1">
      <c r="B24" s="1079"/>
      <c r="C24" s="1084"/>
      <c r="D24" s="1838" t="s">
        <v>3967</v>
      </c>
      <c r="E24" s="1838" t="s">
        <v>3968</v>
      </c>
      <c r="F24" s="1085" t="str">
        <f>IF(G24,"
 AND V_ZAIKO_KENSAKU_LIST.LAST_SHUKKO_DATE  &gt;=  '"&amp;TEXT(UNJC0240_H_SHUKKO_DATE_START_S,"YYYY/MM/DD")&amp;"'","")</f>
        <v/>
      </c>
      <c r="G24" s="1081" t="b">
        <f>NOT(ISBLANK(UNJC0240_H_SHUKKO_DATE_START_S))</f>
        <v>0</v>
      </c>
      <c r="H24" s="1082"/>
    </row>
    <row r="25" spans="2:8" ht="15.75" customHeight="1">
      <c r="B25" s="1079"/>
      <c r="C25" s="1084"/>
      <c r="D25" s="1838" t="s">
        <v>3969</v>
      </c>
      <c r="E25" s="1838" t="s">
        <v>23</v>
      </c>
      <c r="F25" s="1085" t="str">
        <f>IF(G25,"
 AND V_ZAIKO_KENSAKU_LIST.LAST_SHUKKO_DATE  &lt;=  '"&amp;TEXT(UNJC0240_H_SHUKKO_DATE_END_S,"YYYY/MM/DD")&amp;"'","")</f>
        <v/>
      </c>
      <c r="G25" s="1081" t="b">
        <f>NOT(ISBLANK(UNJC0240_H_SHUKKO_DATE_END_S))</f>
        <v>0</v>
      </c>
      <c r="H25" s="1082"/>
    </row>
    <row r="26" spans="2:8" ht="15.75" customHeight="1">
      <c r="B26" s="1079"/>
      <c r="C26" s="1084"/>
      <c r="D26" s="1838" t="s">
        <v>4350</v>
      </c>
      <c r="E26" s="1838" t="s">
        <v>23</v>
      </c>
      <c r="F26" s="1085" t="str">
        <f>IF(G26,"
 AND V_ZAIKO_KENSAKU_LIST.DOKU_FLG  =  'True'","")</f>
        <v/>
      </c>
      <c r="G26" s="1081" t="b">
        <f>IF(UNJC0240_H_DOKU_FLG_S=TRUE,TRUE,FALSE)</f>
        <v>0</v>
      </c>
      <c r="H26" s="1082"/>
    </row>
    <row r="27" spans="2:8" ht="15.75" customHeight="1">
      <c r="B27" s="1079"/>
      <c r="C27" s="1084"/>
      <c r="D27" s="1842" t="s">
        <v>1983</v>
      </c>
      <c r="E27" s="1843"/>
      <c r="F27" s="1081" t="str">
        <f>IF(G27,"
 AND "&amp; IF(UNJC0240_H_FREEWD_KBN_S=3,"NOT","") &amp;"("&amp; IF(G28,F28,"") &amp; IF(G29,F29,"") &amp;IF(G30,F30,"") &amp;" )","")</f>
        <v/>
      </c>
      <c r="G27" s="1081" t="b">
        <f>OR(G28,G29,G30)</f>
        <v>0</v>
      </c>
      <c r="H27" s="1082"/>
    </row>
    <row r="28" spans="2:8" ht="15.75" customHeight="1">
      <c r="B28" s="1079"/>
      <c r="C28" s="1084"/>
      <c r="D28" s="1844"/>
      <c r="E28" s="1086" t="s">
        <v>2545</v>
      </c>
      <c r="F28" s="1087" t="str">
        <f>IF(G28,"
 V_ZAIKO_KENSAKU_LIST.FREEWD LIKE '%"&amp; UNJC0240_H_FREEWD_1_S &amp; "%'","")</f>
        <v/>
      </c>
      <c r="G28" s="1088" t="b">
        <f>NOT(ISBLANK(UNJC0240_H_FREEWD_1_S))</f>
        <v>0</v>
      </c>
      <c r="H28" s="1087"/>
    </row>
    <row r="29" spans="2:8" ht="15.75" customHeight="1">
      <c r="B29" s="1079"/>
      <c r="C29" s="1084"/>
      <c r="D29" s="1845"/>
      <c r="E29" s="1086" t="s">
        <v>2282</v>
      </c>
      <c r="F29" s="1087" t="str">
        <f>IF(G29,"
 "&amp;IF(G28, F31, "") &amp;" V_ZAIKO_KENSAKU_LIST.FREEWD LIKE '%"&amp; UNJC0240_H_FREEWD_2_S &amp; "%'","")</f>
        <v/>
      </c>
      <c r="G29" s="1088" t="b">
        <f>NOT(ISBLANK(UNJC0240_H_FREEWD_2_S))</f>
        <v>0</v>
      </c>
      <c r="H29" s="1087"/>
    </row>
    <row r="30" spans="2:8" ht="15.75" customHeight="1">
      <c r="B30" s="1079"/>
      <c r="C30" s="1084"/>
      <c r="D30" s="1845"/>
      <c r="E30" s="1086" t="s">
        <v>2284</v>
      </c>
      <c r="F30" s="1087" t="str">
        <f>IF(G30,"
 "&amp;IF(OR(G28,G29),F31,"") &amp; " V_ZAIKO_KENSAKU_LIST.FREEWD LIKE '%"&amp; UNJC0240_H_FREEWD_3_S &amp; "%'","")</f>
        <v/>
      </c>
      <c r="G30" s="1088" t="b">
        <f>NOT(ISBLANK(UNJC0240_H_FREEWD_3_S))</f>
        <v>0</v>
      </c>
      <c r="H30" s="1087"/>
    </row>
    <row r="31" spans="2:8" ht="15.75" customHeight="1">
      <c r="B31" s="1079"/>
      <c r="C31" s="1089"/>
      <c r="D31" s="1845"/>
      <c r="E31" s="1086" t="s">
        <v>163</v>
      </c>
      <c r="F31" s="1087" t="str">
        <f>IF(UNJC0240_H_FREEWD_KBN_S=1, "AND",IF(UNJC0240_H_FREEWD_KBN_S=2,"OR","AND"))</f>
        <v>AND</v>
      </c>
      <c r="G31" s="1088"/>
      <c r="H31" s="1087"/>
    </row>
    <row r="32" spans="2:8" ht="15.75" customHeight="1">
      <c r="B32" s="1079"/>
      <c r="C32" s="1831" t="s">
        <v>1448</v>
      </c>
      <c r="D32" s="1831"/>
      <c r="E32" s="1831"/>
      <c r="F32" s="1083" t="s">
        <v>4188</v>
      </c>
      <c r="G32" s="1081"/>
      <c r="H32" s="1082" t="s">
        <v>4189</v>
      </c>
    </row>
    <row r="33" spans="2:8" ht="15.75" customHeight="1">
      <c r="B33" s="1090"/>
      <c r="C33" s="1838" t="s">
        <v>3345</v>
      </c>
      <c r="D33" s="1838"/>
      <c r="E33" s="1838"/>
      <c r="F33" s="1080" t="str">
        <f xml:space="preserve"> " 
 OFFSET "&amp;(UNJC0240_B_PAGE_NO-1)&amp;"*"&amp;UNJC0240_B_HYOJI_GYO_SU&amp;" ROWS
 FETCH NEXT "&amp;UNJC0240_B_HYOJI_GYO_SU&amp;" ROWS ONLY"</f>
        <v xml:space="preserve"> 
 OFFSET 0*2 ROWS
 FETCH NEXT 2 ROWS ONLY</v>
      </c>
      <c r="G33" s="1081"/>
      <c r="H33" s="1082"/>
    </row>
    <row r="36" spans="2:8" ht="15.75" customHeight="1">
      <c r="B36" s="1835" t="s">
        <v>3972</v>
      </c>
      <c r="C36" s="1836"/>
      <c r="D36" s="1836"/>
      <c r="E36" s="1837"/>
      <c r="F36" s="1077"/>
      <c r="G36" s="1077"/>
      <c r="H36" s="1078"/>
    </row>
    <row r="37" spans="2:8" ht="15.75" customHeight="1">
      <c r="B37" s="1091"/>
      <c r="C37" s="1839" t="s">
        <v>1448</v>
      </c>
      <c r="D37" s="1840"/>
      <c r="E37" s="1841"/>
      <c r="F37" s="1080" t="s">
        <v>4190</v>
      </c>
      <c r="G37" s="1081"/>
      <c r="H37" s="1082" t="s">
        <v>4191</v>
      </c>
    </row>
    <row r="40" spans="2:8" ht="15.75" customHeight="1">
      <c r="B40" s="1835" t="s">
        <v>3975</v>
      </c>
      <c r="C40" s="1836"/>
      <c r="D40" s="1836"/>
      <c r="E40" s="1837"/>
      <c r="F40" s="842"/>
      <c r="G40" s="842"/>
      <c r="H40" s="1078" t="s">
        <v>3953</v>
      </c>
    </row>
    <row r="41" spans="2:8" ht="15.75" customHeight="1">
      <c r="B41" s="843"/>
      <c r="C41" s="1839" t="s">
        <v>1448</v>
      </c>
      <c r="D41" s="1840"/>
      <c r="E41" s="1841"/>
      <c r="F41" s="1092" t="s">
        <v>4322</v>
      </c>
      <c r="G41" s="844"/>
      <c r="H41" s="845" t="s">
        <v>4192</v>
      </c>
    </row>
  </sheetData>
  <mergeCells count="29">
    <mergeCell ref="B36:E36"/>
    <mergeCell ref="C37:E37"/>
    <mergeCell ref="B40:E40"/>
    <mergeCell ref="C41:E41"/>
    <mergeCell ref="D24:E24"/>
    <mergeCell ref="D25:E25"/>
    <mergeCell ref="D27:E27"/>
    <mergeCell ref="D28:D31"/>
    <mergeCell ref="C32:E32"/>
    <mergeCell ref="C33:E33"/>
    <mergeCell ref="D26:E26"/>
    <mergeCell ref="D23:E23"/>
    <mergeCell ref="C12:E12"/>
    <mergeCell ref="B13:E13"/>
    <mergeCell ref="C14:E14"/>
    <mergeCell ref="C15:E15"/>
    <mergeCell ref="B16:E16"/>
    <mergeCell ref="C17:E17"/>
    <mergeCell ref="D18:E18"/>
    <mergeCell ref="D19:E19"/>
    <mergeCell ref="D20:E20"/>
    <mergeCell ref="D21:E21"/>
    <mergeCell ref="D22:E22"/>
    <mergeCell ref="C11:E11"/>
    <mergeCell ref="B5:E5"/>
    <mergeCell ref="B6:E6"/>
    <mergeCell ref="C7:E8"/>
    <mergeCell ref="C9:E9"/>
    <mergeCell ref="B10:E10"/>
  </mergeCells>
  <phoneticPr fontId="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tabColor rgb="FFFFC000"/>
  </sheetPr>
  <dimension ref="A1:H9"/>
  <sheetViews>
    <sheetView showGridLines="0" showRowColHeaders="0" topLeftCell="F1" zoomScaleNormal="100" workbookViewId="0">
      <selection activeCell="H3" sqref="H3"/>
    </sheetView>
  </sheetViews>
  <sheetFormatPr defaultRowHeight="16.5"/>
  <cols>
    <col min="1" max="1" width="9" style="231" hidden="1" customWidth="1"/>
    <col min="2" max="2" width="23.875" style="231" hidden="1" customWidth="1"/>
    <col min="3" max="3" width="26.75" style="231" hidden="1" customWidth="1"/>
    <col min="4" max="4" width="15.625" style="231" hidden="1" customWidth="1"/>
    <col min="5" max="5" width="9" style="231" hidden="1" customWidth="1"/>
    <col min="6" max="6" width="3.375" style="207" customWidth="1"/>
    <col min="7" max="8" width="11.75" style="207" customWidth="1"/>
    <col min="9" max="9" width="4.5" style="207" customWidth="1"/>
    <col min="10" max="11" width="11.75" style="207" customWidth="1"/>
    <col min="12" max="12" width="9.25" style="207" customWidth="1"/>
    <col min="13" max="13" width="3.375" style="207" customWidth="1"/>
    <col min="14" max="14" width="9.25" style="207" customWidth="1"/>
    <col min="15" max="15" width="11" style="207" customWidth="1"/>
    <col min="16" max="16" width="10.625" style="207" customWidth="1"/>
    <col min="17" max="19" width="10.375" style="207" customWidth="1"/>
    <col min="20" max="20" width="3.375" style="207" customWidth="1"/>
    <col min="21" max="16384" width="9" style="207"/>
  </cols>
  <sheetData>
    <row r="1" spans="1:8" s="73" customFormat="1" ht="19.5">
      <c r="A1" s="469"/>
      <c r="B1" s="469"/>
      <c r="C1" s="469"/>
      <c r="D1" s="469"/>
      <c r="E1" s="469"/>
      <c r="F1" s="73" t="s">
        <v>4193</v>
      </c>
    </row>
    <row r="2" spans="1:8">
      <c r="B2" s="231" t="s">
        <v>4194</v>
      </c>
    </row>
    <row r="3" spans="1:8">
      <c r="B3" s="1093" t="s">
        <v>3979</v>
      </c>
      <c r="C3" s="1094" t="s">
        <v>4195</v>
      </c>
      <c r="D3" s="1093" t="s">
        <v>4196</v>
      </c>
      <c r="G3" s="210" t="s">
        <v>3834</v>
      </c>
      <c r="H3" s="1062"/>
    </row>
    <row r="5" spans="1:8">
      <c r="B5" s="1093" t="s">
        <v>3982</v>
      </c>
      <c r="C5" s="1094" t="s">
        <v>4197</v>
      </c>
      <c r="D5" s="1093"/>
    </row>
    <row r="7" spans="1:8">
      <c r="B7" s="1095" t="s">
        <v>1691</v>
      </c>
      <c r="C7" s="1095" t="s">
        <v>4198</v>
      </c>
      <c r="D7" s="1095" t="s">
        <v>2225</v>
      </c>
    </row>
    <row r="8" spans="1:8">
      <c r="B8" s="1094" t="s">
        <v>3197</v>
      </c>
      <c r="C8" s="1094" t="s">
        <v>4199</v>
      </c>
      <c r="D8" s="1094"/>
    </row>
    <row r="9" spans="1:8">
      <c r="B9" s="1094" t="s">
        <v>2257</v>
      </c>
      <c r="C9" s="1094" t="s">
        <v>4200</v>
      </c>
      <c r="D9" s="1094" t="str">
        <f>ADDRESS(ROW(A1),COLUMN(A1))&amp;":"&amp;ADDRESS(ROW(E1),COLUMN(E1))</f>
        <v>$A$1:$E$1</v>
      </c>
    </row>
  </sheetData>
  <sheetProtection sheet="1" objects="1" scenarios="1" selectLockedCells="1"/>
  <phoneticPr fontId="2"/>
  <conditionalFormatting sqref="F1:XFD1">
    <cfRule type="expression" dxfId="107" priority="1">
      <formula>UNJC0250_IF_MODE=2</formula>
    </cfRule>
  </conditionalFormatting>
  <dataValidations count="1">
    <dataValidation type="custom" allowBlank="1" showInputMessage="1" showErrorMessage="1" sqref="H3">
      <formula1>AND(LEN(UNJC0250_H_ZAIKO_NO)=LENB(UNJC0250_H_ZAIKO_NO),LEN(UNJC0250_H_ZAIKO_NO)=10)</formula1>
    </dataValidation>
  </dataValidations>
  <pageMargins left="0.7" right="0.7" top="0.75" bottom="0.75" header="0.3" footer="0.3"/>
  <pageSetup paperSize="9" orientation="portrait" verticalDpi="0"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tabColor rgb="FFFFC000"/>
  </sheetPr>
  <dimension ref="A1:K19"/>
  <sheetViews>
    <sheetView showGridLines="0" showRowColHeaders="0" topLeftCell="F6" zoomScaleNormal="100" workbookViewId="0">
      <selection activeCell="H7" sqref="H7:I7"/>
    </sheetView>
  </sheetViews>
  <sheetFormatPr defaultRowHeight="16.5"/>
  <cols>
    <col min="1" max="1" width="9" style="231" hidden="1" customWidth="1"/>
    <col min="2" max="2" width="11.375" style="231" hidden="1" customWidth="1"/>
    <col min="3" max="3" width="32.375" style="231" hidden="1" customWidth="1"/>
    <col min="4" max="4" width="24.25" style="231" hidden="1" customWidth="1"/>
    <col min="5" max="5" width="9" style="231" hidden="1" customWidth="1"/>
    <col min="6" max="6" width="3.375" style="207" customWidth="1"/>
    <col min="7" max="11" width="11.75" style="207" customWidth="1"/>
    <col min="12" max="12" width="4.125" style="207" customWidth="1"/>
    <col min="13" max="13" width="3.375" style="207" customWidth="1"/>
    <col min="14" max="14" width="9.25" style="207" customWidth="1"/>
    <col min="15" max="15" width="11" style="207" customWidth="1"/>
    <col min="16" max="16" width="10.625" style="207" customWidth="1"/>
    <col min="17" max="19" width="10.375" style="207" customWidth="1"/>
    <col min="20" max="20" width="3.375" style="207" customWidth="1"/>
    <col min="21" max="16384" width="9" style="207"/>
  </cols>
  <sheetData>
    <row r="1" spans="1:11" ht="6.75" hidden="1" customHeight="1"/>
    <row r="2" spans="1:11" ht="6.75" hidden="1" customHeight="1"/>
    <row r="3" spans="1:11" ht="6.75" hidden="1" customHeight="1"/>
    <row r="4" spans="1:11" ht="6.75" hidden="1" customHeight="1"/>
    <row r="5" spans="1:11" ht="6.75" hidden="1" customHeight="1"/>
    <row r="7" spans="1:11">
      <c r="B7" s="1095" t="s">
        <v>1691</v>
      </c>
      <c r="C7" s="1095" t="s">
        <v>4201</v>
      </c>
      <c r="D7" s="1095" t="s">
        <v>2225</v>
      </c>
      <c r="G7" s="210" t="s">
        <v>4202</v>
      </c>
      <c r="H7" s="1829"/>
      <c r="I7" s="1829"/>
    </row>
    <row r="8" spans="1:11">
      <c r="B8" s="1094" t="s">
        <v>3197</v>
      </c>
      <c r="C8" s="1094" t="s">
        <v>4203</v>
      </c>
      <c r="D8" s="1094" t="str">
        <f>ROW(A1)&amp;":"&amp;ROW(A5)</f>
        <v>1:5</v>
      </c>
    </row>
    <row r="9" spans="1:11">
      <c r="B9" s="1094" t="s">
        <v>2257</v>
      </c>
      <c r="C9" s="1094" t="s">
        <v>4204</v>
      </c>
      <c r="D9" s="1094" t="str">
        <f>ADDRESS(ROW(A1),COLUMN(A1))&amp;":"&amp;ADDRESS(ROW(E1),COLUMN(E1))</f>
        <v>$A$1:$E$1</v>
      </c>
      <c r="G9" s="210" t="s">
        <v>3999</v>
      </c>
      <c r="H9" s="259"/>
      <c r="I9" s="1853" t="str">
        <f>IF(UNJC0250_B_KOBAIHIN_CD="","",UNJC0250_B_KOBAIHIN_MEI)</f>
        <v/>
      </c>
      <c r="J9" s="1854"/>
      <c r="K9" s="1855"/>
    </row>
    <row r="10" spans="1:11">
      <c r="G10" s="208" t="s">
        <v>4002</v>
      </c>
      <c r="H10" s="139"/>
      <c r="J10" s="208" t="s">
        <v>4003</v>
      </c>
      <c r="K10" s="139"/>
    </row>
    <row r="11" spans="1:11" ht="17.25" thickBot="1">
      <c r="A11" s="231" t="s">
        <v>3990</v>
      </c>
      <c r="D11" s="251" t="s">
        <v>4205</v>
      </c>
      <c r="G11" s="210" t="s">
        <v>4206</v>
      </c>
      <c r="H11" s="139"/>
      <c r="J11" s="208" t="s">
        <v>4008</v>
      </c>
      <c r="K11" s="1134"/>
    </row>
    <row r="12" spans="1:11">
      <c r="B12" s="1094" t="s">
        <v>3940</v>
      </c>
      <c r="C12" s="1097" t="s">
        <v>4207</v>
      </c>
      <c r="D12" s="1098"/>
      <c r="J12" s="780" t="s">
        <v>4007</v>
      </c>
      <c r="K12" s="1134"/>
    </row>
    <row r="13" spans="1:11">
      <c r="B13" s="1094" t="s">
        <v>4208</v>
      </c>
      <c r="C13" s="1097" t="s">
        <v>4209</v>
      </c>
      <c r="D13" s="1123"/>
    </row>
    <row r="14" spans="1:11">
      <c r="B14" s="1094" t="s">
        <v>23</v>
      </c>
      <c r="C14" s="1097" t="s">
        <v>4210</v>
      </c>
      <c r="D14" s="1123"/>
      <c r="G14" s="208" t="s">
        <v>72</v>
      </c>
      <c r="H14" s="259"/>
      <c r="I14" s="1853" t="str">
        <f>IF(UNJC0250_B_SHIIRESAKI_CD="","",UNJC0250_B_SHIIRESAKI_MEI)</f>
        <v/>
      </c>
      <c r="J14" s="1854"/>
      <c r="K14" s="1855"/>
    </row>
    <row r="15" spans="1:11">
      <c r="B15" s="1094" t="s">
        <v>61</v>
      </c>
      <c r="C15" s="1097" t="s">
        <v>4211</v>
      </c>
      <c r="D15" s="1123"/>
      <c r="G15" s="208" t="s">
        <v>4212</v>
      </c>
      <c r="H15" s="259"/>
      <c r="I15" s="1853" t="str">
        <f>IF(UNJC0250_B_MAKER_CD="","",UNJC0250_B_MAKER_MEI)</f>
        <v/>
      </c>
      <c r="J15" s="1854"/>
      <c r="K15" s="1855"/>
    </row>
    <row r="16" spans="1:11" ht="17.25" thickBot="1">
      <c r="B16" s="1102" t="s">
        <v>4004</v>
      </c>
      <c r="C16" s="1103" t="s">
        <v>4213</v>
      </c>
      <c r="D16" s="1104"/>
    </row>
    <row r="18" spans="7:8">
      <c r="G18" s="208" t="s">
        <v>4214</v>
      </c>
      <c r="H18" s="1096"/>
    </row>
    <row r="19" spans="7:8">
      <c r="G19" s="208" t="s">
        <v>4215</v>
      </c>
      <c r="H19" s="1096"/>
    </row>
  </sheetData>
  <sheetProtection sheet="1" objects="1" scenarios="1" selectLockedCells="1"/>
  <mergeCells count="4">
    <mergeCell ref="H7:I7"/>
    <mergeCell ref="I9:K9"/>
    <mergeCell ref="I14:K14"/>
    <mergeCell ref="I15:K15"/>
  </mergeCells>
  <phoneticPr fontId="2"/>
  <conditionalFormatting sqref="H10">
    <cfRule type="expression" dxfId="106" priority="6">
      <formula>INDIRECT(ADDRESS(ROW(),COLUMN()))=TRUNC(INDIRECT(ADDRESS(ROW(),COLUMN())))</formula>
    </cfRule>
  </conditionalFormatting>
  <conditionalFormatting sqref="H10">
    <cfRule type="expression" dxfId="105" priority="5">
      <formula>INDIRECT(ADDRESS(ROW(),COLUMN(UNMT0020_B_ROW_KBN)))&lt;&gt;2</formula>
    </cfRule>
  </conditionalFormatting>
  <conditionalFormatting sqref="H11">
    <cfRule type="expression" dxfId="104" priority="4">
      <formula>INDIRECT(ADDRESS(ROW(),COLUMN()))=TRUNC(INDIRECT(ADDRESS(ROW(),COLUMN())))</formula>
    </cfRule>
  </conditionalFormatting>
  <conditionalFormatting sqref="H11">
    <cfRule type="expression" dxfId="103" priority="3">
      <formula>INDIRECT(ADDRESS(ROW(),COLUMN(UNMT0020_B_ROW_KBN)))&lt;&gt;2</formula>
    </cfRule>
  </conditionalFormatting>
  <conditionalFormatting sqref="K10">
    <cfRule type="expression" dxfId="102" priority="2">
      <formula>INDIRECT(ADDRESS(ROW(),COLUMN()))=TRUNC(INDIRECT(ADDRESS(ROW(),COLUMN())))</formula>
    </cfRule>
  </conditionalFormatting>
  <conditionalFormatting sqref="K10">
    <cfRule type="expression" dxfId="101" priority="1">
      <formula>INDIRECT(ADDRESS(ROW(),COLUMN(UNMT0020_B_ROW_KBN)))&lt;&gt;2</formula>
    </cfRule>
  </conditionalFormatting>
  <dataValidations count="2">
    <dataValidation type="custom" allowBlank="1" showInputMessage="1" showErrorMessage="1" sqref="H10:H11 K10">
      <formula1>AND(NOT(ISERROR(INT(H10))),ROUND(H10,2)=H10,AND(H10&lt;10000000,H10&gt;-10000000))</formula1>
    </dataValidation>
    <dataValidation type="custom" allowBlank="1" showInputMessage="1" showErrorMessage="1" sqref="K11:K12">
      <formula1>LENB(K11)&lt;=10</formula1>
    </dataValidation>
  </dataValidations>
  <pageMargins left="0.7" right="0.7" top="0.75" bottom="0.75" header="0.3" footer="0.3"/>
  <pageSetup paperSize="9" orientation="portrait" verticalDpi="0"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BA85"/>
  <sheetViews>
    <sheetView workbookViewId="0">
      <selection activeCell="D9" sqref="D9"/>
    </sheetView>
  </sheetViews>
  <sheetFormatPr defaultRowHeight="13.5"/>
  <cols>
    <col min="1" max="1" width="9" style="970"/>
    <col min="2" max="2" width="26.5" style="970" bestFit="1" customWidth="1"/>
    <col min="3" max="3" width="31.625" style="970" bestFit="1" customWidth="1"/>
    <col min="4" max="4" width="24" style="970" bestFit="1" customWidth="1"/>
    <col min="5" max="13" width="9" style="970"/>
    <col min="14" max="14" width="9" style="970" customWidth="1"/>
    <col min="15" max="18" width="8.875" style="970" customWidth="1"/>
    <col min="19" max="19" width="2.75" style="970" customWidth="1"/>
    <col min="20" max="20" width="9" style="970"/>
    <col min="21" max="21" width="21.5" style="970" bestFit="1" customWidth="1"/>
    <col min="22" max="22" width="47.25" style="970" bestFit="1" customWidth="1"/>
    <col min="23" max="23" width="16.75" style="970" customWidth="1"/>
    <col min="24" max="16384" width="9" style="970"/>
  </cols>
  <sheetData>
    <row r="1" spans="1:53">
      <c r="A1" s="239" t="s">
        <v>1552</v>
      </c>
      <c r="I1" s="1106" t="s">
        <v>323</v>
      </c>
      <c r="T1" s="239" t="s">
        <v>1141</v>
      </c>
      <c r="U1" s="280"/>
      <c r="V1" s="280"/>
      <c r="W1" s="280"/>
      <c r="X1" s="280"/>
      <c r="Y1" s="280"/>
      <c r="Z1" s="280"/>
      <c r="AA1" s="280"/>
      <c r="AB1" s="280"/>
      <c r="AC1" s="280"/>
      <c r="AD1" s="280"/>
    </row>
    <row r="2" spans="1:53">
      <c r="A2" s="239"/>
      <c r="B2" s="280"/>
      <c r="C2" s="280"/>
      <c r="D2" s="280"/>
      <c r="E2" s="280"/>
      <c r="F2" s="280"/>
      <c r="J2" s="239" t="s">
        <v>4216</v>
      </c>
      <c r="N2" s="279" t="s">
        <v>4217</v>
      </c>
      <c r="T2" s="280"/>
      <c r="U2" s="280"/>
      <c r="V2" s="280"/>
      <c r="W2" s="280"/>
      <c r="X2" s="280"/>
      <c r="Y2" s="280"/>
      <c r="Z2" s="280"/>
      <c r="AA2" s="280"/>
      <c r="AB2" s="280"/>
      <c r="AC2" s="280"/>
      <c r="AG2" s="970" t="s">
        <v>522</v>
      </c>
    </row>
    <row r="3" spans="1:53" ht="16.5">
      <c r="A3" s="280"/>
      <c r="B3" s="1094" t="s">
        <v>104</v>
      </c>
      <c r="C3" s="1094" t="s">
        <v>4218</v>
      </c>
      <c r="D3" s="1094"/>
      <c r="E3" s="280" t="s">
        <v>105</v>
      </c>
      <c r="F3" s="280" t="s">
        <v>106</v>
      </c>
      <c r="N3" s="970" t="s">
        <v>466</v>
      </c>
      <c r="T3" s="280"/>
      <c r="U3" s="239" t="s">
        <v>111</v>
      </c>
      <c r="V3" s="280"/>
      <c r="W3" s="280"/>
      <c r="X3" s="280"/>
      <c r="Y3" s="280"/>
      <c r="Z3" s="231" t="s">
        <v>1687</v>
      </c>
      <c r="AA3" s="231"/>
      <c r="AB3" s="280"/>
      <c r="AC3" s="280"/>
      <c r="AG3" s="1107" t="s">
        <v>2288</v>
      </c>
      <c r="AH3" s="1107" t="s">
        <v>2289</v>
      </c>
      <c r="AI3" s="1107" t="s">
        <v>2290</v>
      </c>
      <c r="AJ3" s="1107" t="s">
        <v>4016</v>
      </c>
      <c r="AK3" s="1107" t="s">
        <v>4018</v>
      </c>
      <c r="AL3" s="1107" t="s">
        <v>4219</v>
      </c>
      <c r="AM3" s="1107" t="s">
        <v>4220</v>
      </c>
      <c r="AN3" s="1107" t="s">
        <v>4221</v>
      </c>
      <c r="AO3" s="1107" t="s">
        <v>4222</v>
      </c>
      <c r="AP3" s="1107" t="s">
        <v>4223</v>
      </c>
      <c r="AQ3" s="1107" t="s">
        <v>4224</v>
      </c>
      <c r="AR3" s="1107" t="s">
        <v>4225</v>
      </c>
      <c r="AS3" s="1107" t="s">
        <v>4226</v>
      </c>
      <c r="AT3" s="1107" t="s">
        <v>4227</v>
      </c>
      <c r="AU3" s="1107" t="s">
        <v>4228</v>
      </c>
      <c r="AV3" s="1107" t="s">
        <v>4229</v>
      </c>
      <c r="AW3" s="1107" t="s">
        <v>2291</v>
      </c>
      <c r="AX3" s="1107" t="s">
        <v>2292</v>
      </c>
      <c r="AY3" s="1107" t="s">
        <v>2293</v>
      </c>
      <c r="AZ3" s="1107" t="s">
        <v>2294</v>
      </c>
      <c r="BA3" s="1107" t="s">
        <v>2295</v>
      </c>
    </row>
    <row r="4" spans="1:53" ht="16.5">
      <c r="A4" s="280"/>
      <c r="B4" s="1094" t="s">
        <v>4230</v>
      </c>
      <c r="C4" s="1094" t="s">
        <v>4231</v>
      </c>
      <c r="D4" s="1094"/>
      <c r="E4" s="280"/>
      <c r="F4" s="280"/>
      <c r="J4" s="970" t="s">
        <v>466</v>
      </c>
      <c r="N4" s="970" t="s">
        <v>4232</v>
      </c>
      <c r="O4" s="1829"/>
      <c r="P4" s="1829"/>
      <c r="Q4" s="207"/>
      <c r="R4" s="207"/>
      <c r="T4" s="280"/>
      <c r="U4" s="1094" t="s">
        <v>4233</v>
      </c>
      <c r="V4" s="1094" t="s">
        <v>4234</v>
      </c>
      <c r="W4" s="1094"/>
      <c r="X4" s="280"/>
      <c r="Y4" s="280"/>
      <c r="Z4" s="579" t="s">
        <v>1688</v>
      </c>
      <c r="AA4" s="579"/>
      <c r="AB4" s="280"/>
      <c r="AC4" s="280"/>
      <c r="AG4" s="1108" t="s">
        <v>1194</v>
      </c>
      <c r="AH4" s="1108" t="s">
        <v>358</v>
      </c>
      <c r="AI4" s="1108" t="s">
        <v>359</v>
      </c>
      <c r="AJ4" s="1108" t="s">
        <v>360</v>
      </c>
      <c r="AK4" s="1109" t="s">
        <v>4028</v>
      </c>
      <c r="AL4" s="1109" t="s">
        <v>4235</v>
      </c>
      <c r="AM4" s="1109" t="s">
        <v>4236</v>
      </c>
      <c r="AN4" s="1108" t="s">
        <v>374</v>
      </c>
      <c r="AO4" s="1108" t="s">
        <v>77</v>
      </c>
      <c r="AP4" s="1108" t="s">
        <v>4237</v>
      </c>
      <c r="AQ4" s="1108" t="s">
        <v>3821</v>
      </c>
      <c r="AR4" s="1108" t="s">
        <v>399</v>
      </c>
      <c r="AS4" s="1109" t="s">
        <v>4238</v>
      </c>
      <c r="AT4" s="1108" t="s">
        <v>401</v>
      </c>
      <c r="AU4" s="1108" t="s">
        <v>4239</v>
      </c>
      <c r="AV4" s="1108" t="s">
        <v>4240</v>
      </c>
      <c r="AW4" s="1108" t="s">
        <v>375</v>
      </c>
      <c r="AX4" s="1108" t="s">
        <v>376</v>
      </c>
      <c r="AY4" s="1108" t="s">
        <v>377</v>
      </c>
      <c r="AZ4" s="1108" t="s">
        <v>378</v>
      </c>
      <c r="BA4" s="1108" t="s">
        <v>379</v>
      </c>
    </row>
    <row r="5" spans="1:53" ht="16.5">
      <c r="B5" s="1094" t="s">
        <v>4032</v>
      </c>
      <c r="C5" s="1094" t="s">
        <v>4241</v>
      </c>
      <c r="D5" s="1094">
        <f>IF(UNJC0250_B_SHIYAKU_FLG=TRUE,1,2)</f>
        <v>2</v>
      </c>
      <c r="E5" s="280" t="s">
        <v>105</v>
      </c>
      <c r="F5" s="280" t="s">
        <v>106</v>
      </c>
      <c r="J5" s="970" t="s">
        <v>4242</v>
      </c>
      <c r="K5" s="210" t="s">
        <v>3834</v>
      </c>
      <c r="L5" s="217"/>
      <c r="O5" s="207"/>
      <c r="P5" s="207"/>
      <c r="Q5" s="207"/>
      <c r="R5" s="207"/>
      <c r="T5" s="280"/>
      <c r="U5" s="1094" t="s">
        <v>110</v>
      </c>
      <c r="V5" s="1094" t="s">
        <v>4243</v>
      </c>
      <c r="W5" s="1094"/>
      <c r="X5" s="280"/>
      <c r="Y5" s="280"/>
      <c r="Z5" s="76" t="s">
        <v>1689</v>
      </c>
      <c r="AA5" s="76" t="s">
        <v>4244</v>
      </c>
      <c r="AB5" s="280"/>
      <c r="AE5" s="970" t="s">
        <v>4038</v>
      </c>
      <c r="AF5" s="970" t="s">
        <v>4245</v>
      </c>
      <c r="AG5" s="273">
        <f>UNJC0250_IF_W_USER_ID</f>
        <v>0</v>
      </c>
      <c r="AH5" s="273">
        <f>UNJC0250_IF_W_SERIAL</f>
        <v>0</v>
      </c>
      <c r="AI5" s="273">
        <v>1</v>
      </c>
      <c r="AJ5" s="273">
        <f>UNJC0250_IF_W_MODE</f>
        <v>1</v>
      </c>
      <c r="AK5" s="273" t="str">
        <f>IF(UNJC0250_H_ZAIKO_NO="","",UNJC0250_H_ZAIKO_NO)</f>
        <v/>
      </c>
      <c r="AL5" s="273" t="str">
        <f>IF(UNJC0250_B_KOBAIHIN_CD="","",UNJC0250_B_KOBAIHIN_CD)</f>
        <v/>
      </c>
      <c r="AM5" s="273" t="str">
        <f>IF(UNJC0250_B_HOKAN_BASHO="","",UNJC0250_B_HOKAN_BASHO_KBN)</f>
        <v/>
      </c>
      <c r="AN5" s="273" t="str">
        <f>IF(UNJC0250_B_SHIIRESAKI_CD="","",UNJC0250_B_SHIIRESAKI_CD)</f>
        <v/>
      </c>
      <c r="AO5" s="1110" t="str">
        <f>IF(UNJC0250_B_MAKER_CD="","",UNJC0250_B_MAKER_CD)</f>
        <v/>
      </c>
      <c r="AP5" s="273" t="str">
        <f>IF(UNJC0250_B_TANKA="","",UNJC0250_B_TANKA)</f>
        <v/>
      </c>
      <c r="AQ5" s="273" t="str">
        <f>IF(UNJC0250_B_IRISU="","",UNJC0250_B_IRISU)</f>
        <v/>
      </c>
      <c r="AR5" s="273" t="str">
        <f>IF(UNJC0250_B_IRISU_TANI="","",UNJC0250_B_IRISU_TANI)</f>
        <v/>
      </c>
      <c r="AS5" s="273" t="str">
        <f>IF(UNJC0250_B_ZAIKO_SURYO=0,"",UNJC0250_B_ZAIKO_SURYO)</f>
        <v/>
      </c>
      <c r="AT5" s="273" t="str">
        <f>IF(UNJC0250_B_BARA_TANI="","",UNJC0250_B_BARA_TANI)</f>
        <v/>
      </c>
      <c r="AU5" s="273" t="str">
        <f>IF(UNJC0250_B_LAST_NYUKO_DATE="","",UNJC0250_B_LAST_NYUKO_DATE)</f>
        <v/>
      </c>
      <c r="AV5" s="273" t="str">
        <f>IF(UNJC0250_B_LAST_SHUKKO_DATE="","",UNJC0250_B_LAST_SHUKKO_DATE)</f>
        <v/>
      </c>
      <c r="AW5" s="273"/>
      <c r="AX5" s="273"/>
      <c r="AY5" s="273"/>
      <c r="AZ5" s="273"/>
      <c r="BA5" s="273"/>
    </row>
    <row r="6" spans="1:53" ht="16.5">
      <c r="O6" s="1162"/>
      <c r="P6" s="1853" t="str">
        <f>IF(UNJC0250_B_KOBAIHIN_CD="","",UNJC0250_B_KOBAIHIN_MEI)</f>
        <v/>
      </c>
      <c r="Q6" s="1854"/>
      <c r="R6" s="1855"/>
      <c r="T6" s="280"/>
      <c r="U6" s="1094" t="s">
        <v>109</v>
      </c>
      <c r="V6" s="1094" t="s">
        <v>4246</v>
      </c>
      <c r="W6" s="1094">
        <v>0</v>
      </c>
      <c r="X6" s="280"/>
      <c r="Y6" s="280"/>
      <c r="Z6" s="76" t="s">
        <v>1690</v>
      </c>
      <c r="AA6" s="76" t="str">
        <f>ADDRESS(ROW(UNJC0250_IF_SAVE_CHECK_RESULT),COLUMN(UNJC0250_IF_SAVE_CHECK_RESULT))</f>
        <v>$AA$30</v>
      </c>
      <c r="AB6" s="280"/>
      <c r="AC6" s="280"/>
      <c r="AK6" s="970" t="s">
        <v>4247</v>
      </c>
      <c r="AL6" s="970" t="s">
        <v>4248</v>
      </c>
      <c r="AM6" s="970" t="s">
        <v>4249</v>
      </c>
      <c r="AS6" s="970" t="s">
        <v>4250</v>
      </c>
    </row>
    <row r="7" spans="1:53" ht="16.5">
      <c r="A7" s="1106" t="s">
        <v>112</v>
      </c>
      <c r="B7" s="280"/>
      <c r="C7" s="280"/>
      <c r="D7" s="280"/>
      <c r="E7" s="280"/>
      <c r="O7" s="139"/>
      <c r="P7" s="207"/>
      <c r="Q7" s="208" t="s">
        <v>4003</v>
      </c>
      <c r="R7" s="139"/>
      <c r="T7" s="280"/>
      <c r="U7" s="1094" t="s">
        <v>1324</v>
      </c>
      <c r="V7" s="1094" t="s">
        <v>4251</v>
      </c>
      <c r="W7" s="1094">
        <v>1</v>
      </c>
      <c r="X7" s="280"/>
      <c r="Y7" s="280"/>
      <c r="Z7" s="579" t="s">
        <v>1691</v>
      </c>
      <c r="AA7" s="579" t="s">
        <v>1692</v>
      </c>
      <c r="AB7" s="280"/>
      <c r="AC7" s="280"/>
    </row>
    <row r="8" spans="1:53" ht="16.5">
      <c r="A8" s="280"/>
      <c r="B8" s="1094" t="s">
        <v>4046</v>
      </c>
      <c r="C8" s="1094" t="s">
        <v>4252</v>
      </c>
      <c r="D8" s="1094">
        <v>0</v>
      </c>
      <c r="E8" s="280" t="s">
        <v>119</v>
      </c>
      <c r="O8" s="139"/>
      <c r="P8" s="207"/>
      <c r="Q8" s="208" t="s">
        <v>4008</v>
      </c>
      <c r="R8" s="1134"/>
      <c r="T8" s="280"/>
      <c r="U8" s="280"/>
      <c r="V8" s="280"/>
      <c r="W8" s="280"/>
      <c r="X8" s="280"/>
      <c r="Y8" s="280"/>
      <c r="Z8" s="76" t="s">
        <v>1677</v>
      </c>
      <c r="AA8" s="76" t="s">
        <v>4244</v>
      </c>
      <c r="AB8" s="280"/>
      <c r="AC8" s="280"/>
    </row>
    <row r="9" spans="1:53" ht="16.5">
      <c r="J9" s="970" t="s">
        <v>471</v>
      </c>
      <c r="O9" s="207"/>
      <c r="P9" s="207"/>
      <c r="Q9" s="780" t="s">
        <v>4007</v>
      </c>
      <c r="R9" s="1134"/>
      <c r="T9" s="280"/>
      <c r="U9" s="280"/>
      <c r="V9" s="280"/>
      <c r="W9" s="280"/>
      <c r="X9" s="280"/>
      <c r="Y9" s="280"/>
      <c r="Z9" s="76" t="s">
        <v>1693</v>
      </c>
      <c r="AA9" s="580" t="s">
        <v>4253</v>
      </c>
      <c r="AB9" s="280"/>
      <c r="AC9" s="280"/>
      <c r="AD9" s="280"/>
    </row>
    <row r="10" spans="1:53" ht="16.5">
      <c r="A10" s="280"/>
      <c r="B10" s="280"/>
      <c r="C10" s="280"/>
      <c r="D10" s="280"/>
      <c r="E10" s="280"/>
      <c r="J10" s="970" t="s">
        <v>4254</v>
      </c>
      <c r="K10" s="210" t="s">
        <v>3834</v>
      </c>
      <c r="L10" s="217"/>
      <c r="O10" s="207"/>
      <c r="P10" s="207"/>
      <c r="Q10" s="207"/>
      <c r="R10" s="207"/>
      <c r="T10" s="280"/>
      <c r="U10" s="239" t="s">
        <v>526</v>
      </c>
      <c r="V10" s="280"/>
      <c r="W10" s="280"/>
      <c r="X10" s="280"/>
      <c r="Y10" s="280"/>
      <c r="Z10" s="76" t="s">
        <v>1694</v>
      </c>
      <c r="AA10" s="580" t="s">
        <v>4255</v>
      </c>
      <c r="AB10" s="280"/>
      <c r="AC10" s="280"/>
    </row>
    <row r="11" spans="1:53" ht="16.5">
      <c r="A11" s="279" t="s">
        <v>120</v>
      </c>
      <c r="B11" s="280"/>
      <c r="C11" s="38"/>
      <c r="O11" s="1162"/>
      <c r="P11" s="1853" t="str">
        <f>IF(UNJC0250_B_SHIIRESAKI_CD="","",UNJC0250_B_SHIIRESAKI_MEI)</f>
        <v/>
      </c>
      <c r="Q11" s="1854"/>
      <c r="R11" s="1855"/>
      <c r="T11" s="280"/>
      <c r="U11" s="1094" t="s">
        <v>1339</v>
      </c>
      <c r="V11" s="1094" t="s">
        <v>4256</v>
      </c>
      <c r="W11" s="1094">
        <v>1</v>
      </c>
      <c r="X11" s="280"/>
      <c r="Y11" s="280"/>
      <c r="Z11" s="1459" t="s">
        <v>1695</v>
      </c>
      <c r="AA11" s="1459"/>
      <c r="AB11" s="280"/>
      <c r="AC11" s="280"/>
    </row>
    <row r="12" spans="1:53" ht="16.5">
      <c r="B12" s="1094" t="s">
        <v>121</v>
      </c>
      <c r="C12" s="1094" t="s">
        <v>4257</v>
      </c>
      <c r="D12" s="1094"/>
      <c r="O12" s="1162"/>
      <c r="P12" s="1853" t="str">
        <f>IF(UNJC0250_B_MAKER_CD="","",UNJC0250_B_MAKER_MEI)</f>
        <v/>
      </c>
      <c r="Q12" s="1854"/>
      <c r="R12" s="1855"/>
      <c r="T12" s="280"/>
      <c r="X12" s="280"/>
      <c r="Y12" s="280"/>
      <c r="Z12" s="581" t="s">
        <v>1677</v>
      </c>
      <c r="AA12" s="581"/>
      <c r="AB12" s="280"/>
      <c r="AC12" s="280"/>
    </row>
    <row r="13" spans="1:53" ht="16.5">
      <c r="B13" s="1094" t="s">
        <v>122</v>
      </c>
      <c r="C13" s="1094" t="s">
        <v>4258</v>
      </c>
      <c r="D13" s="1094"/>
      <c r="O13" s="207"/>
      <c r="P13" s="207"/>
      <c r="Q13" s="207"/>
      <c r="R13" s="207"/>
      <c r="T13" s="280"/>
      <c r="X13" s="280"/>
      <c r="Y13" s="280"/>
      <c r="Z13" s="16" t="s">
        <v>1696</v>
      </c>
      <c r="AA13" s="76"/>
      <c r="AB13" s="280"/>
      <c r="AC13" s="280"/>
    </row>
    <row r="14" spans="1:53" ht="16.5">
      <c r="B14" s="1094" t="s">
        <v>123</v>
      </c>
      <c r="C14" s="1094" t="s">
        <v>4259</v>
      </c>
      <c r="D14" s="1094"/>
      <c r="J14" s="970" t="s">
        <v>472</v>
      </c>
      <c r="O14" s="207"/>
      <c r="P14" s="207"/>
      <c r="Q14" s="207"/>
      <c r="R14" s="207"/>
      <c r="T14" s="280"/>
      <c r="U14" s="280"/>
      <c r="V14" s="280"/>
      <c r="W14" s="280"/>
      <c r="X14" s="280"/>
      <c r="Y14" s="280"/>
      <c r="Z14" s="16" t="s">
        <v>1697</v>
      </c>
      <c r="AA14" s="16"/>
      <c r="AB14" s="280"/>
      <c r="AC14" s="280"/>
    </row>
    <row r="15" spans="1:53" ht="16.5">
      <c r="B15" s="1094" t="s">
        <v>124</v>
      </c>
      <c r="C15" s="1094" t="s">
        <v>4260</v>
      </c>
      <c r="D15" s="1094"/>
      <c r="J15" s="970" t="s">
        <v>4261</v>
      </c>
      <c r="K15" s="210" t="s">
        <v>3834</v>
      </c>
      <c r="L15" s="217"/>
      <c r="O15" s="1096"/>
      <c r="P15" s="207"/>
      <c r="Q15" s="207"/>
      <c r="R15" s="207"/>
      <c r="T15" s="280"/>
      <c r="U15" s="279" t="s">
        <v>533</v>
      </c>
      <c r="W15" s="280"/>
      <c r="X15" s="280"/>
      <c r="Y15" s="280"/>
      <c r="Z15" s="16" t="s">
        <v>1698</v>
      </c>
      <c r="AA15" s="16"/>
      <c r="AB15" s="280"/>
      <c r="AC15" s="280"/>
    </row>
    <row r="16" spans="1:53" ht="16.5">
      <c r="O16" s="1096"/>
      <c r="P16" s="207"/>
      <c r="Q16" s="207"/>
      <c r="R16" s="207"/>
      <c r="T16" s="280"/>
      <c r="U16" s="1094" t="s">
        <v>4230</v>
      </c>
      <c r="V16" s="1094" t="s">
        <v>4262</v>
      </c>
      <c r="W16" s="1094"/>
      <c r="Y16" s="280"/>
      <c r="Z16" s="16" t="s">
        <v>1699</v>
      </c>
      <c r="AA16" s="16"/>
      <c r="AB16" s="280"/>
      <c r="AC16" s="280"/>
      <c r="AD16" s="280"/>
    </row>
    <row r="17" spans="1:30" ht="16.5">
      <c r="A17" s="279" t="s">
        <v>500</v>
      </c>
      <c r="C17" s="280"/>
      <c r="D17" s="38"/>
      <c r="E17" s="279" t="s">
        <v>482</v>
      </c>
      <c r="F17" s="279" t="s">
        <v>8</v>
      </c>
      <c r="G17" s="279" t="s">
        <v>484</v>
      </c>
      <c r="T17" s="280"/>
      <c r="U17" s="1094" t="s">
        <v>340</v>
      </c>
      <c r="V17" s="1094" t="s">
        <v>4263</v>
      </c>
      <c r="W17" s="1094"/>
      <c r="Y17" s="280"/>
      <c r="Z17" s="16" t="s">
        <v>1700</v>
      </c>
      <c r="AA17" s="16"/>
      <c r="AB17" s="280"/>
      <c r="AC17" s="280"/>
      <c r="AD17" s="280"/>
    </row>
    <row r="18" spans="1:30" ht="16.5">
      <c r="B18" s="1094" t="s">
        <v>1363</v>
      </c>
      <c r="C18" s="1094" t="s">
        <v>4264</v>
      </c>
      <c r="D18" s="1094" t="str">
        <f>IF(UNJC0250_IF_MODE=1,"-",IF(UNJC0250_IF_MODE=2,"修正キャンセル","修正"))</f>
        <v>修正</v>
      </c>
      <c r="E18" s="280" t="s">
        <v>4265</v>
      </c>
      <c r="F18" s="970" t="s">
        <v>484</v>
      </c>
      <c r="G18" s="970" t="s">
        <v>8</v>
      </c>
      <c r="T18" s="280"/>
      <c r="U18" s="1094" t="s">
        <v>528</v>
      </c>
      <c r="V18" s="1094" t="s">
        <v>4266</v>
      </c>
      <c r="W18" s="1094"/>
      <c r="X18" s="280"/>
      <c r="Y18" s="280"/>
      <c r="Z18" s="16" t="s">
        <v>1701</v>
      </c>
      <c r="AA18" s="16"/>
      <c r="AB18" s="280"/>
      <c r="AC18" s="280"/>
      <c r="AD18" s="280"/>
    </row>
    <row r="19" spans="1:30" ht="16.5">
      <c r="A19" s="280"/>
      <c r="B19" s="1094" t="s">
        <v>1366</v>
      </c>
      <c r="C19" s="1094" t="s">
        <v>4267</v>
      </c>
      <c r="D19" s="1094" t="s">
        <v>4268</v>
      </c>
      <c r="E19" s="280" t="s">
        <v>4268</v>
      </c>
      <c r="F19" s="280" t="s">
        <v>4268</v>
      </c>
      <c r="G19" s="280" t="s">
        <v>4268</v>
      </c>
      <c r="J19" s="280" t="s">
        <v>4065</v>
      </c>
      <c r="T19" s="280"/>
      <c r="U19" s="1094" t="s">
        <v>330</v>
      </c>
      <c r="V19" s="1094" t="s">
        <v>4269</v>
      </c>
      <c r="W19" s="1094">
        <f>IF(UNJC0250_IF_SAVE_RESULT_CD=0,2,1)</f>
        <v>2</v>
      </c>
      <c r="X19" s="970" t="s">
        <v>335</v>
      </c>
      <c r="Y19" s="280"/>
      <c r="Z19" s="16" t="s">
        <v>1702</v>
      </c>
      <c r="AA19" s="16"/>
      <c r="AB19" s="280"/>
      <c r="AC19" s="280"/>
      <c r="AD19" s="280"/>
    </row>
    <row r="20" spans="1:30" ht="16.5">
      <c r="J20" s="970" t="s">
        <v>4270</v>
      </c>
      <c r="K20" s="210" t="s">
        <v>3834</v>
      </c>
      <c r="L20" s="1062"/>
      <c r="N20" s="970" t="s">
        <v>471</v>
      </c>
      <c r="T20" s="280"/>
      <c r="U20" s="1094" t="s">
        <v>1733</v>
      </c>
      <c r="V20" s="1094" t="s">
        <v>4271</v>
      </c>
      <c r="W20" s="1094" t="s">
        <v>4272</v>
      </c>
      <c r="X20" s="280"/>
      <c r="Z20" s="231" t="s">
        <v>1703</v>
      </c>
      <c r="AA20" s="21"/>
    </row>
    <row r="21" spans="1:30" ht="16.5">
      <c r="A21" s="1106" t="s">
        <v>1376</v>
      </c>
      <c r="B21" s="280"/>
      <c r="C21" s="280"/>
      <c r="D21" s="280"/>
      <c r="E21" s="279" t="s">
        <v>482</v>
      </c>
      <c r="F21" s="279" t="s">
        <v>8</v>
      </c>
      <c r="G21" s="279" t="s">
        <v>484</v>
      </c>
      <c r="N21" s="970" t="s">
        <v>4273</v>
      </c>
      <c r="O21" s="1829"/>
      <c r="P21" s="1829"/>
      <c r="Q21" s="207"/>
      <c r="R21" s="207"/>
      <c r="T21" s="280"/>
      <c r="Y21" s="280"/>
      <c r="Z21" s="582" t="s">
        <v>1704</v>
      </c>
      <c r="AA21" s="583"/>
      <c r="AB21" s="280"/>
      <c r="AC21" s="280"/>
      <c r="AD21" s="280"/>
    </row>
    <row r="22" spans="1:30" ht="16.5">
      <c r="A22" s="239"/>
      <c r="B22" s="1094" t="s">
        <v>1363</v>
      </c>
      <c r="C22" s="1094" t="s">
        <v>4274</v>
      </c>
      <c r="D22" s="1094">
        <f>IF(UNJC0250_IF_MODE=1,2,IF(UNJC0250_IF_MODE=2,1,1))</f>
        <v>1</v>
      </c>
      <c r="E22" s="970" t="s">
        <v>498</v>
      </c>
      <c r="F22" s="970" t="s">
        <v>499</v>
      </c>
      <c r="G22" s="970" t="s">
        <v>499</v>
      </c>
      <c r="O22" s="207"/>
      <c r="P22" s="207"/>
      <c r="Q22" s="207"/>
      <c r="R22" s="207"/>
      <c r="T22" s="280"/>
      <c r="X22" s="280"/>
      <c r="Y22" s="280"/>
      <c r="Z22" s="582" t="s">
        <v>1705</v>
      </c>
      <c r="AA22" s="583"/>
      <c r="AB22" s="280"/>
      <c r="AC22" s="280"/>
      <c r="AD22" s="280"/>
    </row>
    <row r="23" spans="1:30" ht="16.5">
      <c r="A23" s="239"/>
      <c r="B23" s="1094" t="s">
        <v>1380</v>
      </c>
      <c r="C23" s="1094" t="s">
        <v>4275</v>
      </c>
      <c r="D23" s="1094">
        <f>IF(UNJC0250_IF_MODE=1,2,IF(UNJC0250_IF_MODE=2,1,2))</f>
        <v>2</v>
      </c>
      <c r="E23" s="970" t="s">
        <v>498</v>
      </c>
      <c r="F23" s="970" t="s">
        <v>499</v>
      </c>
      <c r="G23" s="970" t="s">
        <v>498</v>
      </c>
      <c r="O23" s="1162"/>
      <c r="P23" s="1853" t="str">
        <f>IF(UNJC0250_B_KOBAIHIN_CD="","",UNJC0250_B_KOBAIHIN_MEI)</f>
        <v/>
      </c>
      <c r="Q23" s="1854"/>
      <c r="R23" s="1855"/>
      <c r="T23" s="280"/>
      <c r="Y23" s="280"/>
      <c r="Z23" s="231" t="s">
        <v>1706</v>
      </c>
      <c r="AA23" s="21"/>
      <c r="AB23" s="280"/>
      <c r="AC23" s="280"/>
      <c r="AD23" s="280"/>
    </row>
    <row r="24" spans="1:30" ht="16.5">
      <c r="A24" s="280"/>
      <c r="B24" s="1094" t="s">
        <v>1366</v>
      </c>
      <c r="C24" s="1094" t="s">
        <v>4276</v>
      </c>
      <c r="D24" s="1094">
        <f>IF(UNJC0250_IF_MODE=1,2,IF(UNJC0250_IF_MODE=2,1,2))</f>
        <v>2</v>
      </c>
      <c r="E24" s="970" t="s">
        <v>498</v>
      </c>
      <c r="F24" s="970" t="s">
        <v>499</v>
      </c>
      <c r="G24" s="970" t="s">
        <v>498</v>
      </c>
      <c r="O24" s="139"/>
      <c r="P24" s="207"/>
      <c r="Q24" s="208" t="s">
        <v>4003</v>
      </c>
      <c r="R24" s="139"/>
      <c r="T24" s="280"/>
      <c r="Y24" s="280"/>
      <c r="Z24" s="280"/>
      <c r="AA24" s="280"/>
      <c r="AB24" s="280"/>
      <c r="AC24" s="280"/>
      <c r="AD24" s="280"/>
    </row>
    <row r="25" spans="1:30" ht="16.5">
      <c r="A25" s="280"/>
      <c r="B25" s="1094" t="s">
        <v>4072</v>
      </c>
      <c r="C25" s="1094" t="s">
        <v>4277</v>
      </c>
      <c r="D25" s="1094">
        <f>IF(UNJC0250_IF_MODE=1,2,IF(UNJC0250_IF_MODE=2,2,1))</f>
        <v>1</v>
      </c>
      <c r="E25" s="970" t="s">
        <v>498</v>
      </c>
      <c r="F25" s="970" t="s">
        <v>498</v>
      </c>
      <c r="G25" s="970" t="s">
        <v>499</v>
      </c>
      <c r="O25" s="139"/>
      <c r="P25" s="207"/>
      <c r="Q25" s="208" t="s">
        <v>4008</v>
      </c>
      <c r="R25" s="1134"/>
      <c r="T25" s="280"/>
      <c r="U25" s="280"/>
      <c r="V25" s="280"/>
      <c r="W25" s="280"/>
      <c r="X25" s="280"/>
      <c r="Y25" s="280"/>
      <c r="Z25" s="279" t="s">
        <v>1729</v>
      </c>
      <c r="AC25" s="280"/>
      <c r="AD25" s="280"/>
    </row>
    <row r="26" spans="1:30" ht="16.5">
      <c r="A26" s="280"/>
      <c r="O26" s="207"/>
      <c r="P26" s="207"/>
      <c r="Q26" s="780" t="s">
        <v>4007</v>
      </c>
      <c r="R26" s="1134"/>
      <c r="T26" s="280"/>
      <c r="U26" s="280"/>
      <c r="V26" s="280"/>
      <c r="W26" s="280"/>
      <c r="X26" s="280"/>
      <c r="Y26" s="280"/>
      <c r="Z26" s="280" t="s">
        <v>331</v>
      </c>
      <c r="AA26" s="280" t="s">
        <v>4278</v>
      </c>
      <c r="AB26" s="273">
        <f>IF(ISBLANK(UNJC0250_IF_SAVE_CHECK_RESULT)=TRUE,2,1)</f>
        <v>2</v>
      </c>
      <c r="AC26" s="970" t="s">
        <v>335</v>
      </c>
    </row>
    <row r="27" spans="1:30" ht="16.5">
      <c r="A27" s="280"/>
      <c r="B27" s="280"/>
      <c r="C27" s="280"/>
      <c r="D27" s="280"/>
      <c r="E27" s="280"/>
      <c r="F27" s="280"/>
      <c r="G27" s="280"/>
      <c r="O27" s="207"/>
      <c r="P27" s="207"/>
      <c r="Q27" s="207"/>
      <c r="R27" s="207"/>
      <c r="T27" s="280"/>
      <c r="U27" s="280"/>
      <c r="V27" s="280"/>
      <c r="W27" s="280"/>
      <c r="X27" s="280"/>
      <c r="Y27" s="280"/>
      <c r="Z27" s="970" t="s">
        <v>1733</v>
      </c>
      <c r="AA27" s="280" t="s">
        <v>4279</v>
      </c>
      <c r="AB27" s="273" t="str">
        <f>"以下の項目が入力されていません。"&amp;
IF(UNJC0250_IF_SAVE_CHECK_RESULT&gt;=1,"
行番号："&amp;UNJC0250_IF_SAVE_CHECK_RESULT-ROW(UNJC0250_IF_SAVE_CHECK_START)+1,"")&amp;
"
項目名："&amp;UNJC0250_IF_SAVE_CHECK_ERROR_KOMOKU</f>
        <v>以下の項目が入力されていません。
項目名：</v>
      </c>
      <c r="AC27" s="280"/>
      <c r="AD27" s="280"/>
    </row>
    <row r="28" spans="1:30" ht="16.5">
      <c r="A28" s="279" t="s">
        <v>740</v>
      </c>
      <c r="O28" s="1162"/>
      <c r="P28" s="1853" t="str">
        <f>IF(UNJC0250_B_SHIIRESAKI_CD="","",UNJC0250_B_SHIIRESAKI_MEI)</f>
        <v/>
      </c>
      <c r="Q28" s="1854"/>
      <c r="R28" s="1855"/>
      <c r="T28" s="280"/>
      <c r="U28" s="280"/>
      <c r="V28" s="280"/>
      <c r="X28" s="280"/>
      <c r="Y28" s="280"/>
      <c r="Z28" s="280"/>
      <c r="AA28" s="280"/>
      <c r="AB28" s="280"/>
      <c r="AC28" s="280"/>
      <c r="AD28" s="280"/>
    </row>
    <row r="29" spans="1:30" ht="16.5">
      <c r="B29" s="1094" t="s">
        <v>741</v>
      </c>
      <c r="C29" s="1094" t="s">
        <v>4280</v>
      </c>
      <c r="D29" s="1094" t="str">
        <f ca="1">"在庫調整入力_"&amp;UNJC0250_IF_REF_NO&amp;"_"&amp;TEXT(NOW(),"YYYYMMDD")</f>
        <v>在庫調整入力__20170927</v>
      </c>
      <c r="O29" s="1162"/>
      <c r="P29" s="1853" t="str">
        <f>IF(UNJC0250_B_MAKER_CD="","",UNJC0250_B_MAKER_MEI)</f>
        <v/>
      </c>
      <c r="Q29" s="1854"/>
      <c r="R29" s="1855"/>
      <c r="U29" s="280"/>
      <c r="V29" s="280"/>
      <c r="Z29" s="280"/>
      <c r="AA29" s="280" t="s">
        <v>4281</v>
      </c>
      <c r="AB29" s="280" t="s">
        <v>4282</v>
      </c>
    </row>
    <row r="30" spans="1:30" ht="16.5">
      <c r="O30" s="207"/>
      <c r="P30" s="207"/>
      <c r="Q30" s="207"/>
      <c r="R30" s="207"/>
      <c r="Z30" s="970" t="s">
        <v>1707</v>
      </c>
      <c r="AA30" s="273"/>
      <c r="AB30" s="281"/>
    </row>
    <row r="31" spans="1:30" ht="16.5">
      <c r="O31" s="207"/>
      <c r="P31" s="207"/>
      <c r="Q31" s="207"/>
      <c r="R31" s="207"/>
    </row>
    <row r="32" spans="1:30" ht="16.5">
      <c r="O32" s="1096"/>
      <c r="P32" s="207"/>
      <c r="Q32" s="207"/>
      <c r="R32" s="207"/>
    </row>
    <row r="33" spans="14:18" ht="16.5">
      <c r="O33" s="1096"/>
      <c r="P33" s="207"/>
      <c r="Q33" s="207"/>
      <c r="R33" s="207"/>
    </row>
    <row r="36" spans="14:18">
      <c r="N36" s="970" t="s">
        <v>472</v>
      </c>
    </row>
    <row r="37" spans="14:18" ht="16.5">
      <c r="N37" s="970" t="s">
        <v>4283</v>
      </c>
      <c r="O37" s="1857"/>
      <c r="P37" s="1857"/>
      <c r="Q37" s="215"/>
      <c r="R37" s="215"/>
    </row>
    <row r="38" spans="14:18" ht="16.5">
      <c r="O38" s="215"/>
      <c r="P38" s="215"/>
      <c r="Q38" s="215"/>
      <c r="R38" s="215"/>
    </row>
    <row r="39" spans="14:18" ht="16.5">
      <c r="O39" s="1163"/>
      <c r="P39" s="1423" t="str">
        <f>IF(UNJC0250_B_KOBAIHIN_CD="","",UNJC0250_B_KOBAIHIN_MEI)</f>
        <v/>
      </c>
      <c r="Q39" s="1424"/>
      <c r="R39" s="1425"/>
    </row>
    <row r="40" spans="14:18" ht="16.5">
      <c r="O40" s="284"/>
      <c r="P40" s="215"/>
      <c r="Q40" s="216" t="s">
        <v>4003</v>
      </c>
      <c r="R40" s="284"/>
    </row>
    <row r="41" spans="14:18" ht="16.5">
      <c r="O41" s="284"/>
      <c r="P41" s="215"/>
      <c r="Q41" s="216" t="s">
        <v>4008</v>
      </c>
      <c r="R41" s="217"/>
    </row>
    <row r="42" spans="14:18" ht="13.5" customHeight="1">
      <c r="O42" s="215"/>
      <c r="P42" s="215"/>
      <c r="Q42" s="216" t="s">
        <v>4007</v>
      </c>
      <c r="R42" s="217"/>
    </row>
    <row r="43" spans="14:18" ht="13.5" customHeight="1">
      <c r="O43" s="215"/>
      <c r="P43" s="215"/>
      <c r="Q43" s="215"/>
      <c r="R43" s="215"/>
    </row>
    <row r="44" spans="14:18" ht="16.5">
      <c r="O44" s="1163"/>
      <c r="P44" s="1423" t="str">
        <f>IF(UNJC0250_B_SHIIRESAKI_CD="","",UNJC0250_B_SHIIRESAKI_MEI)</f>
        <v/>
      </c>
      <c r="Q44" s="1424"/>
      <c r="R44" s="1425"/>
    </row>
    <row r="45" spans="14:18" ht="16.5">
      <c r="O45" s="1163"/>
      <c r="P45" s="1423" t="str">
        <f>IF(UNJC0250_B_MAKER_CD="","",UNJC0250_B_MAKER_MEI)</f>
        <v/>
      </c>
      <c r="Q45" s="1424"/>
      <c r="R45" s="1425"/>
    </row>
    <row r="46" spans="14:18" ht="16.5">
      <c r="O46" s="215"/>
      <c r="P46" s="215"/>
      <c r="Q46" s="215"/>
      <c r="R46" s="215"/>
    </row>
    <row r="47" spans="14:18" ht="16.5">
      <c r="O47" s="215"/>
      <c r="P47" s="215"/>
      <c r="Q47" s="215"/>
      <c r="R47" s="215"/>
    </row>
    <row r="48" spans="14:18" ht="16.5">
      <c r="O48" s="219"/>
      <c r="P48" s="215"/>
      <c r="Q48" s="215"/>
      <c r="R48" s="215"/>
    </row>
    <row r="49" spans="14:18" ht="16.5">
      <c r="O49" s="219"/>
      <c r="P49" s="215"/>
      <c r="Q49" s="215"/>
      <c r="R49" s="215"/>
    </row>
    <row r="52" spans="14:18">
      <c r="N52" s="333" t="s">
        <v>4065</v>
      </c>
    </row>
    <row r="53" spans="14:18" ht="16.5">
      <c r="N53" s="970" t="s">
        <v>4284</v>
      </c>
      <c r="O53" s="1857"/>
      <c r="P53" s="1857"/>
      <c r="Q53" s="215"/>
      <c r="R53" s="215"/>
    </row>
    <row r="54" spans="14:18" ht="16.5">
      <c r="O54" s="215"/>
      <c r="P54" s="215"/>
      <c r="Q54" s="215"/>
      <c r="R54" s="215"/>
    </row>
    <row r="55" spans="14:18" ht="16.5">
      <c r="O55" s="1163"/>
      <c r="P55" s="1423" t="str">
        <f>IF(UNJC0250_B_KOBAIHIN_CD="","",UNJC0250_B_KOBAIHIN_MEI)</f>
        <v/>
      </c>
      <c r="Q55" s="1424"/>
      <c r="R55" s="1425"/>
    </row>
    <row r="56" spans="14:18" ht="16.5">
      <c r="O56" s="284"/>
      <c r="P56" s="215"/>
      <c r="Q56" s="216" t="s">
        <v>4003</v>
      </c>
      <c r="R56" s="284"/>
    </row>
    <row r="57" spans="14:18" ht="16.5">
      <c r="O57" s="284"/>
      <c r="P57" s="215"/>
      <c r="Q57" s="216" t="s">
        <v>4008</v>
      </c>
      <c r="R57" s="217"/>
    </row>
    <row r="58" spans="14:18" ht="16.5">
      <c r="O58" s="215"/>
      <c r="P58" s="215"/>
      <c r="Q58" s="216" t="s">
        <v>4007</v>
      </c>
      <c r="R58" s="217"/>
    </row>
    <row r="59" spans="14:18" ht="16.5">
      <c r="O59" s="215"/>
      <c r="P59" s="215"/>
      <c r="Q59" s="215"/>
      <c r="R59" s="215"/>
    </row>
    <row r="60" spans="14:18" ht="16.5">
      <c r="O60" s="1163"/>
      <c r="P60" s="1423" t="str">
        <f>IF(UNJC0250_B_SHIIRESAKI_CD="","",UNJC0250_B_SHIIRESAKI_MEI)</f>
        <v/>
      </c>
      <c r="Q60" s="1424"/>
      <c r="R60" s="1425"/>
    </row>
    <row r="61" spans="14:18" ht="16.5">
      <c r="O61" s="1163"/>
      <c r="P61" s="1423" t="str">
        <f>IF(UNJC0250_B_MAKER_CD="","",UNJC0250_B_MAKER_MEI)</f>
        <v/>
      </c>
      <c r="Q61" s="1424"/>
      <c r="R61" s="1425"/>
    </row>
    <row r="62" spans="14:18" ht="16.5">
      <c r="O62" s="215"/>
      <c r="P62" s="215"/>
      <c r="Q62" s="215"/>
      <c r="R62" s="215"/>
    </row>
    <row r="63" spans="14:18" ht="16.5">
      <c r="O63" s="215"/>
      <c r="P63" s="215"/>
      <c r="Q63" s="215"/>
      <c r="R63" s="215"/>
    </row>
    <row r="64" spans="14:18" ht="16.5">
      <c r="O64" s="219"/>
      <c r="P64" s="215"/>
      <c r="Q64" s="215"/>
      <c r="R64" s="215"/>
    </row>
    <row r="65" spans="15:18" ht="16.5">
      <c r="O65" s="219"/>
      <c r="P65" s="215"/>
      <c r="Q65" s="215"/>
      <c r="R65" s="215"/>
    </row>
    <row r="84" ht="13.5" customHeight="1"/>
    <row r="85" ht="13.5" customHeight="1"/>
  </sheetData>
  <mergeCells count="17">
    <mergeCell ref="P45:R45"/>
    <mergeCell ref="O53:P53"/>
    <mergeCell ref="P55:R55"/>
    <mergeCell ref="P60:R60"/>
    <mergeCell ref="P61:R61"/>
    <mergeCell ref="P44:R44"/>
    <mergeCell ref="O4:P4"/>
    <mergeCell ref="P6:R6"/>
    <mergeCell ref="P11:R11"/>
    <mergeCell ref="Z11:AA11"/>
    <mergeCell ref="P12:R12"/>
    <mergeCell ref="O21:P21"/>
    <mergeCell ref="P23:R23"/>
    <mergeCell ref="P28:R28"/>
    <mergeCell ref="P29:R29"/>
    <mergeCell ref="O37:P37"/>
    <mergeCell ref="P39:R39"/>
  </mergeCells>
  <phoneticPr fontId="2"/>
  <conditionalFormatting sqref="O7">
    <cfRule type="expression" dxfId="100" priority="24">
      <formula>INDIRECT(ADDRESS(ROW(),COLUMN()))=TRUNC(INDIRECT(ADDRESS(ROW(),COLUMN())))</formula>
    </cfRule>
  </conditionalFormatting>
  <conditionalFormatting sqref="O7">
    <cfRule type="expression" dxfId="99" priority="23">
      <formula>INDIRECT(ADDRESS(ROW(),COLUMN(UNMT0020_B_ROW_KBN)))&lt;&gt;2</formula>
    </cfRule>
  </conditionalFormatting>
  <conditionalFormatting sqref="O8">
    <cfRule type="expression" dxfId="98" priority="22">
      <formula>INDIRECT(ADDRESS(ROW(),COLUMN()))=TRUNC(INDIRECT(ADDRESS(ROW(),COLUMN())))</formula>
    </cfRule>
  </conditionalFormatting>
  <conditionalFormatting sqref="O8">
    <cfRule type="expression" dxfId="97" priority="21">
      <formula>INDIRECT(ADDRESS(ROW(),COLUMN(UNMT0020_B_ROW_KBN)))&lt;&gt;2</formula>
    </cfRule>
  </conditionalFormatting>
  <conditionalFormatting sqref="R7">
    <cfRule type="expression" dxfId="96" priority="20">
      <formula>INDIRECT(ADDRESS(ROW(),COLUMN()))=TRUNC(INDIRECT(ADDRESS(ROW(),COLUMN())))</formula>
    </cfRule>
  </conditionalFormatting>
  <conditionalFormatting sqref="R7">
    <cfRule type="expression" dxfId="95" priority="19">
      <formula>INDIRECT(ADDRESS(ROW(),COLUMN(UNMT0020_B_ROW_KBN)))&lt;&gt;2</formula>
    </cfRule>
  </conditionalFormatting>
  <conditionalFormatting sqref="O24">
    <cfRule type="expression" dxfId="94" priority="18">
      <formula>INDIRECT(ADDRESS(ROW(),COLUMN()))=TRUNC(INDIRECT(ADDRESS(ROW(),COLUMN())))</formula>
    </cfRule>
  </conditionalFormatting>
  <conditionalFormatting sqref="O24">
    <cfRule type="expression" dxfId="93" priority="17">
      <formula>INDIRECT(ADDRESS(ROW(),COLUMN(UNMT0020_B_ROW_KBN)))&lt;&gt;2</formula>
    </cfRule>
  </conditionalFormatting>
  <conditionalFormatting sqref="O25">
    <cfRule type="expression" dxfId="92" priority="16">
      <formula>INDIRECT(ADDRESS(ROW(),COLUMN()))=TRUNC(INDIRECT(ADDRESS(ROW(),COLUMN())))</formula>
    </cfRule>
  </conditionalFormatting>
  <conditionalFormatting sqref="O25">
    <cfRule type="expression" dxfId="91" priority="15">
      <formula>INDIRECT(ADDRESS(ROW(),COLUMN(UNMT0020_B_ROW_KBN)))&lt;&gt;2</formula>
    </cfRule>
  </conditionalFormatting>
  <conditionalFormatting sqref="R24">
    <cfRule type="expression" dxfId="90" priority="14">
      <formula>INDIRECT(ADDRESS(ROW(),COLUMN()))=TRUNC(INDIRECT(ADDRESS(ROW(),COLUMN())))</formula>
    </cfRule>
  </conditionalFormatting>
  <conditionalFormatting sqref="R24">
    <cfRule type="expression" dxfId="89" priority="13">
      <formula>INDIRECT(ADDRESS(ROW(),COLUMN(UNMT0020_B_ROW_KBN)))&lt;&gt;2</formula>
    </cfRule>
  </conditionalFormatting>
  <conditionalFormatting sqref="O40">
    <cfRule type="expression" dxfId="88" priority="12">
      <formula>INDIRECT(ADDRESS(ROW(),COLUMN()))=TRUNC(INDIRECT(ADDRESS(ROW(),COLUMN())))</formula>
    </cfRule>
  </conditionalFormatting>
  <conditionalFormatting sqref="O40">
    <cfRule type="expression" dxfId="87" priority="11">
      <formula>INDIRECT(ADDRESS(ROW(),COLUMN(UNMT0020_B_ROW_KBN)))&lt;&gt;2</formula>
    </cfRule>
  </conditionalFormatting>
  <conditionalFormatting sqref="O41">
    <cfRule type="expression" dxfId="86" priority="10">
      <formula>INDIRECT(ADDRESS(ROW(),COLUMN()))=TRUNC(INDIRECT(ADDRESS(ROW(),COLUMN())))</formula>
    </cfRule>
  </conditionalFormatting>
  <conditionalFormatting sqref="O41">
    <cfRule type="expression" dxfId="85" priority="9">
      <formula>INDIRECT(ADDRESS(ROW(),COLUMN(UNMT0020_B_ROW_KBN)))&lt;&gt;2</formula>
    </cfRule>
  </conditionalFormatting>
  <conditionalFormatting sqref="R40">
    <cfRule type="expression" dxfId="84" priority="8">
      <formula>INDIRECT(ADDRESS(ROW(),COLUMN()))=TRUNC(INDIRECT(ADDRESS(ROW(),COLUMN())))</formula>
    </cfRule>
  </conditionalFormatting>
  <conditionalFormatting sqref="R40">
    <cfRule type="expression" dxfId="83" priority="7">
      <formula>INDIRECT(ADDRESS(ROW(),COLUMN(UNMT0020_B_ROW_KBN)))&lt;&gt;2</formula>
    </cfRule>
  </conditionalFormatting>
  <conditionalFormatting sqref="O56">
    <cfRule type="expression" dxfId="82" priority="6">
      <formula>INDIRECT(ADDRESS(ROW(),COLUMN()))=TRUNC(INDIRECT(ADDRESS(ROW(),COLUMN())))</formula>
    </cfRule>
  </conditionalFormatting>
  <conditionalFormatting sqref="O56">
    <cfRule type="expression" dxfId="81" priority="5">
      <formula>INDIRECT(ADDRESS(ROW(),COLUMN(UNMT0020_B_ROW_KBN)))&lt;&gt;2</formula>
    </cfRule>
  </conditionalFormatting>
  <conditionalFormatting sqref="O57">
    <cfRule type="expression" dxfId="80" priority="4">
      <formula>INDIRECT(ADDRESS(ROW(),COLUMN()))=TRUNC(INDIRECT(ADDRESS(ROW(),COLUMN())))</formula>
    </cfRule>
  </conditionalFormatting>
  <conditionalFormatting sqref="O57">
    <cfRule type="expression" dxfId="79" priority="3">
      <formula>INDIRECT(ADDRESS(ROW(),COLUMN(UNMT0020_B_ROW_KBN)))&lt;&gt;2</formula>
    </cfRule>
  </conditionalFormatting>
  <conditionalFormatting sqref="R56">
    <cfRule type="expression" dxfId="78" priority="2">
      <formula>INDIRECT(ADDRESS(ROW(),COLUMN()))=TRUNC(INDIRECT(ADDRESS(ROW(),COLUMN())))</formula>
    </cfRule>
  </conditionalFormatting>
  <conditionalFormatting sqref="R56">
    <cfRule type="expression" dxfId="77" priority="1">
      <formula>INDIRECT(ADDRESS(ROW(),COLUMN(UNMT0020_B_ROW_KBN)))&lt;&gt;2</formula>
    </cfRule>
  </conditionalFormatting>
  <dataValidations count="3">
    <dataValidation type="custom" allowBlank="1" showInputMessage="1" showErrorMessage="1" sqref="R25:R26 R41:R42 R8:R9 R57:R58">
      <formula1>LENB(R8)&lt;=10</formula1>
    </dataValidation>
    <dataValidation type="custom" allowBlank="1" showInputMessage="1" showErrorMessage="1" sqref="O40:O41 O7:O8 O24:O25 R40 R7 R24 O56:O57 R56">
      <formula1>AND(NOT(ISERROR(INT(O7))),ROUND(O7,2)=O7,AND(O7&lt;10000000,O7&gt;-10000000))</formula1>
    </dataValidation>
    <dataValidation type="custom" allowBlank="1" showInputMessage="1" showErrorMessage="1" sqref="L20 L15 L5 L10">
      <formula1>AND(LEN(UNJC0250_H_ZAIKO_NO)=LENB(UNJC0250_H_ZAIKO_NO),LEN(UNJC0250_H_ZAIKO_NO)=10)</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B2:H14"/>
  <sheetViews>
    <sheetView zoomScale="85" zoomScaleNormal="85" workbookViewId="0">
      <selection activeCell="O37" sqref="O37"/>
    </sheetView>
  </sheetViews>
  <sheetFormatPr defaultRowHeight="15" customHeight="1"/>
  <cols>
    <col min="1" max="1" width="9" style="970"/>
    <col min="2" max="2" width="3.5" style="970" customWidth="1"/>
    <col min="3" max="3" width="3.125" style="970" customWidth="1"/>
    <col min="4" max="4" width="17" style="970" customWidth="1"/>
    <col min="5" max="5" width="4.375" style="970" customWidth="1"/>
    <col min="6" max="6" width="33.875" style="970" bestFit="1" customWidth="1"/>
    <col min="7" max="7" width="4" style="970" customWidth="1"/>
    <col min="8" max="8" width="32" style="970" bestFit="1" customWidth="1"/>
    <col min="9" max="16384" width="9" style="970"/>
  </cols>
  <sheetData>
    <row r="2" spans="2:8" ht="15" customHeight="1">
      <c r="B2" s="1810" t="s">
        <v>3952</v>
      </c>
      <c r="C2" s="1810"/>
      <c r="D2" s="1813"/>
      <c r="E2" s="1059"/>
      <c r="F2" s="1114"/>
      <c r="G2" s="1114"/>
      <c r="H2" s="709" t="s">
        <v>3953</v>
      </c>
    </row>
    <row r="3" spans="2:8" ht="15" customHeight="1">
      <c r="B3" s="843"/>
      <c r="C3" s="1864" t="s">
        <v>3952</v>
      </c>
      <c r="D3" s="1865"/>
      <c r="E3" s="1058"/>
      <c r="F3" s="1118" t="str">
        <f>F4&amp;F5&amp;F6</f>
        <v>SELECT *
  FROM V_ZAIKO_DATA
 WHERE ZAIKO_NO = ''</v>
      </c>
      <c r="G3" s="844"/>
      <c r="H3" s="845" t="s">
        <v>4285</v>
      </c>
    </row>
    <row r="4" spans="2:8" ht="15" customHeight="1">
      <c r="B4" s="843"/>
      <c r="C4" s="851"/>
      <c r="D4" s="848" t="s">
        <v>4286</v>
      </c>
      <c r="E4" s="848"/>
      <c r="F4" s="1118" t="s">
        <v>4287</v>
      </c>
      <c r="G4" s="844"/>
      <c r="H4" s="845" t="s">
        <v>484</v>
      </c>
    </row>
    <row r="5" spans="2:8" ht="15" customHeight="1">
      <c r="B5" s="843"/>
      <c r="C5" s="851"/>
      <c r="D5" s="848" t="s">
        <v>4288</v>
      </c>
      <c r="E5" s="1119"/>
      <c r="F5" s="1118" t="s">
        <v>4289</v>
      </c>
      <c r="G5" s="844"/>
      <c r="H5" s="845" t="s">
        <v>484</v>
      </c>
    </row>
    <row r="6" spans="2:8" ht="15" customHeight="1">
      <c r="B6" s="843"/>
      <c r="C6" s="851"/>
      <c r="D6" s="848" t="s">
        <v>4290</v>
      </c>
      <c r="E6" s="848"/>
      <c r="F6" s="1118" t="str">
        <f>" WHERE ZAIKO_NO = '"&amp;UNJC0250_IF_REF_NO&amp;"'"</f>
        <v xml:space="preserve"> WHERE ZAIKO_NO = ''</v>
      </c>
      <c r="G6" s="844"/>
      <c r="H6" s="845" t="s">
        <v>484</v>
      </c>
    </row>
    <row r="7" spans="2:8" ht="15" customHeight="1">
      <c r="B7" s="1810" t="s">
        <v>4291</v>
      </c>
      <c r="C7" s="1810"/>
      <c r="D7" s="1813"/>
      <c r="E7" s="1059"/>
      <c r="F7" s="1114"/>
      <c r="G7" s="1114"/>
      <c r="H7" s="709" t="s">
        <v>3953</v>
      </c>
    </row>
    <row r="8" spans="2:8" ht="15" customHeight="1">
      <c r="B8" s="843"/>
      <c r="C8" s="1864" t="s">
        <v>3952</v>
      </c>
      <c r="D8" s="1865"/>
      <c r="E8" s="1058"/>
      <c r="F8" s="1118" t="str">
        <f>F9&amp;F10</f>
        <v>SELECT COUNT(*) AS CNT
  FROM V_ZAIKO_DATA
 WHERE ZAIKO_NO = ''</v>
      </c>
      <c r="G8" s="844"/>
      <c r="H8" s="845" t="s">
        <v>4292</v>
      </c>
    </row>
    <row r="9" spans="2:8" ht="15" customHeight="1">
      <c r="B9" s="843"/>
      <c r="C9" s="851"/>
      <c r="D9" s="848" t="s">
        <v>4286</v>
      </c>
      <c r="E9" s="848"/>
      <c r="F9" s="1118" t="s">
        <v>4293</v>
      </c>
      <c r="G9" s="844"/>
      <c r="H9" s="845" t="s">
        <v>484</v>
      </c>
    </row>
    <row r="10" spans="2:8" ht="15" customHeight="1">
      <c r="B10" s="846"/>
      <c r="C10" s="1124"/>
      <c r="D10" s="848" t="s">
        <v>4294</v>
      </c>
      <c r="E10" s="848"/>
      <c r="F10" s="1118" t="str">
        <f>" WHERE ZAIKO_NO = '"&amp;UNJC0250_IF_REF_NO&amp;"'"</f>
        <v xml:space="preserve"> WHERE ZAIKO_NO = ''</v>
      </c>
      <c r="G10" s="844"/>
      <c r="H10" s="845" t="s">
        <v>484</v>
      </c>
    </row>
    <row r="13" spans="2:8" ht="15" customHeight="1">
      <c r="B13" s="1810" t="s">
        <v>4295</v>
      </c>
      <c r="C13" s="1810"/>
      <c r="D13" s="1810"/>
      <c r="E13" s="1056"/>
      <c r="F13" s="842"/>
      <c r="G13" s="842"/>
      <c r="H13" s="709" t="s">
        <v>3953</v>
      </c>
    </row>
    <row r="14" spans="2:8" ht="15" customHeight="1">
      <c r="B14" s="846"/>
      <c r="C14" s="1860" t="s">
        <v>4092</v>
      </c>
      <c r="D14" s="1861"/>
      <c r="E14" s="1120"/>
      <c r="F14" s="844" t="str">
        <f>"EXEC SP_SAVE_T_ZAIKO '"&amp;UNJC0250_IF_W_USER_ID&amp;"','"&amp;UNJC0250_IF_W_SERIAL&amp;"',"&amp;UNJC0250_IF_W_MODE&amp;",'"&amp;UNJC0250_IF_REF_NO&amp;"'"</f>
        <v>EXEC SP_SAVE_T_ZAIKO '','',1,''</v>
      </c>
      <c r="G14" s="844"/>
      <c r="H14" s="845" t="s">
        <v>4296</v>
      </c>
    </row>
  </sheetData>
  <mergeCells count="6">
    <mergeCell ref="C14:D14"/>
    <mergeCell ref="B2:D2"/>
    <mergeCell ref="C3:D3"/>
    <mergeCell ref="B7:D7"/>
    <mergeCell ref="C8:D8"/>
    <mergeCell ref="B13:D13"/>
  </mergeCells>
  <phoneticPr fontId="2"/>
  <pageMargins left="0.7" right="0.7" top="0.75" bottom="0.75" header="0.3" footer="0.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rgb="FFFFC000"/>
  </sheetPr>
  <dimension ref="A1:AT29"/>
  <sheetViews>
    <sheetView showGridLines="0" showRowColHeaders="0" topLeftCell="H1" workbookViewId="0">
      <selection activeCell="L6" sqref="L6"/>
    </sheetView>
  </sheetViews>
  <sheetFormatPr defaultRowHeight="16.5"/>
  <cols>
    <col min="1" max="1" width="9" hidden="1" customWidth="1"/>
    <col min="2" max="2" width="18.625" hidden="1" customWidth="1"/>
    <col min="3" max="3" width="17.75" hidden="1" customWidth="1"/>
    <col min="4" max="7" width="9" hidden="1" customWidth="1"/>
    <col min="8" max="11" width="3.25" style="74" customWidth="1"/>
    <col min="12" max="12" width="13.125" style="74" customWidth="1"/>
    <col min="13" max="13" width="3.25" style="74" customWidth="1"/>
    <col min="14" max="14" width="13.25" style="74" customWidth="1"/>
    <col min="15" max="15" width="3.25" style="74" customWidth="1"/>
    <col min="16" max="16" width="13.125" style="74" customWidth="1"/>
    <col min="17" max="17" width="3.25" style="74" customWidth="1"/>
    <col min="18" max="18" width="13.125" style="74" customWidth="1"/>
    <col min="19" max="21" width="3.25" style="74" customWidth="1"/>
    <col min="22" max="22" width="3.375" style="74" customWidth="1"/>
    <col min="23" max="23" width="12.5" style="74" customWidth="1"/>
    <col min="24" max="24" width="4" style="74" customWidth="1"/>
    <col min="25" max="45" width="3.375" style="74" customWidth="1"/>
    <col min="46" max="16384" width="9" style="74"/>
  </cols>
  <sheetData>
    <row r="1" spans="1:46" s="1" customFormat="1" ht="19.5">
      <c r="A1"/>
      <c r="B1"/>
      <c r="C1"/>
      <c r="D1"/>
      <c r="E1"/>
      <c r="F1"/>
      <c r="G1"/>
      <c r="H1" s="73" t="s">
        <v>34</v>
      </c>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c r="AP1" s="73"/>
      <c r="AQ1" s="73"/>
      <c r="AR1" s="73"/>
      <c r="AS1" s="73"/>
      <c r="AT1" s="73"/>
    </row>
    <row r="2" spans="1:46" s="39" customFormat="1">
      <c r="A2"/>
      <c r="B2" t="s">
        <v>132</v>
      </c>
      <c r="C2" s="36" t="s">
        <v>133</v>
      </c>
      <c r="D2" s="132"/>
      <c r="E2"/>
      <c r="F2"/>
      <c r="G2"/>
      <c r="H2" s="74"/>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row>
    <row r="3" spans="1:46" s="39" customFormat="1">
      <c r="A3"/>
      <c r="B3" t="s">
        <v>98</v>
      </c>
      <c r="C3" s="36" t="s">
        <v>134</v>
      </c>
      <c r="D3" s="199"/>
      <c r="E3"/>
      <c r="F3"/>
      <c r="G3"/>
      <c r="H3" s="74"/>
      <c r="I3" s="74"/>
      <c r="J3" s="74"/>
      <c r="K3" s="75" t="s">
        <v>35</v>
      </c>
      <c r="L3" s="17"/>
      <c r="M3" s="18"/>
      <c r="N3" s="50"/>
      <c r="O3" s="50"/>
      <c r="P3" s="50"/>
      <c r="Q3" s="70"/>
      <c r="R3" s="18"/>
      <c r="S3" s="18"/>
      <c r="T3" s="50"/>
      <c r="U3" s="50"/>
      <c r="V3" s="51"/>
      <c r="W3" s="74"/>
      <c r="X3" s="74"/>
      <c r="Y3" s="74"/>
      <c r="Z3" s="74"/>
      <c r="AA3" s="74"/>
      <c r="AB3" s="74"/>
      <c r="AC3" s="74"/>
      <c r="AD3" s="74"/>
      <c r="AE3" s="74"/>
      <c r="AF3" s="74"/>
      <c r="AG3" s="74"/>
      <c r="AH3" s="74"/>
      <c r="AI3" s="74"/>
      <c r="AJ3" s="74"/>
      <c r="AK3" s="74"/>
      <c r="AL3" s="74"/>
      <c r="AM3" s="74"/>
      <c r="AN3" s="74"/>
      <c r="AO3" s="74"/>
      <c r="AP3" s="74"/>
      <c r="AQ3" s="74"/>
      <c r="AR3" s="74"/>
      <c r="AS3" s="74"/>
      <c r="AT3" s="74"/>
    </row>
    <row r="4" spans="1:46" s="39" customFormat="1">
      <c r="A4"/>
      <c r="B4" s="970" t="s">
        <v>3719</v>
      </c>
      <c r="C4" s="280" t="s">
        <v>3721</v>
      </c>
      <c r="D4" s="199"/>
      <c r="E4" s="970"/>
      <c r="F4" s="970"/>
      <c r="G4" s="970"/>
      <c r="H4" s="74"/>
      <c r="I4" s="74"/>
      <c r="J4" s="74"/>
      <c r="K4" s="75" t="s">
        <v>36</v>
      </c>
      <c r="L4" s="19"/>
      <c r="M4" s="14"/>
      <c r="N4" s="52"/>
      <c r="O4" s="52"/>
      <c r="P4" s="52"/>
      <c r="Q4" s="69"/>
      <c r="R4" s="14"/>
      <c r="S4" s="14"/>
      <c r="T4" s="52"/>
      <c r="U4" s="52"/>
      <c r="V4" s="53"/>
      <c r="W4" s="74"/>
      <c r="X4" s="74"/>
      <c r="Y4" s="74"/>
      <c r="Z4" s="74"/>
      <c r="AA4" s="74"/>
      <c r="AB4" s="74"/>
      <c r="AC4" s="74"/>
      <c r="AD4" s="74"/>
      <c r="AE4" s="74"/>
      <c r="AF4" s="74"/>
      <c r="AG4" s="74"/>
      <c r="AH4" s="74"/>
      <c r="AI4" s="74"/>
      <c r="AJ4" s="74"/>
      <c r="AK4" s="74"/>
      <c r="AL4" s="74"/>
      <c r="AM4" s="74"/>
      <c r="AN4" s="74"/>
      <c r="AO4" s="74"/>
      <c r="AP4" s="74"/>
      <c r="AQ4" s="74"/>
      <c r="AR4" s="74"/>
      <c r="AS4" s="74"/>
      <c r="AT4" s="74"/>
    </row>
    <row r="5" spans="1:46" s="39" customFormat="1">
      <c r="A5"/>
      <c r="B5"/>
      <c r="C5"/>
      <c r="D5" s="200"/>
      <c r="E5"/>
      <c r="F5"/>
      <c r="G5"/>
      <c r="H5" s="74"/>
      <c r="I5" s="74"/>
      <c r="J5" s="74"/>
      <c r="K5" s="74"/>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row>
    <row r="6" spans="1:46" s="39" customFormat="1">
      <c r="A6"/>
      <c r="B6" t="s">
        <v>145</v>
      </c>
      <c r="C6" s="36" t="s">
        <v>152</v>
      </c>
      <c r="D6" s="202" t="b">
        <v>1</v>
      </c>
      <c r="E6"/>
      <c r="F6"/>
      <c r="G6"/>
      <c r="H6" s="74"/>
      <c r="I6" s="74"/>
      <c r="J6" s="74"/>
      <c r="K6" s="75" t="s">
        <v>85</v>
      </c>
      <c r="L6" s="258"/>
      <c r="M6" s="74"/>
      <c r="N6" s="74"/>
      <c r="O6" s="75" t="s">
        <v>82</v>
      </c>
      <c r="P6" s="763"/>
      <c r="Q6" s="88" t="s">
        <v>37</v>
      </c>
      <c r="R6" s="763"/>
      <c r="S6" s="74"/>
      <c r="T6" s="74"/>
      <c r="U6" s="74"/>
      <c r="V6" s="75" t="s">
        <v>38</v>
      </c>
      <c r="W6" s="76"/>
      <c r="X6" s="74"/>
      <c r="Y6" s="74"/>
      <c r="Z6" s="74"/>
      <c r="AA6" s="74"/>
      <c r="AB6" s="74"/>
      <c r="AC6" s="74"/>
      <c r="AD6" s="74"/>
      <c r="AE6" s="74"/>
      <c r="AF6" s="74"/>
      <c r="AG6" s="74"/>
      <c r="AH6" s="74"/>
      <c r="AI6" s="74"/>
      <c r="AJ6" s="74"/>
      <c r="AK6" s="74"/>
      <c r="AL6" s="74"/>
      <c r="AM6" s="74"/>
      <c r="AN6" s="74"/>
      <c r="AO6" s="74"/>
      <c r="AP6" s="74"/>
      <c r="AQ6" s="74"/>
      <c r="AR6" s="74"/>
      <c r="AS6" s="74"/>
      <c r="AT6" s="74"/>
    </row>
    <row r="7" spans="1:46" s="39" customFormat="1">
      <c r="A7"/>
      <c r="B7" t="s">
        <v>146</v>
      </c>
      <c r="C7" s="36" t="s">
        <v>153</v>
      </c>
      <c r="D7" s="202" t="b">
        <v>1</v>
      </c>
      <c r="E7"/>
      <c r="F7"/>
      <c r="G7"/>
      <c r="H7" s="74"/>
      <c r="I7" s="74"/>
      <c r="J7" s="74"/>
      <c r="K7" s="75" t="s">
        <v>93</v>
      </c>
      <c r="L7" s="258"/>
      <c r="M7" s="74"/>
      <c r="N7" s="74"/>
      <c r="O7" s="75" t="s">
        <v>4410</v>
      </c>
      <c r="P7" s="1197"/>
      <c r="Q7" s="88" t="s">
        <v>37</v>
      </c>
      <c r="R7" s="1197"/>
      <c r="S7" s="74"/>
      <c r="T7" s="74"/>
      <c r="U7" s="74"/>
      <c r="V7" s="7" t="s">
        <v>94</v>
      </c>
      <c r="W7" s="97"/>
      <c r="X7" s="83"/>
      <c r="Y7" s="83"/>
      <c r="Z7" s="83"/>
      <c r="AA7" s="74"/>
      <c r="AB7" s="74"/>
      <c r="AC7" s="74"/>
      <c r="AD7" s="74"/>
      <c r="AE7" s="74"/>
      <c r="AF7" s="74"/>
      <c r="AG7" s="74"/>
      <c r="AH7" s="74"/>
      <c r="AI7" s="74"/>
      <c r="AJ7" s="74"/>
      <c r="AK7" s="74"/>
      <c r="AL7" s="74"/>
      <c r="AM7" s="74"/>
      <c r="AN7" s="74"/>
      <c r="AO7" s="74"/>
      <c r="AP7" s="74"/>
      <c r="AQ7" s="74"/>
      <c r="AR7" s="74"/>
      <c r="AS7" s="74"/>
      <c r="AT7" s="74"/>
    </row>
    <row r="8" spans="1:46" s="39" customFormat="1">
      <c r="A8"/>
      <c r="B8" s="40" t="s">
        <v>147</v>
      </c>
      <c r="C8" s="36" t="s">
        <v>154</v>
      </c>
      <c r="D8" s="202" t="b">
        <v>1</v>
      </c>
      <c r="E8"/>
      <c r="F8"/>
      <c r="G8"/>
      <c r="H8" s="74"/>
      <c r="I8" s="74"/>
      <c r="J8" s="74"/>
      <c r="K8" s="75" t="s">
        <v>83</v>
      </c>
      <c r="L8" s="763"/>
      <c r="M8" s="74"/>
      <c r="N8" s="74"/>
      <c r="O8" s="75" t="s">
        <v>4411</v>
      </c>
      <c r="P8" s="1197"/>
      <c r="Q8" s="88" t="s">
        <v>37</v>
      </c>
      <c r="R8" s="1197"/>
      <c r="S8" s="74"/>
      <c r="T8" s="74"/>
      <c r="U8" s="74"/>
      <c r="V8" s="7" t="s">
        <v>3722</v>
      </c>
      <c r="W8" s="258"/>
      <c r="X8" s="74"/>
      <c r="Y8" s="74"/>
      <c r="Z8" s="74"/>
      <c r="AA8" s="74"/>
      <c r="AB8" s="74"/>
      <c r="AC8" s="74"/>
      <c r="AD8" s="74"/>
      <c r="AE8" s="74"/>
      <c r="AF8" s="74"/>
      <c r="AG8" s="74"/>
      <c r="AH8" s="74"/>
      <c r="AI8" s="74"/>
      <c r="AJ8" s="74"/>
      <c r="AK8" s="74"/>
      <c r="AL8" s="74"/>
      <c r="AM8" s="74"/>
      <c r="AN8" s="74"/>
      <c r="AO8" s="74"/>
      <c r="AP8" s="74"/>
      <c r="AQ8" s="74"/>
      <c r="AR8" s="74"/>
      <c r="AS8" s="74"/>
      <c r="AT8" s="74"/>
    </row>
    <row r="9" spans="1:46" s="39" customFormat="1">
      <c r="A9"/>
      <c r="B9" s="40" t="s">
        <v>148</v>
      </c>
      <c r="C9" s="36" t="s">
        <v>155</v>
      </c>
      <c r="D9" s="202" t="b">
        <v>1</v>
      </c>
      <c r="E9"/>
      <c r="F9"/>
      <c r="G9"/>
      <c r="H9" s="74"/>
      <c r="I9" s="74"/>
      <c r="J9" s="74"/>
      <c r="K9" s="74"/>
      <c r="L9" s="74"/>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row>
    <row r="10" spans="1:46" s="39" customFormat="1">
      <c r="A10"/>
      <c r="B10" s="40" t="s">
        <v>149</v>
      </c>
      <c r="C10" s="36" t="s">
        <v>156</v>
      </c>
      <c r="D10" s="202" t="b">
        <v>1</v>
      </c>
      <c r="E10"/>
      <c r="F10"/>
      <c r="G10"/>
      <c r="H10" s="74"/>
      <c r="I10" s="74"/>
      <c r="J10" s="74"/>
      <c r="K10" s="75" t="s">
        <v>68</v>
      </c>
      <c r="L10" s="22"/>
      <c r="M10" s="1874" t="str">
        <f>IF(UNJC1020_H_SEIKYUSAKI_CD="","",UNJC1020_H_SEIKYUSAKI_MEI)</f>
        <v/>
      </c>
      <c r="N10" s="1874"/>
      <c r="O10" s="1874"/>
      <c r="P10" s="1874"/>
      <c r="Q10" s="1874"/>
      <c r="R10" s="1874"/>
      <c r="S10" s="1874"/>
      <c r="T10" s="1874"/>
      <c r="U10" s="1874"/>
      <c r="V10" s="18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row>
    <row r="11" spans="1:46" s="39" customFormat="1">
      <c r="A11"/>
      <c r="B11" s="40" t="s">
        <v>150</v>
      </c>
      <c r="C11" s="36" t="s">
        <v>157</v>
      </c>
      <c r="D11" s="202" t="b">
        <v>1</v>
      </c>
      <c r="E11"/>
      <c r="F11"/>
      <c r="G11"/>
      <c r="H11" s="74"/>
      <c r="I11" s="74"/>
      <c r="J11" s="74"/>
      <c r="K11" s="208" t="s">
        <v>4326</v>
      </c>
      <c r="L11" s="1344"/>
      <c r="M11" s="1345"/>
      <c r="N11" s="1345"/>
      <c r="O11" s="1345"/>
      <c r="P11" s="1345"/>
      <c r="Q11" s="1345"/>
      <c r="R11" s="1345"/>
      <c r="S11" s="1345"/>
      <c r="T11" s="1345"/>
      <c r="U11" s="1345"/>
      <c r="V11" s="1346"/>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row>
    <row r="12" spans="1:46" s="39" customFormat="1">
      <c r="A12"/>
      <c r="B12" t="s">
        <v>151</v>
      </c>
      <c r="C12" s="36" t="s">
        <v>158</v>
      </c>
      <c r="D12" s="202" t="b">
        <v>1</v>
      </c>
      <c r="E12"/>
      <c r="F12"/>
      <c r="G12"/>
      <c r="H12" s="74"/>
      <c r="I12" s="74"/>
      <c r="J12" s="74"/>
      <c r="K12" s="75" t="s">
        <v>71</v>
      </c>
      <c r="L12" s="22"/>
      <c r="M12" s="1874" t="str">
        <f>IF(UNJC1020_H_SHOHIN_CD="","",UNJC1020_H_SHOHIN_MEI)</f>
        <v/>
      </c>
      <c r="N12" s="1874"/>
      <c r="O12" s="1874"/>
      <c r="P12" s="1874"/>
      <c r="Q12" s="1874"/>
      <c r="R12" s="1874"/>
      <c r="S12" s="1874"/>
      <c r="T12" s="1874"/>
      <c r="U12" s="1874"/>
      <c r="V12" s="18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row>
    <row r="13" spans="1:46" s="39" customFormat="1">
      <c r="A13"/>
      <c r="B13" t="s">
        <v>159</v>
      </c>
      <c r="C13" s="36" t="s">
        <v>160</v>
      </c>
      <c r="D13" s="202" t="b">
        <v>1</v>
      </c>
      <c r="E13"/>
      <c r="F13"/>
      <c r="G13"/>
      <c r="H13" s="74"/>
      <c r="I13" s="74"/>
      <c r="J13" s="74"/>
      <c r="K13" s="75" t="s">
        <v>72</v>
      </c>
      <c r="L13" s="22"/>
      <c r="M13" s="1874" t="str">
        <f>IF(UNJC1020_H_SHIIRESAKI_CD="","",UNJC1020_H_SHIIRESAKI_MEI)</f>
        <v/>
      </c>
      <c r="N13" s="1874"/>
      <c r="O13" s="1874"/>
      <c r="P13" s="1874"/>
      <c r="Q13" s="1874"/>
      <c r="R13" s="1874"/>
      <c r="S13" s="1874"/>
      <c r="T13" s="1874"/>
      <c r="U13" s="1874"/>
      <c r="V13" s="18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row>
    <row r="14" spans="1:46" s="39" customFormat="1">
      <c r="A14"/>
      <c r="B14" t="s">
        <v>161</v>
      </c>
      <c r="C14" s="36" t="s">
        <v>162</v>
      </c>
      <c r="D14" s="202" t="b">
        <v>0</v>
      </c>
      <c r="E14"/>
      <c r="F14"/>
      <c r="G14"/>
      <c r="H14" s="74"/>
      <c r="I14" s="74"/>
      <c r="J14" s="74"/>
      <c r="K14" s="75" t="s">
        <v>73</v>
      </c>
      <c r="L14" s="22"/>
      <c r="M14" s="1874" t="str">
        <f>IF(UNJC1020_H_MAKER_CD="","",UNJC1020_H_MAKER_MEI)</f>
        <v/>
      </c>
      <c r="N14" s="1874"/>
      <c r="O14" s="1874"/>
      <c r="P14" s="1874"/>
      <c r="Q14" s="1874"/>
      <c r="R14" s="1874"/>
      <c r="S14" s="1874"/>
      <c r="T14" s="1874"/>
      <c r="U14" s="1874"/>
      <c r="V14" s="18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row>
    <row r="15" spans="1:46" s="39" customFormat="1">
      <c r="A15"/>
      <c r="B15"/>
      <c r="C15"/>
      <c r="D15" s="200"/>
      <c r="E15"/>
      <c r="F15"/>
      <c r="G15"/>
      <c r="H15" s="74"/>
      <c r="I15" s="74"/>
      <c r="J15" s="74"/>
      <c r="K15" s="74"/>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row>
    <row r="16" spans="1:46" s="39" customFormat="1">
      <c r="A16"/>
      <c r="B16" s="47" t="s">
        <v>163</v>
      </c>
      <c r="C16" s="48" t="s">
        <v>165</v>
      </c>
      <c r="D16" s="201">
        <v>1</v>
      </c>
      <c r="E16" s="47" t="s">
        <v>164</v>
      </c>
      <c r="F16"/>
      <c r="G16"/>
      <c r="H16" s="74"/>
      <c r="I16" s="74"/>
      <c r="J16" s="74"/>
      <c r="K16" s="75" t="s">
        <v>39</v>
      </c>
      <c r="L16" s="71"/>
      <c r="M16" s="77" t="str">
        <f>IF(UNJC1020_H_FREEWD_KBN=1,"AND",IF(UNJC1020_H_FREEWD_KBN=2,"OR","NAND"))</f>
        <v>AND</v>
      </c>
      <c r="N16" s="71"/>
      <c r="O16" s="77" t="str">
        <f>UNJC1020_H_FREEWD_KBN_DISP</f>
        <v>AND</v>
      </c>
      <c r="P16" s="71"/>
      <c r="Q16" s="1873"/>
      <c r="R16" s="1873"/>
      <c r="S16" s="74"/>
      <c r="T16" s="74"/>
      <c r="U16" s="74"/>
      <c r="V16" s="74"/>
      <c r="W16" s="74"/>
      <c r="X16" s="75"/>
      <c r="Y16" s="74"/>
      <c r="Z16" s="74"/>
      <c r="AA16" s="74"/>
      <c r="AB16" s="74"/>
      <c r="AC16" s="74"/>
      <c r="AD16" s="74"/>
      <c r="AE16" s="74"/>
      <c r="AF16" s="74"/>
      <c r="AG16" s="74"/>
      <c r="AH16" s="74"/>
      <c r="AI16" s="74"/>
      <c r="AJ16" s="74"/>
      <c r="AK16" s="74"/>
      <c r="AL16" s="74"/>
      <c r="AM16" s="74"/>
      <c r="AN16" s="74"/>
      <c r="AO16" s="74"/>
      <c r="AP16" s="74"/>
      <c r="AQ16" s="74"/>
      <c r="AR16" s="74"/>
      <c r="AS16" s="74"/>
      <c r="AT16" s="74"/>
    </row>
    <row r="17" spans="1:46" s="39" customFormat="1">
      <c r="A17"/>
      <c r="B17" t="s">
        <v>170</v>
      </c>
      <c r="C17" s="36" t="s">
        <v>171</v>
      </c>
      <c r="D17" s="33" t="str">
        <f ca="1">IF(UNJC1020_H_DEMPYO_HAKKO="","",VLOOKUP(UNJC1020_H_DEMPYO_HAKKO,OFFSET(UNJC1020_IF_LIST_DEMPYO_HAKKO_START,0,0,UNJC1020_IF_LIST_DEMPYO_HAKKO_KENSU,2),2,0))</f>
        <v/>
      </c>
      <c r="E17"/>
      <c r="F17"/>
      <c r="G17"/>
      <c r="H17" s="74"/>
      <c r="I17" s="74"/>
      <c r="J17" s="74"/>
      <c r="K17" s="74"/>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row>
    <row r="18" spans="1:46">
      <c r="F18" s="66"/>
    </row>
    <row r="19" spans="1:46">
      <c r="B19" s="78" t="s">
        <v>276</v>
      </c>
      <c r="C19" s="80" t="s">
        <v>278</v>
      </c>
      <c r="D19" s="79"/>
    </row>
    <row r="20" spans="1:46">
      <c r="B20" s="78" t="s">
        <v>277</v>
      </c>
      <c r="C20" s="80" t="s">
        <v>279</v>
      </c>
      <c r="D20" s="79" t="str">
        <f>ADDRESS(ROW(A1),COLUMN(A1))&amp;":"&amp;ADDRESS(ROW(G1),COLUMN(G1))</f>
        <v>$A$1:$G$1</v>
      </c>
    </row>
    <row r="22" spans="1:46">
      <c r="B22" t="s">
        <v>572</v>
      </c>
      <c r="C22" s="177" t="s">
        <v>576</v>
      </c>
      <c r="D22" s="178"/>
    </row>
    <row r="23" spans="1:46">
      <c r="B23" t="s">
        <v>573</v>
      </c>
      <c r="C23" s="177" t="s">
        <v>577</v>
      </c>
      <c r="D23" s="178"/>
    </row>
    <row r="24" spans="1:46">
      <c r="B24" t="s">
        <v>574</v>
      </c>
      <c r="C24" s="177" t="s">
        <v>578</v>
      </c>
      <c r="D24" s="178"/>
    </row>
    <row r="25" spans="1:46">
      <c r="B25" t="s">
        <v>575</v>
      </c>
      <c r="C25" s="177" t="s">
        <v>579</v>
      </c>
      <c r="D25" s="178"/>
    </row>
    <row r="29" spans="1:46">
      <c r="C29" s="896" t="s">
        <v>70</v>
      </c>
      <c r="D29" s="1165"/>
    </row>
  </sheetData>
  <sheetProtection sheet="1" objects="1" scenarios="1" selectLockedCells="1"/>
  <mergeCells count="6">
    <mergeCell ref="Q16:R16"/>
    <mergeCell ref="M10:V10"/>
    <mergeCell ref="M12:V12"/>
    <mergeCell ref="M13:V13"/>
    <mergeCell ref="M14:V14"/>
    <mergeCell ref="L11:V11"/>
  </mergeCells>
  <phoneticPr fontId="2"/>
  <dataValidations count="3">
    <dataValidation type="list" allowBlank="1" showInputMessage="1" showErrorMessage="1" sqref="W7">
      <formula1>UNJC1020_IF_LIST_DEMPYO_HAKKO</formula1>
    </dataValidation>
    <dataValidation type="custom" allowBlank="1" showInputMessage="1" showErrorMessage="1" sqref="L8 P6 R6">
      <formula1>AND(LEN(L6)=LENB(L6),LEN(L6)=10)</formula1>
    </dataValidation>
    <dataValidation type="date" allowBlank="1" showInputMessage="1" showErrorMessage="1" sqref="P7 P8 R8 R7">
      <formula1>36526</formula1>
      <formula2>73415</formula2>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10433" r:id="rId4" name="Check Box 1">
              <controlPr defaultSize="0" autoFill="0" autoLine="0" autoPict="0">
                <anchor moveWithCells="1">
                  <from>
                    <xdr:col>11</xdr:col>
                    <xdr:colOff>38100</xdr:colOff>
                    <xdr:row>2</xdr:row>
                    <xdr:rowOff>19050</xdr:rowOff>
                  </from>
                  <to>
                    <xdr:col>11</xdr:col>
                    <xdr:colOff>838200</xdr:colOff>
                    <xdr:row>2</xdr:row>
                    <xdr:rowOff>190500</xdr:rowOff>
                  </to>
                </anchor>
              </controlPr>
            </control>
          </mc:Choice>
        </mc:AlternateContent>
        <mc:AlternateContent xmlns:mc="http://schemas.openxmlformats.org/markup-compatibility/2006">
          <mc:Choice Requires="x14">
            <control shapeId="1810434" r:id="rId5" name="Check Box 2">
              <controlPr defaultSize="0" autoFill="0" autoLine="0" autoPict="0">
                <anchor moveWithCells="1">
                  <from>
                    <xdr:col>12</xdr:col>
                    <xdr:colOff>47625</xdr:colOff>
                    <xdr:row>2</xdr:row>
                    <xdr:rowOff>19050</xdr:rowOff>
                  </from>
                  <to>
                    <xdr:col>13</xdr:col>
                    <xdr:colOff>657225</xdr:colOff>
                    <xdr:row>2</xdr:row>
                    <xdr:rowOff>180975</xdr:rowOff>
                  </to>
                </anchor>
              </controlPr>
            </control>
          </mc:Choice>
        </mc:AlternateContent>
        <mc:AlternateContent xmlns:mc="http://schemas.openxmlformats.org/markup-compatibility/2006">
          <mc:Choice Requires="x14">
            <control shapeId="1810435" r:id="rId6" name="Check Box 3">
              <controlPr defaultSize="0" autoFill="0" autoLine="0" autoPict="0">
                <anchor moveWithCells="1">
                  <from>
                    <xdr:col>14</xdr:col>
                    <xdr:colOff>9525</xdr:colOff>
                    <xdr:row>2</xdr:row>
                    <xdr:rowOff>19050</xdr:rowOff>
                  </from>
                  <to>
                    <xdr:col>15</xdr:col>
                    <xdr:colOff>619125</xdr:colOff>
                    <xdr:row>2</xdr:row>
                    <xdr:rowOff>180975</xdr:rowOff>
                  </to>
                </anchor>
              </controlPr>
            </control>
          </mc:Choice>
        </mc:AlternateContent>
        <mc:AlternateContent xmlns:mc="http://schemas.openxmlformats.org/markup-compatibility/2006">
          <mc:Choice Requires="x14">
            <control shapeId="1810436" r:id="rId7" name="Check Box 4">
              <controlPr defaultSize="0" autoFill="0" autoLine="0" autoPict="0">
                <anchor moveWithCells="1">
                  <from>
                    <xdr:col>16</xdr:col>
                    <xdr:colOff>19050</xdr:colOff>
                    <xdr:row>2</xdr:row>
                    <xdr:rowOff>19050</xdr:rowOff>
                  </from>
                  <to>
                    <xdr:col>17</xdr:col>
                    <xdr:colOff>257175</xdr:colOff>
                    <xdr:row>2</xdr:row>
                    <xdr:rowOff>180975</xdr:rowOff>
                  </to>
                </anchor>
              </controlPr>
            </control>
          </mc:Choice>
        </mc:AlternateContent>
        <mc:AlternateContent xmlns:mc="http://schemas.openxmlformats.org/markup-compatibility/2006">
          <mc:Choice Requires="x14">
            <control shapeId="1810437" r:id="rId8" name="Check Box 5">
              <controlPr defaultSize="0" autoFill="0" autoLine="0" autoPict="0">
                <anchor moveWithCells="1">
                  <from>
                    <xdr:col>17</xdr:col>
                    <xdr:colOff>800100</xdr:colOff>
                    <xdr:row>2</xdr:row>
                    <xdr:rowOff>19050</xdr:rowOff>
                  </from>
                  <to>
                    <xdr:col>19</xdr:col>
                    <xdr:colOff>66675</xdr:colOff>
                    <xdr:row>2</xdr:row>
                    <xdr:rowOff>180975</xdr:rowOff>
                  </to>
                </anchor>
              </controlPr>
            </control>
          </mc:Choice>
        </mc:AlternateContent>
        <mc:AlternateContent xmlns:mc="http://schemas.openxmlformats.org/markup-compatibility/2006">
          <mc:Choice Requires="x14">
            <control shapeId="1810438" r:id="rId9" name="Check Box 6">
              <controlPr defaultSize="0" autoFill="0" autoLine="0" autoPict="0">
                <anchor moveWithCells="1">
                  <from>
                    <xdr:col>11</xdr:col>
                    <xdr:colOff>47625</xdr:colOff>
                    <xdr:row>3</xdr:row>
                    <xdr:rowOff>19050</xdr:rowOff>
                  </from>
                  <to>
                    <xdr:col>11</xdr:col>
                    <xdr:colOff>857250</xdr:colOff>
                    <xdr:row>3</xdr:row>
                    <xdr:rowOff>190500</xdr:rowOff>
                  </to>
                </anchor>
              </controlPr>
            </control>
          </mc:Choice>
        </mc:AlternateContent>
        <mc:AlternateContent xmlns:mc="http://schemas.openxmlformats.org/markup-compatibility/2006">
          <mc:Choice Requires="x14">
            <control shapeId="1810439" r:id="rId10" name="Check Box 7">
              <controlPr defaultSize="0" autoFill="0" autoLine="0" autoPict="0">
                <anchor moveWithCells="1">
                  <from>
                    <xdr:col>12</xdr:col>
                    <xdr:colOff>47625</xdr:colOff>
                    <xdr:row>3</xdr:row>
                    <xdr:rowOff>19050</xdr:rowOff>
                  </from>
                  <to>
                    <xdr:col>13</xdr:col>
                    <xdr:colOff>723900</xdr:colOff>
                    <xdr:row>3</xdr:row>
                    <xdr:rowOff>180975</xdr:rowOff>
                  </to>
                </anchor>
              </controlPr>
            </control>
          </mc:Choice>
        </mc:AlternateContent>
        <mc:AlternateContent xmlns:mc="http://schemas.openxmlformats.org/markup-compatibility/2006">
          <mc:Choice Requires="x14">
            <control shapeId="1810440" r:id="rId11" name="Check Box 8">
              <controlPr defaultSize="0" autoFill="0" autoLine="0" autoPict="0">
                <anchor moveWithCells="1">
                  <from>
                    <xdr:col>22</xdr:col>
                    <xdr:colOff>238125</xdr:colOff>
                    <xdr:row>5</xdr:row>
                    <xdr:rowOff>19050</xdr:rowOff>
                  </from>
                  <to>
                    <xdr:col>22</xdr:col>
                    <xdr:colOff>723900</xdr:colOff>
                    <xdr:row>5</xdr:row>
                    <xdr:rowOff>190500</xdr:rowOff>
                  </to>
                </anchor>
              </controlPr>
            </control>
          </mc:Choice>
        </mc:AlternateContent>
        <mc:AlternateContent xmlns:mc="http://schemas.openxmlformats.org/markup-compatibility/2006">
          <mc:Choice Requires="x14">
            <control shapeId="1810441" r:id="rId12" name="Check Box 9">
              <controlPr defaultSize="0" autoFill="0" autoLine="0" autoPict="0">
                <anchor moveWithCells="1">
                  <from>
                    <xdr:col>19</xdr:col>
                    <xdr:colOff>161925</xdr:colOff>
                    <xdr:row>14</xdr:row>
                    <xdr:rowOff>171450</xdr:rowOff>
                  </from>
                  <to>
                    <xdr:col>22</xdr:col>
                    <xdr:colOff>609600</xdr:colOff>
                    <xdr:row>16</xdr:row>
                    <xdr:rowOff>0</xdr:rowOff>
                  </to>
                </anchor>
              </controlPr>
            </control>
          </mc:Choice>
        </mc:AlternateContent>
        <mc:AlternateContent xmlns:mc="http://schemas.openxmlformats.org/markup-compatibility/2006">
          <mc:Choice Requires="x14">
            <control shapeId="1810442" r:id="rId13" name="Option Button 10">
              <controlPr defaultSize="0" autoFill="0" autoLine="0" autoPict="0">
                <anchor moveWithCells="1">
                  <from>
                    <xdr:col>16</xdr:col>
                    <xdr:colOff>28575</xdr:colOff>
                    <xdr:row>14</xdr:row>
                    <xdr:rowOff>180975</xdr:rowOff>
                  </from>
                  <to>
                    <xdr:col>17</xdr:col>
                    <xdr:colOff>361950</xdr:colOff>
                    <xdr:row>16</xdr:row>
                    <xdr:rowOff>9525</xdr:rowOff>
                  </to>
                </anchor>
              </controlPr>
            </control>
          </mc:Choice>
        </mc:AlternateContent>
        <mc:AlternateContent xmlns:mc="http://schemas.openxmlformats.org/markup-compatibility/2006">
          <mc:Choice Requires="x14">
            <control shapeId="1810443" r:id="rId14" name="Option Button 11">
              <controlPr defaultSize="0" autoFill="0" autoLine="0" autoPict="0">
                <anchor moveWithCells="1">
                  <from>
                    <xdr:col>17</xdr:col>
                    <xdr:colOff>285750</xdr:colOff>
                    <xdr:row>14</xdr:row>
                    <xdr:rowOff>180975</xdr:rowOff>
                  </from>
                  <to>
                    <xdr:col>17</xdr:col>
                    <xdr:colOff>857250</xdr:colOff>
                    <xdr:row>16</xdr:row>
                    <xdr:rowOff>9525</xdr:rowOff>
                  </to>
                </anchor>
              </controlPr>
            </control>
          </mc:Choice>
        </mc:AlternateContent>
        <mc:AlternateContent xmlns:mc="http://schemas.openxmlformats.org/markup-compatibility/2006">
          <mc:Choice Requires="x14">
            <control shapeId="1810444" r:id="rId15" name="Option Button 12">
              <controlPr defaultSize="0" autoFill="0" autoLine="0" autoPict="0">
                <anchor moveWithCells="1">
                  <from>
                    <xdr:col>17</xdr:col>
                    <xdr:colOff>695325</xdr:colOff>
                    <xdr:row>14</xdr:row>
                    <xdr:rowOff>180975</xdr:rowOff>
                  </from>
                  <to>
                    <xdr:col>19</xdr:col>
                    <xdr:colOff>19050</xdr:colOff>
                    <xdr:row>16</xdr:row>
                    <xdr:rowOff>9525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rgb="FFFFC000"/>
  </sheetPr>
  <dimension ref="A1:AC24"/>
  <sheetViews>
    <sheetView showGridLines="0" showRowColHeaders="0" topLeftCell="F1" zoomScaleNormal="100" workbookViewId="0">
      <selection sqref="A1:E1 V2:AC2"/>
    </sheetView>
  </sheetViews>
  <sheetFormatPr defaultRowHeight="16.5"/>
  <cols>
    <col min="1" max="1" width="9" style="87" hidden="1" customWidth="1"/>
    <col min="2" max="2" width="16.625" style="87" hidden="1" customWidth="1"/>
    <col min="3" max="3" width="13.375" style="89" hidden="1" customWidth="1"/>
    <col min="4" max="5" width="9" style="87" hidden="1" customWidth="1"/>
    <col min="6" max="6" width="3.875" style="84" customWidth="1"/>
    <col min="7" max="7" width="5" style="938" customWidth="1"/>
    <col min="8" max="8" width="9.625" style="938" bestFit="1" customWidth="1"/>
    <col min="9" max="9" width="12.375" style="938" customWidth="1"/>
    <col min="10" max="10" width="11.125" style="938" customWidth="1"/>
    <col min="11" max="11" width="20.25" style="938" customWidth="1"/>
    <col min="12" max="12" width="43.25" style="938" customWidth="1"/>
    <col min="13" max="13" width="10" style="938" customWidth="1"/>
    <col min="14" max="14" width="11" style="938" customWidth="1"/>
    <col min="15" max="15" width="19.375" style="938" customWidth="1"/>
    <col min="16" max="16" width="6.625" style="938" bestFit="1" customWidth="1"/>
    <col min="17" max="18" width="10" style="938" bestFit="1" customWidth="1"/>
    <col min="19" max="19" width="10.75" style="938" customWidth="1"/>
    <col min="20" max="20" width="6.75" style="938" customWidth="1"/>
    <col min="21" max="21" width="4.75" style="938" bestFit="1" customWidth="1"/>
    <col min="22" max="29" width="5" style="938" hidden="1" customWidth="1"/>
    <col min="30" max="16384" width="9" style="938"/>
  </cols>
  <sheetData>
    <row r="1" spans="1:29">
      <c r="F1" s="84" t="str">
        <f>"("&amp;UNJC1020_B_PAGE_NO&amp;"/"&amp;UNJC1020_B_ALL_PAGE_SU&amp;")"</f>
        <v>(1/1)</v>
      </c>
      <c r="G1" s="937"/>
    </row>
    <row r="2" spans="1:29">
      <c r="A2" s="285"/>
      <c r="B2" s="82" t="s">
        <v>189</v>
      </c>
      <c r="C2" s="286" t="s">
        <v>195</v>
      </c>
      <c r="D2" s="287">
        <v>1</v>
      </c>
      <c r="E2" s="285"/>
      <c r="F2" s="288"/>
      <c r="G2" s="939" t="s">
        <v>0</v>
      </c>
      <c r="H2" s="939" t="s">
        <v>27</v>
      </c>
      <c r="I2" s="940" t="s">
        <v>40</v>
      </c>
      <c r="J2" s="939" t="s">
        <v>28</v>
      </c>
      <c r="K2" s="939" t="s">
        <v>4</v>
      </c>
      <c r="L2" s="941" t="s">
        <v>5</v>
      </c>
      <c r="M2" s="939" t="s">
        <v>84</v>
      </c>
      <c r="N2" s="939" t="s">
        <v>29</v>
      </c>
      <c r="O2" s="939" t="s">
        <v>42</v>
      </c>
      <c r="P2" s="939" t="s">
        <v>43</v>
      </c>
      <c r="Q2" s="939" t="s">
        <v>86</v>
      </c>
      <c r="R2" s="939" t="s">
        <v>92</v>
      </c>
      <c r="S2" s="939" t="s">
        <v>2</v>
      </c>
      <c r="T2" s="939" t="s">
        <v>95</v>
      </c>
      <c r="U2" s="939" t="s">
        <v>9</v>
      </c>
      <c r="V2" s="534" t="s">
        <v>3</v>
      </c>
      <c r="W2" s="534" t="s">
        <v>41</v>
      </c>
      <c r="X2" s="534" t="s">
        <v>97</v>
      </c>
      <c r="Y2" s="534" t="s">
        <v>4367</v>
      </c>
      <c r="Z2" s="534" t="s">
        <v>350</v>
      </c>
      <c r="AA2" s="534" t="s">
        <v>351</v>
      </c>
      <c r="AB2" s="534" t="s">
        <v>96</v>
      </c>
      <c r="AC2" s="534" t="s">
        <v>3607</v>
      </c>
    </row>
    <row r="3" spans="1:29">
      <c r="B3" s="82" t="s">
        <v>190</v>
      </c>
      <c r="C3" s="89" t="s">
        <v>188</v>
      </c>
      <c r="D3" s="90">
        <v>1</v>
      </c>
    </row>
    <row r="4" spans="1:29">
      <c r="B4" s="82" t="s">
        <v>191</v>
      </c>
      <c r="C4" s="89" t="s">
        <v>193</v>
      </c>
      <c r="D4" s="90">
        <f>IF(OR(UNJC1020_B_ALL_KENSU=0,UNJC1020_B_HYOJI_GYO_SU=0),1,ROUNDUP(UNJC1020_B_ALL_KENSU/UNJC1020_B_HYOJI_GYO_SU,0))</f>
        <v>1</v>
      </c>
    </row>
    <row r="5" spans="1:29">
      <c r="B5" s="82" t="s">
        <v>126</v>
      </c>
      <c r="C5" s="89" t="s">
        <v>194</v>
      </c>
      <c r="D5" s="90">
        <v>10</v>
      </c>
    </row>
    <row r="6" spans="1:29">
      <c r="B6" s="82" t="s">
        <v>192</v>
      </c>
      <c r="C6" s="89" t="s">
        <v>196</v>
      </c>
      <c r="D6" s="90">
        <v>5</v>
      </c>
    </row>
    <row r="8" spans="1:29">
      <c r="B8" s="82" t="s">
        <v>201</v>
      </c>
      <c r="C8" s="89" t="s">
        <v>205</v>
      </c>
      <c r="D8" s="90" t="str">
        <f>ADDRESS(ROW(UNJC1020_B_SENTAKU)+1,COLUMN(UNJC1020_B_SENTAKU))</f>
        <v>$G$3</v>
      </c>
    </row>
    <row r="9" spans="1:29">
      <c r="B9" s="82" t="s">
        <v>202</v>
      </c>
      <c r="C9" s="89" t="s">
        <v>206</v>
      </c>
      <c r="D9" s="90" t="str">
        <f>ADDRESS(ROW(UNJC1020_B_SENTAKU)+1+UNJC1020_B_HYOJI_KENSU-1,COLUMN(UNJC1020_B_SENTAKU)+COLUMNS(UNJC1020_IF_LIST_COPY_MOTO)-1)</f>
        <v>$AC$12</v>
      </c>
    </row>
    <row r="10" spans="1:29">
      <c r="B10" s="82" t="s">
        <v>661</v>
      </c>
      <c r="C10" s="89" t="s">
        <v>662</v>
      </c>
      <c r="D10" s="90" t="b">
        <f>IF(UNJC1020_B_HYOJI_KENSU&lt;&gt;0,TRUE,FALSE)</f>
        <v>1</v>
      </c>
    </row>
    <row r="11" spans="1:29">
      <c r="B11" s="82" t="s">
        <v>203</v>
      </c>
      <c r="C11" s="89" t="s">
        <v>207</v>
      </c>
      <c r="D11" s="90" t="str">
        <f>IF(UNJC1020_B_HYOJI_KENSU=0,"",UNJC1020_B_LIST_START&amp;":"&amp;
ADDRESS(ROW(UNJC1020_B_SENTAKU)+1+UNJC1020_B_HYOJI_KENSU-1,COLUMN(UNJC1020_B_SENTAKU)+COLUMNS(UNJC1020_IF_LIST_COPY_MOTO)-1))</f>
        <v>$G$3:$AC$12</v>
      </c>
    </row>
    <row r="12" spans="1:29">
      <c r="B12" s="82" t="s">
        <v>204</v>
      </c>
      <c r="C12" s="89" t="s">
        <v>208</v>
      </c>
      <c r="D12" s="90" t="str">
        <f>ADDRESS(ROW(UNJC1020_B_SENTAKU)+1,COLUMN(UNJC1020_B_SENTAKU))&amp;":"&amp;
ADDRESS(ROW(UNJC1020_B_SENTAKU)+1+UNJC1020_B_HYOJI_GYO_SU-1,COLUMN(UNJC1020_B_SENTAKU)+COLUMNS(UNJC1020_IF_LIST_COPY_MOTO)-1)</f>
        <v>$G$3:$AC$7</v>
      </c>
    </row>
    <row r="13" spans="1:29">
      <c r="E13" s="91"/>
    </row>
    <row r="14" spans="1:29">
      <c r="B14" s="87" t="s">
        <v>234</v>
      </c>
      <c r="C14" s="89" t="s">
        <v>240</v>
      </c>
      <c r="D14" s="90">
        <f>UNJC1020_B_PAGE_NO+1</f>
        <v>2</v>
      </c>
    </row>
    <row r="15" spans="1:29">
      <c r="B15" s="87" t="s">
        <v>233</v>
      </c>
      <c r="C15" s="89" t="s">
        <v>239</v>
      </c>
      <c r="D15" s="90">
        <f>UNJC1020_B_PAGE_NO-1</f>
        <v>0</v>
      </c>
      <c r="E15" s="85" t="s">
        <v>236</v>
      </c>
    </row>
    <row r="16" spans="1:29">
      <c r="B16" s="82" t="s">
        <v>235</v>
      </c>
      <c r="C16" s="85" t="s">
        <v>238</v>
      </c>
      <c r="D16" s="81">
        <f>IF(1&lt;UNJC1020_B_PAGE_NO,1,2)</f>
        <v>2</v>
      </c>
      <c r="E16" s="82"/>
    </row>
    <row r="17" spans="2:4">
      <c r="B17" s="82" t="s">
        <v>237</v>
      </c>
      <c r="C17" s="85" t="s">
        <v>241</v>
      </c>
      <c r="D17" s="81">
        <f>IF(UNJC1020_B_PAGE_NO&lt;UNJC1020_B_ALL_PAGE_SU,1,2)</f>
        <v>2</v>
      </c>
    </row>
    <row r="19" spans="2:4">
      <c r="B19" s="82" t="s">
        <v>276</v>
      </c>
      <c r="C19" s="85" t="s">
        <v>280</v>
      </c>
      <c r="D19" s="81"/>
    </row>
    <row r="20" spans="2:4">
      <c r="B20" s="82" t="s">
        <v>277</v>
      </c>
      <c r="C20" s="85" t="s">
        <v>281</v>
      </c>
      <c r="D20" s="81" t="str">
        <f>ADDRESS(ROW(A1),COLUMN(A1))&amp;":"&amp;ADDRESS(ROW(E1),COLUMN(E1))&amp;","&amp;ADDRESS(ROW(V2),COLUMN(V2))&amp;":"&amp;ADDRESS(ROW(AC2),COLUMN(AC2))</f>
        <v>$A$1:$E$1,$V$2:$AC$2</v>
      </c>
    </row>
    <row r="21" spans="2:4">
      <c r="B21" s="92" t="s">
        <v>282</v>
      </c>
      <c r="C21" s="94" t="s">
        <v>283</v>
      </c>
      <c r="D21" s="93" t="str">
        <f>ADDRESS(ROW(L2)+1,COLUMN(L2))</f>
        <v>$L$3</v>
      </c>
    </row>
    <row r="23" spans="2:4">
      <c r="B23" s="92" t="s">
        <v>342</v>
      </c>
      <c r="C23" s="92" t="s">
        <v>345</v>
      </c>
      <c r="D23" s="90">
        <f ca="1">IF(OR(UNJC1020_B_SELECT_GYO_NO=2,UNJC1020_B_SELECT_GYO_NO=0),0,INDIRECT(ADDRESS(UNJC1020_B_SELECT_GYO_NO,COLUMN(UNJC1020_B_JURI_No))))</f>
        <v>0</v>
      </c>
    </row>
    <row r="24" spans="2:4">
      <c r="B24" s="92" t="s">
        <v>343</v>
      </c>
      <c r="C24" s="92" t="s">
        <v>344</v>
      </c>
      <c r="D24" s="93"/>
    </row>
  </sheetData>
  <sheetProtection sheet="1" objects="1" scenarios="1" selectLockedCells="1"/>
  <phoneticPr fontId="2"/>
  <pageMargins left="0.7" right="0.7" top="0.75" bottom="0.75" header="0.3" footer="0.3"/>
  <pageSetup paperSize="9" orientation="portrait" verticalDpi="0"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B1:DM30"/>
  <sheetViews>
    <sheetView topLeftCell="AK1" zoomScaleNormal="100" workbookViewId="0">
      <selection activeCell="AR4" sqref="AR4"/>
    </sheetView>
  </sheetViews>
  <sheetFormatPr defaultRowHeight="13.5"/>
  <cols>
    <col min="12" max="12" width="23.5" customWidth="1"/>
    <col min="13" max="13" width="13.25" customWidth="1"/>
    <col min="14" max="14" width="5" customWidth="1"/>
    <col min="15" max="15" width="9.625" bestFit="1" customWidth="1"/>
    <col min="16" max="16" width="12.375" customWidth="1"/>
    <col min="17" max="17" width="11.125" customWidth="1"/>
    <col min="18" max="18" width="20.25" customWidth="1"/>
    <col min="19" max="19" width="43.25" customWidth="1"/>
    <col min="20" max="20" width="10" customWidth="1"/>
    <col min="21" max="21" width="11" customWidth="1"/>
    <col min="22" max="22" width="19.375" customWidth="1"/>
    <col min="23" max="23" width="6.625" bestFit="1" customWidth="1"/>
    <col min="24" max="25" width="10" bestFit="1" customWidth="1"/>
    <col min="26" max="26" width="10.75" customWidth="1"/>
    <col min="27" max="27" width="6.75" customWidth="1"/>
    <col min="28" max="28" width="4.75" bestFit="1" customWidth="1"/>
    <col min="29" max="31" width="5" customWidth="1"/>
    <col min="32" max="32" width="5" style="970" customWidth="1"/>
    <col min="33" max="36" width="5" style="98" customWidth="1"/>
    <col min="37" max="39" width="9" style="98"/>
    <col min="44" max="44" width="11.125" bestFit="1" customWidth="1"/>
    <col min="46" max="46" width="11.125" bestFit="1" customWidth="1"/>
    <col min="50" max="50" width="9" style="66"/>
    <col min="56" max="56" width="17.75" customWidth="1"/>
    <col min="57" max="57" width="9" style="278"/>
    <col min="58" max="63" width="8.75" style="911" customWidth="1"/>
    <col min="64" max="64" width="8.75" customWidth="1"/>
    <col min="65" max="83" width="8.75" style="911" customWidth="1"/>
    <col min="84" max="89" width="8.75" customWidth="1"/>
    <col min="90" max="90" width="8.75" style="970" customWidth="1"/>
    <col min="91" max="92" width="8.75" style="911" customWidth="1"/>
    <col min="93" max="93" width="8.75" customWidth="1"/>
    <col min="94" max="98" width="8.75" style="911" customWidth="1"/>
    <col min="99" max="99" width="8.75" customWidth="1"/>
    <col min="100" max="100" width="8.75" style="911" customWidth="1"/>
    <col min="101" max="102" width="8.75" customWidth="1"/>
    <col min="103" max="103" width="8.75" style="911" customWidth="1"/>
    <col min="104" max="105" width="8.75" customWidth="1"/>
    <col min="106" max="106" width="8.75" style="911" customWidth="1"/>
    <col min="107" max="107" width="8.75" customWidth="1"/>
    <col min="108" max="108" width="8.75" style="911" customWidth="1"/>
    <col min="109" max="109" width="8.75" customWidth="1"/>
    <col min="110" max="112" width="8.75" style="970" customWidth="1"/>
    <col min="113" max="117" width="8.75" style="911" customWidth="1"/>
  </cols>
  <sheetData>
    <row r="1" spans="2:117">
      <c r="BF1"/>
      <c r="BG1"/>
      <c r="BH1"/>
      <c r="BI1"/>
      <c r="BJ1"/>
      <c r="BK1"/>
      <c r="BM1"/>
      <c r="BN1"/>
      <c r="BO1"/>
      <c r="BP1"/>
      <c r="BQ1"/>
      <c r="BR1"/>
      <c r="BS1"/>
      <c r="BT1"/>
      <c r="BU1"/>
      <c r="BV1"/>
      <c r="BW1"/>
      <c r="BX1"/>
      <c r="BY1"/>
      <c r="BZ1"/>
      <c r="CA1"/>
      <c r="CB1"/>
      <c r="CC1"/>
      <c r="CD1"/>
      <c r="CE1"/>
      <c r="CM1" s="970"/>
      <c r="CN1"/>
      <c r="CP1"/>
      <c r="CQ1"/>
      <c r="CR1"/>
      <c r="CS1"/>
      <c r="CT1"/>
      <c r="CV1"/>
      <c r="CY1"/>
      <c r="DB1"/>
      <c r="DD1"/>
      <c r="DI1" s="970"/>
      <c r="DJ1" s="970"/>
      <c r="DK1" s="970"/>
      <c r="DL1" s="970"/>
      <c r="DM1" s="970"/>
    </row>
    <row r="2" spans="2:117">
      <c r="B2" s="36" t="s">
        <v>103</v>
      </c>
      <c r="C2" s="36"/>
      <c r="D2" s="36"/>
      <c r="E2" s="36"/>
      <c r="F2" s="36"/>
      <c r="G2" s="36"/>
      <c r="H2" t="s">
        <v>166</v>
      </c>
      <c r="L2" t="s">
        <v>197</v>
      </c>
      <c r="AG2" s="100"/>
      <c r="AH2" s="100"/>
      <c r="AI2" s="100"/>
      <c r="AJ2" s="100"/>
      <c r="AK2" s="100"/>
      <c r="AL2" s="100"/>
      <c r="AM2" s="59" t="s">
        <v>254</v>
      </c>
      <c r="AN2" s="59" t="s">
        <v>256</v>
      </c>
      <c r="BA2" t="s">
        <v>1828</v>
      </c>
      <c r="BD2" s="278" t="s">
        <v>1825</v>
      </c>
      <c r="BE2" s="278" t="s">
        <v>1832</v>
      </c>
      <c r="BF2" s="1189"/>
      <c r="BG2" s="1189"/>
      <c r="BH2" s="1189"/>
      <c r="BI2" s="1189"/>
      <c r="BJ2" s="1189"/>
      <c r="BK2" s="1189"/>
      <c r="BL2" s="1190"/>
      <c r="BM2" s="1189"/>
      <c r="BN2" s="1189"/>
      <c r="BO2" s="1189"/>
      <c r="BP2" s="1189"/>
      <c r="BQ2" s="1189"/>
      <c r="BR2" s="1189"/>
      <c r="BS2" s="1189"/>
      <c r="BT2" s="1189"/>
      <c r="BU2" s="1189"/>
      <c r="BV2" s="1189"/>
      <c r="BW2" s="1189"/>
      <c r="BX2" s="1189"/>
      <c r="BY2" s="1189"/>
      <c r="BZ2" s="1189"/>
      <c r="CA2" s="1189"/>
      <c r="CB2" s="1189"/>
      <c r="CC2" s="1189"/>
      <c r="CD2" s="1189"/>
      <c r="CE2" s="1189"/>
      <c r="CF2" s="1191"/>
      <c r="CG2" s="1191"/>
      <c r="CH2" s="1191"/>
      <c r="CI2" s="1191"/>
      <c r="CJ2" s="1191"/>
      <c r="CK2" s="1192"/>
      <c r="CL2" s="1192"/>
      <c r="CM2" s="1189"/>
      <c r="CN2" s="1189"/>
      <c r="CO2" s="1193"/>
      <c r="CP2" s="1189"/>
      <c r="CQ2" s="1189"/>
      <c r="CR2" s="1189"/>
      <c r="CS2" s="1189"/>
      <c r="CT2" s="1189"/>
      <c r="CU2" s="1191"/>
      <c r="CV2" s="1189"/>
      <c r="CW2" s="1191"/>
      <c r="CX2" s="1191"/>
      <c r="CY2" s="1189"/>
      <c r="CZ2" s="1192"/>
      <c r="DA2" s="1191"/>
      <c r="DB2" s="1189"/>
      <c r="DC2" s="1191"/>
      <c r="DD2" s="1189"/>
      <c r="DE2" s="1192"/>
      <c r="DF2" s="1192"/>
      <c r="DG2" s="1192"/>
      <c r="DH2" s="1192"/>
      <c r="DI2" s="1189"/>
      <c r="DJ2" s="1189"/>
      <c r="DK2" s="1189"/>
      <c r="DL2" s="1189"/>
      <c r="DM2" s="1189"/>
    </row>
    <row r="3" spans="2:117" ht="16.5">
      <c r="B3" s="36"/>
      <c r="C3" s="36" t="s">
        <v>104</v>
      </c>
      <c r="D3" s="36" t="s">
        <v>135</v>
      </c>
      <c r="E3" s="24"/>
      <c r="F3" s="36" t="s">
        <v>105</v>
      </c>
      <c r="G3" s="36" t="s">
        <v>106</v>
      </c>
      <c r="I3" s="41" t="s">
        <v>99</v>
      </c>
      <c r="J3" s="41" t="s">
        <v>167</v>
      </c>
      <c r="N3" s="939" t="s">
        <v>0</v>
      </c>
      <c r="O3" s="939" t="s">
        <v>27</v>
      </c>
      <c r="P3" s="940" t="s">
        <v>40</v>
      </c>
      <c r="Q3" s="939" t="s">
        <v>28</v>
      </c>
      <c r="R3" s="939" t="s">
        <v>4</v>
      </c>
      <c r="S3" s="941" t="s">
        <v>5</v>
      </c>
      <c r="T3" s="939" t="s">
        <v>84</v>
      </c>
      <c r="U3" s="939" t="s">
        <v>29</v>
      </c>
      <c r="V3" s="939" t="s">
        <v>42</v>
      </c>
      <c r="W3" s="939" t="s">
        <v>43</v>
      </c>
      <c r="X3" s="939" t="s">
        <v>86</v>
      </c>
      <c r="Y3" s="939" t="s">
        <v>92</v>
      </c>
      <c r="Z3" s="939" t="s">
        <v>2</v>
      </c>
      <c r="AA3" s="939" t="s">
        <v>95</v>
      </c>
      <c r="AB3" s="939" t="s">
        <v>9</v>
      </c>
      <c r="AC3" s="534" t="s">
        <v>3</v>
      </c>
      <c r="AD3" s="534" t="s">
        <v>41</v>
      </c>
      <c r="AE3" s="534" t="s">
        <v>97</v>
      </c>
      <c r="AF3" s="534" t="s">
        <v>98</v>
      </c>
      <c r="AG3" s="534" t="s">
        <v>350</v>
      </c>
      <c r="AH3" s="534" t="s">
        <v>351</v>
      </c>
      <c r="AI3" s="534" t="s">
        <v>96</v>
      </c>
      <c r="AJ3" s="534" t="s">
        <v>3607</v>
      </c>
      <c r="AN3" s="258"/>
      <c r="AO3" s="207"/>
      <c r="AP3" s="207"/>
      <c r="AQ3" s="208" t="s">
        <v>82</v>
      </c>
      <c r="AR3" s="763"/>
      <c r="AS3" s="1164" t="s">
        <v>26</v>
      </c>
      <c r="AT3" s="763"/>
      <c r="AU3" s="207"/>
      <c r="AV3" s="207"/>
      <c r="AW3" s="207"/>
      <c r="AX3" s="208" t="s">
        <v>38</v>
      </c>
      <c r="AY3" s="757"/>
      <c r="BF3" s="585" t="s">
        <v>266</v>
      </c>
      <c r="BG3" s="585" t="s">
        <v>4400</v>
      </c>
      <c r="BH3" s="585" t="s">
        <v>4401</v>
      </c>
      <c r="BI3" s="585" t="s">
        <v>4402</v>
      </c>
      <c r="BJ3" s="585" t="s">
        <v>4403</v>
      </c>
      <c r="BK3" s="585" t="s">
        <v>382</v>
      </c>
      <c r="BL3" s="585" t="s">
        <v>1560</v>
      </c>
      <c r="BM3" s="585" t="s">
        <v>1198</v>
      </c>
      <c r="BN3" s="585" t="s">
        <v>4387</v>
      </c>
      <c r="BO3" s="585" t="s">
        <v>275</v>
      </c>
      <c r="BP3" s="585" t="s">
        <v>269</v>
      </c>
      <c r="BQ3" s="585" t="s">
        <v>270</v>
      </c>
      <c r="BR3" s="585" t="s">
        <v>271</v>
      </c>
      <c r="BS3" s="585" t="s">
        <v>272</v>
      </c>
      <c r="BT3" s="585" t="s">
        <v>361</v>
      </c>
      <c r="BU3" s="585" t="s">
        <v>267</v>
      </c>
      <c r="BV3" s="585" t="s">
        <v>349</v>
      </c>
      <c r="BW3" s="585" t="s">
        <v>268</v>
      </c>
      <c r="BX3" s="585" t="s">
        <v>274</v>
      </c>
      <c r="BY3" s="585" t="s">
        <v>385</v>
      </c>
      <c r="BZ3" s="585" t="s">
        <v>386</v>
      </c>
      <c r="CA3" s="585" t="s">
        <v>387</v>
      </c>
      <c r="CB3" s="585" t="s">
        <v>388</v>
      </c>
      <c r="CC3" s="585" t="s">
        <v>389</v>
      </c>
      <c r="CD3" s="585" t="s">
        <v>390</v>
      </c>
      <c r="CE3" s="585" t="s">
        <v>391</v>
      </c>
      <c r="CF3" s="585" t="s">
        <v>362</v>
      </c>
      <c r="CG3" s="585" t="s">
        <v>363</v>
      </c>
      <c r="CH3" s="585" t="s">
        <v>364</v>
      </c>
      <c r="CI3" s="585" t="s">
        <v>365</v>
      </c>
      <c r="CJ3" s="585" t="s">
        <v>366</v>
      </c>
      <c r="CK3" s="585" t="s">
        <v>403</v>
      </c>
      <c r="CL3" s="996" t="s">
        <v>372</v>
      </c>
      <c r="CM3" s="996" t="s">
        <v>4394</v>
      </c>
      <c r="CN3" s="585" t="s">
        <v>4395</v>
      </c>
      <c r="CO3" s="1186" t="s">
        <v>367</v>
      </c>
      <c r="CP3" s="1186" t="s">
        <v>368</v>
      </c>
      <c r="CQ3" s="1186" t="s">
        <v>3349</v>
      </c>
      <c r="CR3" s="1186" t="s">
        <v>4404</v>
      </c>
      <c r="CS3" s="1186" t="s">
        <v>65</v>
      </c>
      <c r="CT3" s="1186" t="s">
        <v>369</v>
      </c>
      <c r="CU3" s="1186" t="s">
        <v>394</v>
      </c>
      <c r="CV3" s="1186" t="s">
        <v>395</v>
      </c>
      <c r="CW3" s="1186" t="s">
        <v>396</v>
      </c>
      <c r="CX3" s="1186" t="s">
        <v>397</v>
      </c>
      <c r="CY3" s="1186" t="s">
        <v>370</v>
      </c>
      <c r="CZ3" s="1186" t="s">
        <v>371</v>
      </c>
      <c r="DA3" s="1186" t="s">
        <v>398</v>
      </c>
      <c r="DB3" s="1186" t="s">
        <v>399</v>
      </c>
      <c r="DC3" s="1186" t="s">
        <v>400</v>
      </c>
      <c r="DD3" s="1186" t="s">
        <v>401</v>
      </c>
      <c r="DE3" s="1186" t="s">
        <v>402</v>
      </c>
      <c r="DF3" s="1186" t="s">
        <v>372</v>
      </c>
      <c r="DG3" s="1186" t="s">
        <v>403</v>
      </c>
      <c r="DH3" s="1186" t="s">
        <v>373</v>
      </c>
      <c r="DI3" s="1186" t="s">
        <v>374</v>
      </c>
      <c r="DJ3" s="1186" t="s">
        <v>3822</v>
      </c>
      <c r="DK3" s="1186" t="s">
        <v>77</v>
      </c>
      <c r="DL3" s="1186" t="s">
        <v>3823</v>
      </c>
      <c r="DM3" s="1186" t="s">
        <v>404</v>
      </c>
    </row>
    <row r="4" spans="2:117" ht="16.5">
      <c r="B4" s="36"/>
      <c r="C4" s="36" t="s">
        <v>107</v>
      </c>
      <c r="D4" s="36" t="s">
        <v>136</v>
      </c>
      <c r="E4" s="24"/>
      <c r="F4" s="36"/>
      <c r="G4" s="36"/>
      <c r="I4" s="41" t="s">
        <v>100</v>
      </c>
      <c r="J4" s="42">
        <v>3</v>
      </c>
      <c r="L4" s="56" t="s">
        <v>198</v>
      </c>
      <c r="M4" s="57" t="s">
        <v>200</v>
      </c>
      <c r="N4" s="915"/>
      <c r="O4" s="915"/>
      <c r="P4" s="915"/>
      <c r="Q4" s="915"/>
      <c r="R4" s="915"/>
      <c r="S4" s="915"/>
      <c r="T4" s="915"/>
      <c r="U4" s="915"/>
      <c r="V4" s="915"/>
      <c r="W4" s="915"/>
      <c r="X4" s="915"/>
      <c r="Y4" s="915"/>
      <c r="Z4" s="915"/>
      <c r="AA4" s="915"/>
      <c r="AB4" s="915"/>
      <c r="AC4" s="918"/>
      <c r="AD4" s="918"/>
      <c r="AE4" s="918"/>
      <c r="AF4" s="918"/>
      <c r="AG4" s="918"/>
      <c r="AH4" s="918"/>
      <c r="AI4" s="918"/>
      <c r="AJ4" s="918"/>
      <c r="AN4" s="258"/>
      <c r="AO4" s="207"/>
      <c r="AP4" s="207"/>
      <c r="AQ4" s="208" t="s">
        <v>4410</v>
      </c>
      <c r="AR4" s="1197"/>
      <c r="AS4" s="1164" t="s">
        <v>26</v>
      </c>
      <c r="AT4" s="1197"/>
      <c r="AU4" s="207"/>
      <c r="AV4" s="207"/>
      <c r="AW4" s="207"/>
      <c r="AX4" s="7" t="s">
        <v>94</v>
      </c>
      <c r="AY4" s="97"/>
      <c r="BF4" s="617"/>
    </row>
    <row r="5" spans="2:117" ht="16.5">
      <c r="B5" s="36"/>
      <c r="C5" s="36"/>
      <c r="D5" s="36"/>
      <c r="E5" s="36"/>
      <c r="F5" s="36"/>
      <c r="G5" s="36"/>
      <c r="I5" s="41" t="s">
        <v>168</v>
      </c>
      <c r="J5" s="41" t="s">
        <v>169</v>
      </c>
      <c r="L5" s="56" t="s">
        <v>199</v>
      </c>
      <c r="M5" s="57" t="s">
        <v>255</v>
      </c>
      <c r="N5" s="86" t="s">
        <v>30</v>
      </c>
      <c r="O5" s="55"/>
      <c r="P5" s="54"/>
      <c r="Q5" s="55"/>
      <c r="R5" s="761"/>
      <c r="S5" s="760"/>
      <c r="T5" s="62"/>
      <c r="U5" s="62"/>
      <c r="V5" s="762"/>
      <c r="W5" s="55"/>
      <c r="X5" s="55"/>
      <c r="Y5" s="55"/>
      <c r="Z5" s="965"/>
      <c r="AA5" s="965"/>
      <c r="AB5" s="965"/>
      <c r="AC5" s="55"/>
      <c r="AD5" s="55"/>
      <c r="AE5" s="55"/>
      <c r="AF5" s="55"/>
      <c r="AG5" s="55"/>
      <c r="AH5" s="55"/>
      <c r="AI5" s="55"/>
      <c r="AJ5" s="55"/>
      <c r="AN5" s="763"/>
      <c r="AO5" s="207"/>
      <c r="AP5" s="207"/>
      <c r="AQ5" s="208" t="s">
        <v>4411</v>
      </c>
      <c r="AR5" s="1197"/>
      <c r="AS5" s="1164" t="s">
        <v>26</v>
      </c>
      <c r="AT5" s="1197"/>
      <c r="AU5" s="207"/>
      <c r="AV5" s="207"/>
      <c r="AW5" s="207"/>
      <c r="AX5" s="7" t="s">
        <v>3722</v>
      </c>
      <c r="AY5" s="258"/>
      <c r="BB5" t="s">
        <v>259</v>
      </c>
      <c r="BC5" s="59" t="s">
        <v>260</v>
      </c>
      <c r="BD5" s="60"/>
    </row>
    <row r="6" spans="2:117" ht="16.5">
      <c r="B6" s="36" t="s">
        <v>111</v>
      </c>
      <c r="C6" s="36"/>
      <c r="D6" s="36"/>
      <c r="E6" s="36"/>
      <c r="F6" s="36"/>
      <c r="G6" s="36"/>
      <c r="I6" s="41" t="s">
        <v>101</v>
      </c>
      <c r="J6" s="41" t="s">
        <v>102</v>
      </c>
      <c r="AN6" s="207"/>
      <c r="AO6" s="207"/>
      <c r="AP6" s="207"/>
      <c r="AQ6" s="207"/>
      <c r="AR6" s="207"/>
      <c r="AS6" s="207"/>
      <c r="AT6" s="207"/>
      <c r="AU6" s="207"/>
      <c r="AV6" s="207"/>
      <c r="AW6" s="207"/>
      <c r="AX6" s="207"/>
      <c r="AY6" s="74"/>
      <c r="BB6" t="s">
        <v>1831</v>
      </c>
      <c r="BC6" s="278" t="s">
        <v>1833</v>
      </c>
      <c r="BD6" s="273" t="str">
        <f>IF(UNJC1020_IF_PRINT_COUNT=0,"",
"UNJC1020_IF!"&amp;ADDRESS(ROW(UNJC1020_IF_PRINT_START),COLUMN(UNJC1020_IF_PRINT_START))&amp;":" &amp; ADDRESS(ROW(UNJC1020_IF_PRINT_START)+UNJC1020_IF_PRINT_COUNT-1,COLUMN(UNJC1020_IF_PRINT_START)+COLUMNS(UNJC1020_IF_PRINT_SHOSHIKI_COPY_MOTO)-1))</f>
        <v/>
      </c>
    </row>
    <row r="7" spans="2:117" ht="16.5">
      <c r="B7" s="36"/>
      <c r="C7" s="36" t="s">
        <v>108</v>
      </c>
      <c r="D7" s="36" t="s">
        <v>137</v>
      </c>
      <c r="E7" s="24"/>
      <c r="F7" s="36"/>
      <c r="G7" s="36"/>
      <c r="I7" s="43" t="s">
        <v>346</v>
      </c>
      <c r="J7" s="44">
        <v>1</v>
      </c>
      <c r="AN7" s="22"/>
      <c r="AO7" s="1874" t="str">
        <f>IF(UNJC1020_H_SEIKYUSAKI_CD="","",UNJC1020_H_SEIKYUSAKI_MEI)</f>
        <v/>
      </c>
      <c r="AP7" s="1874"/>
      <c r="AQ7" s="1874"/>
      <c r="AR7" s="1874"/>
      <c r="AS7" s="1874"/>
      <c r="AT7" s="1874"/>
      <c r="AU7" s="1874"/>
      <c r="AV7" s="1874"/>
      <c r="AW7" s="1874"/>
      <c r="AX7" s="1874"/>
      <c r="AY7" s="74"/>
    </row>
    <row r="8" spans="2:117" ht="16.5">
      <c r="B8" s="36"/>
      <c r="C8" s="36" t="s">
        <v>110</v>
      </c>
      <c r="D8" s="36" t="s">
        <v>138</v>
      </c>
      <c r="E8" s="27"/>
      <c r="F8" s="36"/>
      <c r="G8" s="36"/>
      <c r="I8" s="44" t="s">
        <v>347</v>
      </c>
      <c r="J8">
        <v>2</v>
      </c>
      <c r="AN8" s="1344"/>
      <c r="AO8" s="1345"/>
      <c r="AP8" s="1345"/>
      <c r="AQ8" s="1345"/>
      <c r="AR8" s="1345"/>
      <c r="AS8" s="1345"/>
      <c r="AT8" s="1345"/>
      <c r="AU8" s="1345"/>
      <c r="AV8" s="1345"/>
      <c r="AW8" s="1345"/>
      <c r="AX8" s="1346"/>
      <c r="AY8" s="74"/>
      <c r="BB8" s="58" t="s">
        <v>262</v>
      </c>
      <c r="BC8" s="67" t="s">
        <v>261</v>
      </c>
      <c r="BD8" s="68" t="str">
        <f ca="1">"販売検索画面" &amp;"_"&amp;TEXT(NOW(),"YYYYMMDD!_hhmmss")</f>
        <v>販売検索画面_20170927_151616</v>
      </c>
    </row>
    <row r="9" spans="2:117" ht="16.5">
      <c r="B9" s="36"/>
      <c r="C9" s="36" t="s">
        <v>109</v>
      </c>
      <c r="D9" s="36" t="s">
        <v>139</v>
      </c>
      <c r="E9" s="46"/>
      <c r="F9" s="36"/>
      <c r="G9" s="36"/>
      <c r="I9" s="44" t="s">
        <v>348</v>
      </c>
      <c r="J9">
        <v>3</v>
      </c>
      <c r="AN9" s="22"/>
      <c r="AO9" s="1874" t="str">
        <f>IF(UNJC1020_H_SHOHIN_CD="","",UNJC1020_H_SHOHIN_MEI)</f>
        <v/>
      </c>
      <c r="AP9" s="1874"/>
      <c r="AQ9" s="1874"/>
      <c r="AR9" s="1874"/>
      <c r="AS9" s="1874"/>
      <c r="AT9" s="1874"/>
      <c r="AU9" s="1874"/>
      <c r="AV9" s="1874"/>
      <c r="AW9" s="1874"/>
      <c r="AX9" s="1874"/>
      <c r="AY9" s="74"/>
    </row>
    <row r="10" spans="2:117" ht="16.5">
      <c r="B10" s="36" t="s">
        <v>112</v>
      </c>
      <c r="C10" s="36"/>
      <c r="D10" s="36"/>
      <c r="E10" s="36"/>
      <c r="F10" s="36"/>
      <c r="G10" s="36"/>
      <c r="AN10" s="22"/>
      <c r="AO10" s="1874" t="str">
        <f>IF(UNJC1020_H_SHIIRESAKI_CD="","",UNJC1020_H_SHIIRESAKI_MEI)</f>
        <v/>
      </c>
      <c r="AP10" s="1874"/>
      <c r="AQ10" s="1874"/>
      <c r="AR10" s="1874"/>
      <c r="AS10" s="1874"/>
      <c r="AT10" s="1874"/>
      <c r="AU10" s="1874"/>
      <c r="AV10" s="1874"/>
      <c r="AW10" s="1874"/>
      <c r="AX10" s="1874"/>
      <c r="AY10" s="74"/>
    </row>
    <row r="11" spans="2:117" ht="16.5">
      <c r="B11" s="36"/>
      <c r="C11" s="36" t="s">
        <v>113</v>
      </c>
      <c r="D11" s="36" t="s">
        <v>140</v>
      </c>
      <c r="E11" s="24"/>
      <c r="F11" s="36" t="s">
        <v>119</v>
      </c>
      <c r="G11" s="36"/>
      <c r="AN11" s="22"/>
      <c r="AO11" s="1874" t="str">
        <f>IF(UNJC1020_H_MAKER_CD="","",UNJC1020_H_MAKER_MEI)</f>
        <v/>
      </c>
      <c r="AP11" s="1874"/>
      <c r="AQ11" s="1874"/>
      <c r="AR11" s="1874"/>
      <c r="AS11" s="1874"/>
      <c r="AT11" s="1874"/>
      <c r="AU11" s="1874"/>
      <c r="AV11" s="1874"/>
      <c r="AW11" s="1874"/>
      <c r="AX11" s="1874"/>
      <c r="AY11" s="74"/>
    </row>
    <row r="12" spans="2:117" ht="16.5">
      <c r="B12" s="36"/>
      <c r="C12" s="36"/>
      <c r="D12" s="36"/>
      <c r="E12" s="36"/>
      <c r="F12" s="36"/>
      <c r="G12" s="36"/>
      <c r="AN12" s="74"/>
      <c r="AO12" s="74"/>
      <c r="AP12" s="74"/>
      <c r="AQ12" s="74"/>
      <c r="AR12" s="74"/>
      <c r="AS12" s="74"/>
      <c r="AT12" s="74"/>
      <c r="AU12" s="74"/>
      <c r="AV12" s="74"/>
      <c r="AW12" s="74"/>
      <c r="AX12" s="74"/>
      <c r="AY12" s="74"/>
    </row>
    <row r="13" spans="2:117" ht="16.5">
      <c r="B13" s="35" t="s">
        <v>120</v>
      </c>
      <c r="C13" s="36"/>
      <c r="D13" s="38"/>
      <c r="E13" s="40"/>
      <c r="F13" s="40"/>
      <c r="G13" s="36"/>
      <c r="AN13" s="71"/>
      <c r="AO13" s="77" t="str">
        <f>IF(UNJC1020_H_FREEWD_KBN=1,"AND",IF(UNJC1020_H_FREEWD_KBN=2,"OR","NAND"))</f>
        <v>AND</v>
      </c>
      <c r="AP13" s="71"/>
      <c r="AQ13" s="77" t="str">
        <f>UNJC1020_H_FREEWD_KBN_DISP</f>
        <v>AND</v>
      </c>
      <c r="AR13" s="71"/>
      <c r="AS13" s="1873"/>
      <c r="AT13" s="1873"/>
      <c r="AU13" s="74"/>
      <c r="AV13" s="74"/>
      <c r="AW13" s="74"/>
      <c r="AX13" s="74"/>
      <c r="AY13" s="74"/>
    </row>
    <row r="14" spans="2:117">
      <c r="B14" s="40"/>
      <c r="C14" s="40" t="s">
        <v>121</v>
      </c>
      <c r="D14" s="36" t="s">
        <v>141</v>
      </c>
      <c r="E14" s="37"/>
      <c r="F14" s="40"/>
      <c r="G14" s="36"/>
    </row>
    <row r="15" spans="2:117">
      <c r="B15" s="40"/>
      <c r="C15" s="40" t="s">
        <v>122</v>
      </c>
      <c r="D15" s="36" t="s">
        <v>142</v>
      </c>
      <c r="E15" s="37"/>
      <c r="F15" s="40"/>
      <c r="G15" s="36"/>
      <c r="AN15" s="59" t="s">
        <v>257</v>
      </c>
    </row>
    <row r="16" spans="2:117">
      <c r="B16" s="40"/>
      <c r="C16" s="40" t="s">
        <v>123</v>
      </c>
      <c r="D16" s="36" t="s">
        <v>143</v>
      </c>
      <c r="E16" s="37"/>
      <c r="F16" s="40"/>
      <c r="G16" s="36"/>
      <c r="AL16" s="98" t="s">
        <v>132</v>
      </c>
      <c r="AM16" s="98" t="s">
        <v>3568</v>
      </c>
      <c r="AN16" s="132"/>
    </row>
    <row r="17" spans="2:40">
      <c r="B17" s="40"/>
      <c r="C17" s="40"/>
      <c r="D17" s="36"/>
      <c r="E17" s="40"/>
      <c r="F17" s="40"/>
      <c r="G17" s="36"/>
      <c r="AL17" s="98" t="s">
        <v>98</v>
      </c>
      <c r="AM17" s="98" t="s">
        <v>3569</v>
      </c>
      <c r="AN17" s="199"/>
    </row>
    <row r="18" spans="2:40">
      <c r="B18" s="40"/>
      <c r="C18" s="40" t="s">
        <v>124</v>
      </c>
      <c r="D18" s="36" t="s">
        <v>144</v>
      </c>
      <c r="E18" s="37"/>
      <c r="F18" s="40"/>
      <c r="G18" s="36"/>
      <c r="AL18" s="970" t="s">
        <v>3169</v>
      </c>
      <c r="AM18" s="970" t="s">
        <v>3720</v>
      </c>
      <c r="AN18" s="199"/>
    </row>
    <row r="19" spans="2:40">
      <c r="AN19" s="200"/>
    </row>
    <row r="20" spans="2:40">
      <c r="AL20" s="98" t="s">
        <v>3552</v>
      </c>
      <c r="AM20" s="98" t="s">
        <v>3553</v>
      </c>
      <c r="AN20" s="202" t="b">
        <v>1</v>
      </c>
    </row>
    <row r="21" spans="2:40">
      <c r="AL21" s="98" t="s">
        <v>3554</v>
      </c>
      <c r="AM21" s="98" t="s">
        <v>3555</v>
      </c>
      <c r="AN21" s="202" t="b">
        <v>1</v>
      </c>
    </row>
    <row r="22" spans="2:40">
      <c r="AL22" s="98" t="s">
        <v>3556</v>
      </c>
      <c r="AM22" s="98" t="s">
        <v>3557</v>
      </c>
      <c r="AN22" s="202" t="b">
        <v>1</v>
      </c>
    </row>
    <row r="23" spans="2:40">
      <c r="AL23" s="98" t="s">
        <v>3558</v>
      </c>
      <c r="AM23" s="98" t="s">
        <v>3559</v>
      </c>
      <c r="AN23" s="202" t="b">
        <v>1</v>
      </c>
    </row>
    <row r="24" spans="2:40">
      <c r="AL24" s="98" t="s">
        <v>3560</v>
      </c>
      <c r="AM24" s="98" t="s">
        <v>3561</v>
      </c>
      <c r="AN24" s="202" t="b">
        <v>1</v>
      </c>
    </row>
    <row r="25" spans="2:40">
      <c r="AL25" s="98" t="s">
        <v>3562</v>
      </c>
      <c r="AM25" s="98" t="s">
        <v>3563</v>
      </c>
      <c r="AN25" s="202" t="b">
        <v>1</v>
      </c>
    </row>
    <row r="26" spans="2:40">
      <c r="AL26" s="98" t="s">
        <v>3564</v>
      </c>
      <c r="AM26" s="98" t="s">
        <v>3565</v>
      </c>
      <c r="AN26" s="202" t="b">
        <v>1</v>
      </c>
    </row>
    <row r="27" spans="2:40">
      <c r="AL27" s="98" t="s">
        <v>159</v>
      </c>
      <c r="AM27" s="98" t="s">
        <v>3566</v>
      </c>
      <c r="AN27" s="202" t="b">
        <v>1</v>
      </c>
    </row>
    <row r="28" spans="2:40">
      <c r="AL28" s="98" t="s">
        <v>161</v>
      </c>
      <c r="AM28" s="98" t="s">
        <v>3567</v>
      </c>
      <c r="AN28" s="202" t="b">
        <v>0</v>
      </c>
    </row>
    <row r="29" spans="2:40">
      <c r="AN29" s="200"/>
    </row>
    <row r="30" spans="2:40" ht="16.5">
      <c r="AL30" s="98" t="s">
        <v>163</v>
      </c>
      <c r="AM30" s="98" t="s">
        <v>3570</v>
      </c>
      <c r="AN30" s="201">
        <v>1</v>
      </c>
    </row>
  </sheetData>
  <mergeCells count="6">
    <mergeCell ref="AS13:AT13"/>
    <mergeCell ref="AO7:AX7"/>
    <mergeCell ref="AO9:AX9"/>
    <mergeCell ref="AO10:AX10"/>
    <mergeCell ref="AO11:AX11"/>
    <mergeCell ref="AN8:AX8"/>
  </mergeCells>
  <phoneticPr fontId="2"/>
  <conditionalFormatting sqref="O5 AC5:AJ5">
    <cfRule type="expression" dxfId="76" priority="13">
      <formula>CELL("row")=ROW()</formula>
    </cfRule>
  </conditionalFormatting>
  <conditionalFormatting sqref="P5">
    <cfRule type="expression" dxfId="75" priority="12">
      <formula>CELL("row")=ROW()</formula>
    </cfRule>
  </conditionalFormatting>
  <conditionalFormatting sqref="Q5">
    <cfRule type="expression" dxfId="74" priority="11">
      <formula>CELL("row")=ROW()</formula>
    </cfRule>
  </conditionalFormatting>
  <conditionalFormatting sqref="S5">
    <cfRule type="expression" dxfId="73" priority="10">
      <formula>CELL("row")=ROW()</formula>
    </cfRule>
  </conditionalFormatting>
  <conditionalFormatting sqref="R5">
    <cfRule type="expression" dxfId="72" priority="9">
      <formula>CELL("row")=ROW()</formula>
    </cfRule>
  </conditionalFormatting>
  <conditionalFormatting sqref="T5:U5">
    <cfRule type="expression" dxfId="71" priority="8">
      <formula>CELL("row")=ROW()</formula>
    </cfRule>
  </conditionalFormatting>
  <conditionalFormatting sqref="V5">
    <cfRule type="expression" dxfId="70" priority="7">
      <formula>CELL("row")=ROW()</formula>
    </cfRule>
  </conditionalFormatting>
  <conditionalFormatting sqref="W5">
    <cfRule type="expression" dxfId="69" priority="6">
      <formula>CELL("row")=ROW()</formula>
    </cfRule>
  </conditionalFormatting>
  <conditionalFormatting sqref="X5">
    <cfRule type="expression" dxfId="68" priority="5">
      <formula>CELL("row")=ROW()</formula>
    </cfRule>
  </conditionalFormatting>
  <conditionalFormatting sqref="Y5">
    <cfRule type="expression" dxfId="67" priority="4">
      <formula>CELL("row")=ROW()</formula>
    </cfRule>
  </conditionalFormatting>
  <conditionalFormatting sqref="Z5:AB5">
    <cfRule type="expression" dxfId="66" priority="3">
      <formula>CELL("row")=ROW()</formula>
    </cfRule>
  </conditionalFormatting>
  <conditionalFormatting sqref="N5">
    <cfRule type="expression" dxfId="65" priority="1">
      <formula>CELL("row")=ROW()</formula>
    </cfRule>
  </conditionalFormatting>
  <dataValidations count="3">
    <dataValidation type="list" allowBlank="1" showInputMessage="1" showErrorMessage="1" sqref="AY4">
      <formula1>UNJC1020_IF_LIST_DEMPYO_HAKKO</formula1>
    </dataValidation>
    <dataValidation type="custom" allowBlank="1" showInputMessage="1" showErrorMessage="1" sqref="AN5 AR3 AT3">
      <formula1>AND(LEN(AN3)=LENB(AN3),LEN(AN3)=10)</formula1>
    </dataValidation>
    <dataValidation type="date" allowBlank="1" showInputMessage="1" showErrorMessage="1" sqref="AR5 AR4 AT4 AT5">
      <formula1>36526</formula1>
      <formula2>73415</formula2>
    </dataValidation>
  </dataValidations>
  <pageMargins left="0.7" right="0.7" top="0.75" bottom="0.75" header="0.3" footer="0.3"/>
  <pageSetup paperSize="9" orientation="portrait" verticalDpi="0"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F75"/>
  <sheetViews>
    <sheetView topLeftCell="A19" zoomScaleNormal="100" workbookViewId="0">
      <selection activeCell="D35" sqref="D35"/>
    </sheetView>
  </sheetViews>
  <sheetFormatPr defaultRowHeight="13.5"/>
  <cols>
    <col min="1" max="1" width="9" style="40"/>
    <col min="2" max="2" width="19.375" customWidth="1"/>
    <col min="3" max="3" width="30.25" style="59" customWidth="1"/>
    <col min="4" max="4" width="47.75" customWidth="1"/>
    <col min="5" max="5" width="43.875" customWidth="1"/>
  </cols>
  <sheetData>
    <row r="1" spans="1:5" s="58" customFormat="1">
      <c r="C1" s="59"/>
      <c r="D1" s="38" t="s">
        <v>252</v>
      </c>
      <c r="E1" s="38" t="s">
        <v>253</v>
      </c>
    </row>
    <row r="2" spans="1:5" s="58" customFormat="1" ht="97.5" customHeight="1">
      <c r="C2" s="59"/>
      <c r="D2" s="65" t="str">
        <f ca="1">D36&amp;D37&amp;D38&amp;D39&amp;D40&amp;D41&amp;D42&amp;D43&amp;D44&amp;D45&amp;D46&amp;D47&amp;D48&amp;D49&amp;D50&amp;D58&amp;D59&amp;D60&amp;D64&amp;D65&amp;D66</f>
        <v xml:space="preserve"> AND V_HAN_JUCHU_LIST.DEL_FLG IS NULL    AND(
        1=1
    )
AND (1!=1 
 OR V_HAN_JUCHU_LIST.HAMBAI_KBN_CD = '1' 
 OR V_HAN_JUCHU_LIST.HAMBAI_KBN_CD = '2' 
 OR V_HAN_JUCHU_LIST.HAMBAI_KBN_CD = '3' 
 OR V_HAN_JUCHU_LIST.HAMBAI_KBN_CD = '4' 
 OR V_HAN_JUCHU_LIST.HAMBAI_KBN_CD = '5' 
)   
AND (1!=1 
 OR V_HAN_JUCHU_LIST.HAMBAI_STS_CD = '1' 
 OR V_HAN_JUCHU_LIST.HAMBAI_STS_CD = '2' 
)   
</v>
      </c>
      <c r="E2" s="65" t="s">
        <v>354</v>
      </c>
    </row>
    <row r="3" spans="1:5">
      <c r="C3" s="59" t="s">
        <v>97</v>
      </c>
      <c r="D3" s="33">
        <f>IF(OR(UNJC1020_H_EIGYO_TANTO_MEI=0,UNJC1020_H_EIGYO_TANTO_MEI=""),0,UNJC1020_H_EIGYO_TANTO_CD)</f>
        <v>0</v>
      </c>
    </row>
    <row r="4" spans="1:5">
      <c r="C4" s="59" t="s">
        <v>98</v>
      </c>
      <c r="D4" s="33">
        <f>IF(OR(UNJC1020_H_NYURYOKUSHA_MEI=0,UNJC1020_H_NYURYOKUSHA_MEI=""),0,UNJC1020_H_NYURYOKU_CD)</f>
        <v>0</v>
      </c>
    </row>
    <row r="5" spans="1:5" s="970" customFormat="1">
      <c r="C5" s="280" t="s">
        <v>3723</v>
      </c>
      <c r="D5" s="273">
        <f>IF(OR(UNJC1020_H_SHOHIN_BUNRUI=0,UNJC1020_H_SHOHIN_BUNRUI=""),0,UNJC1020_H_SHOHIN_BUNRUI_CD)</f>
        <v>0</v>
      </c>
    </row>
    <row r="6" spans="1:5">
      <c r="C6" s="59" t="s">
        <v>3</v>
      </c>
      <c r="D6" s="33">
        <f>IF(OR(UNJC1020_H_SEIKYUSAKI_CD=0,UNJC1020_H_SEIKYUSAKI_CD=""),0,UNJC1020_H_SEIKYUSAKI_CD)</f>
        <v>0</v>
      </c>
    </row>
    <row r="7" spans="1:5">
      <c r="C7" s="59" t="s">
        <v>4327</v>
      </c>
      <c r="D7" s="33">
        <f>IF(OR(UNJC1020_H_HASSOSAKI_MEI=0,UNJC1020_H_HASSOSAKI_MEI=""),0,UNJC1020_H_HASSOSAKI_MEI)</f>
        <v>0</v>
      </c>
    </row>
    <row r="8" spans="1:5">
      <c r="A8"/>
      <c r="C8" s="59" t="s">
        <v>24</v>
      </c>
      <c r="D8" s="33">
        <f>IF(OR(UNJC1020_H_SHOHIN_CD=0,UNJC1020_H_SHOHIN_CD=""),0,UNJC1020_H_SHOHIN_CD)</f>
        <v>0</v>
      </c>
    </row>
    <row r="9" spans="1:5">
      <c r="C9" s="59" t="s">
        <v>64</v>
      </c>
      <c r="D9" s="33">
        <f>IF(OR(UNJC1020_H_SHIIRESAKI_CD=0,UNJC1020_H_SHIIRESAKI_CD=""),0,UNJC1020_H_SHIIRESAKI_CD)</f>
        <v>0</v>
      </c>
    </row>
    <row r="10" spans="1:5">
      <c r="C10" s="59" t="s">
        <v>172</v>
      </c>
      <c r="D10" s="33">
        <f>IF(OR(UNJC1020_H_MAKER_CD=0,UNJC1020_H_MAKER_CD=""),0,UNJC1020_H_MAKER_CD)</f>
        <v>0</v>
      </c>
    </row>
    <row r="11" spans="1:5" s="40" customFormat="1">
      <c r="C11" s="59" t="s">
        <v>2</v>
      </c>
      <c r="D11" s="60">
        <f>IF(OR(UNJC1020_H_MITSUMORI_NO=0,UNJC1020_H_MITSUMORI_NO=""),0,UNJC1020_H_MITSUMORI_NO)</f>
        <v>0</v>
      </c>
    </row>
    <row r="12" spans="1:5" s="970" customFormat="1">
      <c r="C12" s="280" t="s">
        <v>3825</v>
      </c>
      <c r="D12" s="273">
        <f>IF(OR(UNJC1020_H_JURI_NO_1=0,UNJC1020_H_JURI_NO_1=""),0,UNJC1020_H_JURI_NO_1)</f>
        <v>0</v>
      </c>
    </row>
    <row r="13" spans="1:5" s="970" customFormat="1">
      <c r="C13" s="280" t="s">
        <v>3826</v>
      </c>
      <c r="D13" s="273">
        <f>IF(OR(UNJC1020_H_JURI_NO_2=0,UNJC1020_H_JURI_NO_2=""),0,UNJC1020_H_JURI_NO_2)</f>
        <v>0</v>
      </c>
    </row>
    <row r="14" spans="1:5" s="40" customFormat="1">
      <c r="C14" s="59" t="s">
        <v>213</v>
      </c>
      <c r="D14" s="33">
        <f>IF(OR(UNJC1020_H_JUCHU_DATE_1=0,UNJC1020_H_JUCHU_DATE_1=""),0,UNJC1020_H_JUCHU_DATE_1)</f>
        <v>0</v>
      </c>
    </row>
    <row r="15" spans="1:5" s="40" customFormat="1">
      <c r="C15" s="59" t="s">
        <v>214</v>
      </c>
      <c r="D15" s="33">
        <f>IF(OR(UNJC1020_H_JUCHU_DATE_2=0,UNJC1020_H_JUCHU_DATE_2=""),0,UNJC1020_H_JUCHU_DATE_2)</f>
        <v>0</v>
      </c>
    </row>
    <row r="16" spans="1:5" s="40" customFormat="1">
      <c r="C16" s="59" t="s">
        <v>173</v>
      </c>
      <c r="D16" s="33">
        <f>IF(OR(UNJC1020_H_NOHIN_DATE_1=0,UNJC1020_H_NOHIN_DATE_1=""),0,UNJC1020_H_NOHIN_DATE_1)</f>
        <v>0</v>
      </c>
    </row>
    <row r="17" spans="3:4" s="40" customFormat="1">
      <c r="C17" s="59" t="s">
        <v>174</v>
      </c>
      <c r="D17" s="33">
        <f>IF(OR(UNJC1020_H_NOHIN_DATE_2=0,UNJC1020_H_NOHIN_DATE_2=""),0,UNJC1020_H_NOHIN_DATE_2)</f>
        <v>0</v>
      </c>
    </row>
    <row r="18" spans="3:4" s="40" customFormat="1">
      <c r="C18" s="59" t="s">
        <v>167</v>
      </c>
      <c r="D18" s="60">
        <f ca="1">IF(OR(UNJC1020_H_DEMPYO_HAKKO_CD =0,UNJC1020_H_DEMPYO_HAKKO_CD = ""),0,UNJC1020_H_DEMPYO_HAKKO_CD)</f>
        <v>0</v>
      </c>
    </row>
    <row r="19" spans="3:4">
      <c r="C19" s="59" t="s">
        <v>176</v>
      </c>
      <c r="D19" s="49" t="str">
        <f>IF(UNJC1020_H_FREEWD_1="","",UNJC1020_H_FREEWD_1)</f>
        <v/>
      </c>
    </row>
    <row r="20" spans="3:4">
      <c r="C20" s="59" t="s">
        <v>177</v>
      </c>
      <c r="D20" s="49" t="str">
        <f>IF(UNJC1020_H_FREEWD_2="","",UNJC1020_H_FREEWD_2)</f>
        <v/>
      </c>
    </row>
    <row r="21" spans="3:4">
      <c r="C21" s="59" t="s">
        <v>178</v>
      </c>
      <c r="D21" s="49" t="str">
        <f>IF(UNJC1020_H_FREEWD_3="","",UNJC1020_H_FREEWD_3)</f>
        <v/>
      </c>
    </row>
    <row r="22" spans="3:4" s="58" customFormat="1">
      <c r="C22" s="59" t="s">
        <v>247</v>
      </c>
      <c r="D22" s="49">
        <f>UNJC1020_H_FREEWD_KBN</f>
        <v>1</v>
      </c>
    </row>
    <row r="23" spans="3:4" s="58" customFormat="1">
      <c r="C23" s="59" t="s">
        <v>145</v>
      </c>
      <c r="D23" s="60" t="b">
        <f>IF(OR(UNJC1020_H_ZAIKO_ARI_FLG=0,UNJC1020_H_ZAIKO_ARI_FLG=""),"",UNJC1020_H_ZAIKO_ARI_FLG)</f>
        <v>1</v>
      </c>
    </row>
    <row r="24" spans="3:4" s="58" customFormat="1">
      <c r="C24" s="59" t="s">
        <v>146</v>
      </c>
      <c r="D24" s="60" t="b">
        <f>IF(OR(UNJC1020_H_ZAIKO_NASHI_FLG=0,UNJC1020_H_ZAIKO_NASHI_FLG=""),"",UNJC1020_H_ZAIKO_NASHI_FLG)</f>
        <v>1</v>
      </c>
    </row>
    <row r="25" spans="3:4" s="58" customFormat="1">
      <c r="C25" s="59" t="s">
        <v>147</v>
      </c>
      <c r="D25" s="60" t="b">
        <f>IF(OR(UNJC1020_H_OEM_DAIRITEN_FLG=0,UNJC1020_H_OEM_DAIRITEN_FLG=""),"",UNJC1020_H_OEM_DAIRITEN_FLG)</f>
        <v>1</v>
      </c>
    </row>
    <row r="26" spans="3:4" s="58" customFormat="1">
      <c r="C26" s="59" t="s">
        <v>148</v>
      </c>
      <c r="D26" s="60" t="b">
        <f>IF(OR(UNJC1020_H_KOJI_FLG=0,UNJC1020_H_KOJI_FLG=""),"",UNJC1020_H_KOJI_FLG)</f>
        <v>1</v>
      </c>
    </row>
    <row r="27" spans="3:4" s="58" customFormat="1">
      <c r="C27" s="59" t="s">
        <v>149</v>
      </c>
      <c r="D27" s="60" t="b">
        <f>IF(OR(UNJC1020_H_KIKAI_FLG=0,UNJC1020_H_KIKAI_FLG=""),"",UNJC1020_H_KIKAI_FLG)</f>
        <v>1</v>
      </c>
    </row>
    <row r="28" spans="3:4" s="58" customFormat="1">
      <c r="C28" s="59" t="s">
        <v>150</v>
      </c>
      <c r="D28" s="60" t="b">
        <f>IF(OR(UNJC1020_H_SHORIMI_FLG=0,UNJC1020_H_SHORIMI_FLG=""),"",UNJC1020_H_SHORIMI_FLG)</f>
        <v>1</v>
      </c>
    </row>
    <row r="29" spans="3:4" s="58" customFormat="1">
      <c r="C29" s="59" t="s">
        <v>151</v>
      </c>
      <c r="D29" s="60" t="b">
        <f>IF(OR(UNJC1020_H_SHUKKA_FLG=0,UNJC1020_H_SHUKKA_FLG=""),"",UNJC1020_H_SHUKKA_FLG)</f>
        <v>1</v>
      </c>
    </row>
    <row r="30" spans="3:4" s="58" customFormat="1">
      <c r="C30" s="59" t="s">
        <v>159</v>
      </c>
      <c r="D30" s="60" t="b">
        <f>IF(OR(UNJC1020_H_DOKUGEKI_FLG=0,UNJC1020_H_DOKUGEKI_FLG=""),"",UNJC1020_H_DOKUGEKI_FLG)</f>
        <v>1</v>
      </c>
    </row>
    <row r="31" spans="3:4" s="58" customFormat="1">
      <c r="C31" s="59" t="s">
        <v>161</v>
      </c>
      <c r="D31" s="60" t="b">
        <f>IF(OR(UNJC1020_H_SAKUJO_FLG=0,UNJC1020_H_SAKUJO_FLG=""),"",UNJC1020_H_SAKUJO_FLG)</f>
        <v>0</v>
      </c>
    </row>
    <row r="32" spans="3:4" s="278" customFormat="1">
      <c r="C32" s="280"/>
    </row>
    <row r="33" spans="3:6" s="58" customFormat="1" ht="12" customHeight="1">
      <c r="C33" s="59" t="s">
        <v>209</v>
      </c>
      <c r="D33" s="61" t="s">
        <v>355</v>
      </c>
    </row>
    <row r="34" spans="3:6" s="40" customFormat="1" ht="12" customHeight="1">
      <c r="C34" s="59" t="s">
        <v>179</v>
      </c>
      <c r="D34" s="34" t="s">
        <v>353</v>
      </c>
    </row>
    <row r="35" spans="3:6" s="278" customFormat="1" ht="12" customHeight="1">
      <c r="C35" s="280" t="s">
        <v>1827</v>
      </c>
      <c r="D35" s="238" t="s">
        <v>4398</v>
      </c>
    </row>
    <row r="36" spans="3:6" s="40" customFormat="1">
      <c r="C36" s="59" t="s">
        <v>180</v>
      </c>
      <c r="D36" s="33" t="str">
        <f>IF(D3=0,""," AND V_HAN_JUCHU_LIST.EIGYO_TANTO_CD = '"&amp;D3&amp; "'")</f>
        <v/>
      </c>
    </row>
    <row r="37" spans="3:6" s="40" customFormat="1">
      <c r="C37" s="59" t="s">
        <v>181</v>
      </c>
      <c r="D37" s="33" t="str">
        <f>IF(D4=0,""," AND V_HAN_JUCHU_LIST.NYURYOKUSHA_CD = '"&amp;D4&amp; "' ")</f>
        <v/>
      </c>
    </row>
    <row r="38" spans="3:6" s="970" customFormat="1">
      <c r="C38" s="280" t="s">
        <v>3724</v>
      </c>
      <c r="D38" s="273" t="str">
        <f>IF(D5=0,""," AND V_HAN_JUCHU_LIST.FREEWD LIKE '%|K025:"&amp;D5&amp; "|%' ")</f>
        <v/>
      </c>
    </row>
    <row r="39" spans="3:6" s="40" customFormat="1">
      <c r="C39" s="59" t="s">
        <v>182</v>
      </c>
      <c r="D39" s="33" t="str">
        <f>IF(D6=0,""," AND V_HAN_JUCHU_LIST.SEIKYUSAKI_CD = '"&amp;D6&amp; "'")</f>
        <v/>
      </c>
    </row>
    <row r="40" spans="3:6" s="40" customFormat="1">
      <c r="C40" s="59" t="s">
        <v>4328</v>
      </c>
      <c r="D40" s="33" t="str">
        <f>IF(D7=0,""," AND V_HAN_JUCHU_LIST.HASSO_MEI LIKE '%"&amp;D7&amp; "%'")</f>
        <v/>
      </c>
    </row>
    <row r="41" spans="3:6" s="40" customFormat="1">
      <c r="C41" s="59" t="s">
        <v>183</v>
      </c>
      <c r="D41" s="33" t="str">
        <f>IF(D8=0,""," AND V_HAN_JUCHU_LIST.FREEWD LIKE '%|"&amp;D8&amp; "|%'")</f>
        <v/>
      </c>
    </row>
    <row r="42" spans="3:6" s="40" customFormat="1">
      <c r="C42" s="59" t="s">
        <v>184</v>
      </c>
      <c r="D42" s="273" t="str">
        <f>IF(D9=0,""," AND V_HAN_JUCHU_LIST.FREEWD LIKE '%|"&amp;D9&amp; "|%'")</f>
        <v/>
      </c>
    </row>
    <row r="43" spans="3:6" s="40" customFormat="1">
      <c r="C43" s="59" t="s">
        <v>185</v>
      </c>
      <c r="D43" s="273" t="str">
        <f>IF(D10=0,""," AND V_HAN_JUCHU_LIST.FREEWD LIKE '%|"&amp;D10&amp; "|%'")</f>
        <v/>
      </c>
    </row>
    <row r="44" spans="3:6" s="970" customFormat="1">
      <c r="C44" s="280" t="s">
        <v>4368</v>
      </c>
      <c r="D44" s="273" t="str">
        <f>IF(D11=0,""," AND V_HAN_JUCHU_LIST.MITSU_NO = '"&amp;D11&amp; "'")</f>
        <v/>
      </c>
    </row>
    <row r="45" spans="3:6" s="970" customFormat="1">
      <c r="C45" s="280" t="s">
        <v>3827</v>
      </c>
      <c r="D45" s="273" t="str">
        <f>IF(D12=0,""," AND V_HAN_JUCHU_LIST.JURI_NO &gt;= '"&amp;D12&amp; "'")</f>
        <v/>
      </c>
    </row>
    <row r="46" spans="3:6" s="970" customFormat="1">
      <c r="C46" s="280" t="s">
        <v>3828</v>
      </c>
      <c r="D46" s="273" t="str">
        <f>IF(D13=0,""," AND V_HAN_JUCHU_LIST.JURI_NO &lt;= '"&amp;D13&amp; "'")</f>
        <v/>
      </c>
    </row>
    <row r="47" spans="3:6" s="40" customFormat="1">
      <c r="C47" s="59" t="s">
        <v>215</v>
      </c>
      <c r="D47" s="33" t="str">
        <f>IF(D14=0,""," AND V_HAN_JUCHU_LIST.JUCHU_DATE &gt;= '"&amp;E47&amp; "' ")</f>
        <v/>
      </c>
      <c r="E47" s="60" t="str">
        <f>IF(UNJC1020_H_JUCHU_DATE_1="",
     "",
     TEXT(
         MIN(UNJC1020_H_JUCHU_DATE_1,
               UNJC1020_H_JUCHU_DATE_2
         ),
         "YYYY/MM/DD"
     )
  )</f>
        <v/>
      </c>
      <c r="F47" s="40" t="s">
        <v>217</v>
      </c>
    </row>
    <row r="48" spans="3:6" s="40" customFormat="1">
      <c r="C48" s="59" t="s">
        <v>216</v>
      </c>
      <c r="D48" s="60" t="str">
        <f>IF(D15=0,""," AND V_HAN_JUCHU_LIST.JUCHU_DATE &lt;= '"&amp;E48&amp; "' ")</f>
        <v/>
      </c>
      <c r="E48" s="60" t="str">
        <f>IF(UNJC1020_H_JUCHU_DATE_2="",
     "",
     TEXT(
         MAX(UNJC1020_H_JUCHU_DATE_1,
               UNJC1020_H_JUCHU_DATE_2
         ),
         "YYYY/MM/DD"
     )
  )</f>
        <v/>
      </c>
      <c r="F48" s="40" t="s">
        <v>218</v>
      </c>
    </row>
    <row r="49" spans="3:6" s="40" customFormat="1">
      <c r="C49" s="59" t="s">
        <v>186</v>
      </c>
      <c r="D49" s="60" t="str">
        <f>IF(D16=0,""," AND V_HAN_JUCHU_LIST.NOHIN_DATE &gt;= '"&amp;E49&amp; "' ")</f>
        <v/>
      </c>
      <c r="E49" s="60" t="str">
        <f>IF(UNJC1020_H_NOHIN_DATE_1="",
     "",
     TEXT(
         MIN(UNJC1020_H_NOHIN_DATE_1,
               UNJC1020_H_NOHIN_DATE_2
         ),
         "YYYY/MM/DD"
     )
  )</f>
        <v/>
      </c>
      <c r="F49" s="40" t="s">
        <v>219</v>
      </c>
    </row>
    <row r="50" spans="3:6" s="40" customFormat="1">
      <c r="C50" s="59" t="s">
        <v>187</v>
      </c>
      <c r="D50" s="60" t="str">
        <f>IF(D17=0,""," AND V_HAN_JUCHU_LIST.NOHIN_DATE &lt;= '"&amp;E50&amp; "' ")</f>
        <v/>
      </c>
      <c r="E50" s="60" t="str">
        <f>IF(UNJC1020_H_NOHIN_DATE_2="",
     "",
     TEXT(
         MAX(UNJC1020_H_NOHIN_DATE_1,
               UNJC1020_H_NOHIN_DATE_2
         ),
         "YYYY/MM/DD"
     )
  )</f>
        <v/>
      </c>
      <c r="F50" s="40" t="s">
        <v>220</v>
      </c>
    </row>
    <row r="51" spans="3:6" s="58" customFormat="1">
      <c r="C51" s="59" t="s">
        <v>221</v>
      </c>
      <c r="D51" s="60" t="str">
        <f>IF(D23=TRUE," OR V_HAN_JUCHU_LIST.HAMBAI_KBN_CD = '1' 
","")</f>
        <v xml:space="preserve"> OR V_HAN_JUCHU_LIST.HAMBAI_KBN_CD = '1' 
</v>
      </c>
      <c r="E51" s="45"/>
    </row>
    <row r="52" spans="3:6" s="58" customFormat="1">
      <c r="C52" s="59" t="s">
        <v>222</v>
      </c>
      <c r="D52" s="60" t="str">
        <f>IF(D24=TRUE," OR V_HAN_JUCHU_LIST.HAMBAI_KBN_CD = '2' 
","")</f>
        <v xml:space="preserve"> OR V_HAN_JUCHU_LIST.HAMBAI_KBN_CD = '2' 
</v>
      </c>
      <c r="E52" s="45"/>
    </row>
    <row r="53" spans="3:6" s="58" customFormat="1">
      <c r="C53" s="59" t="s">
        <v>223</v>
      </c>
      <c r="D53" s="60" t="str">
        <f>IF(D25=TRUE," OR V_HAN_JUCHU_LIST.HAMBAI_KBN_CD = '3' 
","")</f>
        <v xml:space="preserve"> OR V_HAN_JUCHU_LIST.HAMBAI_KBN_CD = '3' 
</v>
      </c>
      <c r="E53" s="45"/>
    </row>
    <row r="54" spans="3:6" s="58" customFormat="1">
      <c r="C54" s="59" t="s">
        <v>224</v>
      </c>
      <c r="D54" s="60" t="str">
        <f>IF(D26=TRUE," OR V_HAN_JUCHU_LIST.HAMBAI_KBN_CD = '4' 
","")</f>
        <v xml:space="preserve"> OR V_HAN_JUCHU_LIST.HAMBAI_KBN_CD = '4' 
</v>
      </c>
      <c r="E54" s="45"/>
    </row>
    <row r="55" spans="3:6" s="58" customFormat="1">
      <c r="C55" s="59" t="s">
        <v>225</v>
      </c>
      <c r="D55" s="60" t="str">
        <f>IF(D27=TRUE," OR V_HAN_JUCHU_LIST.HAMBAI_KBN_CD = '5' 
","")</f>
        <v xml:space="preserve"> OR V_HAN_JUCHU_LIST.HAMBAI_KBN_CD = '5' 
</v>
      </c>
      <c r="E55" s="45"/>
    </row>
    <row r="56" spans="3:6" s="58" customFormat="1">
      <c r="C56" s="59" t="s">
        <v>226</v>
      </c>
      <c r="D56" s="60" t="str">
        <f>IF(D28=TRUE," OR V_HAN_JUCHU_LIST.HAMBAI_STS_CD = '1' 
","")</f>
        <v xml:space="preserve"> OR V_HAN_JUCHU_LIST.HAMBAI_STS_CD = '1' 
</v>
      </c>
      <c r="E56" s="45"/>
    </row>
    <row r="57" spans="3:6" s="58" customFormat="1">
      <c r="C57" s="59" t="s">
        <v>227</v>
      </c>
      <c r="D57" s="60" t="str">
        <f>IF(D29=TRUE," OR V_HAN_JUCHU_LIST.HAMBAI_STS_CD = '2' 
","")</f>
        <v xml:space="preserve"> OR V_HAN_JUCHU_LIST.HAMBAI_STS_CD = '2' 
</v>
      </c>
      <c r="E57" s="45"/>
    </row>
    <row r="58" spans="3:6" s="40" customFormat="1">
      <c r="C58" s="59" t="s">
        <v>228</v>
      </c>
      <c r="D58" s="34" t="str">
        <f>IF(D30=FALSE," AND V_HAN_JUCHU_LIST.DOKU_MARK IS NULL ","")</f>
        <v/>
      </c>
    </row>
    <row r="59" spans="3:6" s="40" customFormat="1">
      <c r="C59" s="59" t="s">
        <v>229</v>
      </c>
      <c r="D59" s="61" t="str">
        <f>IF(D31=FALSE," AND V_HAN_JUCHU_LIST.DEL_FLG IS NULL ","")</f>
        <v xml:space="preserve"> AND V_HAN_JUCHU_LIST.DEL_FLG IS NULL </v>
      </c>
    </row>
    <row r="60" spans="3:6" s="58" customFormat="1">
      <c r="C60" s="59" t="s">
        <v>232</v>
      </c>
      <c r="D60" s="96" t="str">
        <f ca="1">IF(D18=0,"",
" AND V_HAN_JUCHU_LIST.DEMPYO_HAKKO_KBN_CD = '"&amp;D18&amp;"'
")</f>
        <v/>
      </c>
    </row>
    <row r="61" spans="3:6" s="58" customFormat="1">
      <c r="C61" s="59" t="s">
        <v>244</v>
      </c>
      <c r="D61" s="61" t="str">
        <f xml:space="preserve">  IF(D19="", "",
  "      " &amp; F61&amp;"   V_HAN_JUCHU_LIST.FREEWD "
 &amp;IF(D22=3," NOT ", "") &amp;" LIKE " &amp;"'%" &amp;UNJC1020_SQL_FREEWD_1 &amp;"%'  
")</f>
        <v/>
      </c>
      <c r="E61" s="253" t="s">
        <v>2199</v>
      </c>
      <c r="F61" s="273" t="str">
        <f>LOOKUP(UNJC1020_H_FREEWD_KBN,{1,2,3;"AND","OR","OR"})</f>
        <v>AND</v>
      </c>
    </row>
    <row r="62" spans="3:6" s="58" customFormat="1">
      <c r="C62" s="59" t="s">
        <v>245</v>
      </c>
      <c r="D62" s="61" t="str">
        <f xml:space="preserve">  IF(D20="", "",
  "      " &amp; $F$61&amp;"   V_HAN_JUCHU_LIST.FREEWD "
 &amp;IF(D23=3," NOT ", "") &amp;" LIKE " &amp;"'%" &amp;UNJC1020_SQL_FREEWD_2 &amp;"%'  
")</f>
        <v/>
      </c>
    </row>
    <row r="63" spans="3:6" s="58" customFormat="1">
      <c r="C63" s="59" t="s">
        <v>246</v>
      </c>
      <c r="D63" s="61" t="str">
        <f xml:space="preserve">  IF(D21="", "",
  "      " &amp; $F$61&amp;"   V_HAN_JUCHU_LIST.FREEWD "
 &amp;IF(D24=3," NOT ", "") &amp;" LIKE " &amp;"'%" &amp;UNJC1020_SQL_FREEWD_3 &amp;"%'  
")</f>
        <v/>
      </c>
    </row>
    <row r="64" spans="3:6" s="58" customFormat="1" ht="19.5" customHeight="1">
      <c r="C64" s="59" t="s">
        <v>248</v>
      </c>
      <c r="D64" s="61" t="str">
        <f>"   AND(
        " &amp;IF(AND(D61="",
                      D62="",
                      D63=""), "1=1",
                IF(UNJC1020_H_FREEWD_KBN=1,"1=1","1!=1") ) &amp;"
"
                &amp;D61
                &amp;D62
                &amp;D63 &amp;"
    )"</f>
        <v xml:space="preserve">   AND(
        1=1
    )</v>
      </c>
    </row>
    <row r="65" spans="2:6" s="58" customFormat="1" ht="19.5" customHeight="1">
      <c r="C65" s="59" t="s">
        <v>230</v>
      </c>
      <c r="D65" s="61" t="str">
        <f>"
AND (1!=1 
"&amp;D51&amp;D52&amp;D53&amp;D54&amp;D55 &amp;")   
"</f>
        <v xml:space="preserve">
AND (1!=1 
 OR V_HAN_JUCHU_LIST.HAMBAI_KBN_CD = '1' 
 OR V_HAN_JUCHU_LIST.HAMBAI_KBN_CD = '2' 
 OR V_HAN_JUCHU_LIST.HAMBAI_KBN_CD = '3' 
 OR V_HAN_JUCHU_LIST.HAMBAI_KBN_CD = '4' 
 OR V_HAN_JUCHU_LIST.HAMBAI_KBN_CD = '5' 
)   
</v>
      </c>
    </row>
    <row r="66" spans="2:6" s="58" customFormat="1" ht="19.5" customHeight="1">
      <c r="C66" s="59" t="s">
        <v>231</v>
      </c>
      <c r="D66" s="61" t="str">
        <f>"
AND (1!=1 
"&amp;D56&amp;D57 &amp;")   
"</f>
        <v xml:space="preserve">
AND (1!=1 
 OR V_HAN_JUCHU_LIST.HAMBAI_STS_CD = '1' 
 OR V_HAN_JUCHU_LIST.HAMBAI_STS_CD = '2' 
)   
</v>
      </c>
    </row>
    <row r="67" spans="2:6" s="58" customFormat="1" ht="19.5" customHeight="1">
      <c r="B67" s="64" t="s">
        <v>249</v>
      </c>
      <c r="C67" s="59" t="s">
        <v>243</v>
      </c>
      <c r="D67" s="61" t="str">
        <f>" ORDER BY JURI_NO ASC"</f>
        <v xml:space="preserve"> ORDER BY JURI_NO ASC</v>
      </c>
    </row>
    <row r="68" spans="2:6" s="58" customFormat="1" ht="19.5" customHeight="1">
      <c r="C68" s="25" t="s">
        <v>242</v>
      </c>
      <c r="D68" s="63" t="str">
        <f>"
OFFSET "&amp;F68&amp;"*"&amp;UNJC1020_B_HYOJI_GYO_SU&amp;" ROWS
 FETCH NEXT "&amp;UNJC1020_B_HYOJI_GYO_SU&amp;" ROWS ONLY"</f>
        <v xml:space="preserve">
OFFSET 0*5 ROWS
 FETCH NEXT 5 ROWS ONLY</v>
      </c>
      <c r="E68" s="253" t="s">
        <v>2194</v>
      </c>
      <c r="F68" s="60">
        <f>UNJC1020_B_PAGE_NO-1</f>
        <v>0</v>
      </c>
    </row>
    <row r="69" spans="2:6" s="40" customFormat="1" ht="19.5" customHeight="1">
      <c r="B69" s="40" t="s">
        <v>209</v>
      </c>
      <c r="C69" s="59" t="s">
        <v>211</v>
      </c>
      <c r="D69" s="34" t="str">
        <f>D33&amp;UNJC1020_SQL_COPY_SAKI</f>
        <v>SELECT COUNT(*) AS CNT
  FROM V_HAN_JUCHU_LIST 
 WHERE 1=1
AND V_HAN_JUCHU_LIST.EIGYO_TANTO_CD = '-----------'</v>
      </c>
    </row>
    <row r="70" spans="2:6" s="40" customFormat="1" ht="19.5" customHeight="1">
      <c r="B70" s="40" t="s">
        <v>210</v>
      </c>
      <c r="C70" s="59" t="s">
        <v>212</v>
      </c>
      <c r="D70" s="61" t="str">
        <f>D34&amp;UNJC1020_SQL_COPY_SAKI&amp;UNJC1020_SQL_SORT&amp;D68</f>
        <v>SELECT *
  FROM V_HAN_JUCHU_LIST
  WHERE 1=1
AND V_HAN_JUCHU_LIST.EIGYO_TANTO_CD = '-----------' ORDER BY JURI_NO ASC
OFFSET 0*5 ROWS
 FETCH NEXT 5 ROWS ONLY</v>
      </c>
    </row>
    <row r="71" spans="2:6" s="40" customFormat="1" ht="19.5" customHeight="1">
      <c r="B71" s="40" t="s">
        <v>1826</v>
      </c>
      <c r="C71" s="59" t="s">
        <v>258</v>
      </c>
      <c r="D71" s="61" t="str">
        <f>D35&amp;UNJC1020_SQL_COPY_SAKI&amp;UNJC1020_SQL_SORT</f>
        <v>SELECT V_HAN_JUCHU_EXCEL.*
  FROM V_HAN_JUCHU_LIST
  LEFT JOIN
       V_HAN_JUCHU_EXCEL
    ON V_HAN_JUCHU_EXCEL.JURI_NO = V_HAN_JUCHU_LIST.JURI_NO
  WHERE 1=1
AND V_HAN_JUCHU_LIST.EIGYO_TANTO_CD = '-----------' ORDER BY JURI_NO ASC</v>
      </c>
    </row>
    <row r="72" spans="2:6" ht="19.5" customHeight="1">
      <c r="B72" s="36" t="s">
        <v>175</v>
      </c>
      <c r="C72" s="59" t="s">
        <v>571</v>
      </c>
      <c r="D72" s="34" t="s">
        <v>2187</v>
      </c>
    </row>
    <row r="73" spans="2:6" ht="19.5" customHeight="1">
      <c r="B73" t="s">
        <v>250</v>
      </c>
      <c r="C73" s="59" t="s">
        <v>251</v>
      </c>
      <c r="D73" s="61" t="s">
        <v>2200</v>
      </c>
    </row>
    <row r="74" spans="2:6" ht="14.25" thickBot="1"/>
    <row r="75" spans="2:6" ht="27" customHeight="1">
      <c r="B75" s="656" t="s">
        <v>988</v>
      </c>
      <c r="C75" s="462" t="s">
        <v>2196</v>
      </c>
      <c r="D75" s="679" t="s">
        <v>3573</v>
      </c>
      <c r="E75" s="278"/>
      <c r="F75" s="278"/>
    </row>
  </sheetData>
  <phoneticPr fontId="2"/>
  <pageMargins left="0.7" right="0.7" top="0.75" bottom="0.75" header="0.3" footer="0.3"/>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rgb="FFFFC000"/>
  </sheetPr>
  <dimension ref="A1:T25"/>
  <sheetViews>
    <sheetView showGridLines="0" showRowColHeaders="0" topLeftCell="G1" zoomScaleNormal="100" workbookViewId="0">
      <selection activeCell="L3" sqref="L3"/>
    </sheetView>
  </sheetViews>
  <sheetFormatPr defaultRowHeight="16.5"/>
  <cols>
    <col min="1" max="1" width="9" hidden="1" customWidth="1"/>
    <col min="2" max="2" width="11.125" style="67" hidden="1" customWidth="1"/>
    <col min="3" max="3" width="20.125" style="67" hidden="1" customWidth="1"/>
    <col min="4" max="6" width="9" hidden="1" customWidth="1"/>
    <col min="7" max="7" width="3.375" style="74" customWidth="1"/>
    <col min="8" max="8" width="17.75" style="74" customWidth="1"/>
    <col min="9" max="13" width="11.75" style="74" customWidth="1"/>
    <col min="14" max="14" width="13.5" style="74" customWidth="1"/>
    <col min="15" max="18" width="11.75" style="74" customWidth="1"/>
    <col min="19" max="19" width="3.625" style="74" customWidth="1"/>
    <col min="20" max="16384" width="9" style="74"/>
  </cols>
  <sheetData>
    <row r="1" spans="1:20" s="73" customFormat="1" ht="19.5">
      <c r="A1"/>
      <c r="B1" s="67"/>
      <c r="C1" s="67"/>
      <c r="D1"/>
      <c r="E1"/>
      <c r="F1"/>
      <c r="G1" s="73" t="s">
        <v>44</v>
      </c>
      <c r="J1" s="73" t="str">
        <f>IF(UNJC1030_IF_MODE=1,"【新規作成モード】",IF(UNJC1030_IF_MODE=2,"【修正モード】","【参照モード】"))</f>
        <v>【新規作成モード】</v>
      </c>
    </row>
    <row r="3" spans="1:20">
      <c r="B3" s="67" t="s">
        <v>314</v>
      </c>
      <c r="C3" s="67" t="s">
        <v>315</v>
      </c>
      <c r="D3" s="60">
        <v>185</v>
      </c>
      <c r="H3" s="75" t="s">
        <v>25</v>
      </c>
      <c r="I3" s="209"/>
      <c r="K3" s="30" t="s">
        <v>76</v>
      </c>
      <c r="L3" s="204"/>
      <c r="N3" s="75" t="s">
        <v>32</v>
      </c>
      <c r="O3" s="209"/>
    </row>
    <row r="4" spans="1:20">
      <c r="B4" s="67" t="s">
        <v>316</v>
      </c>
      <c r="C4" s="67" t="s">
        <v>317</v>
      </c>
      <c r="D4" s="236"/>
      <c r="H4" s="30" t="s">
        <v>1726</v>
      </c>
      <c r="I4" s="258"/>
      <c r="K4" s="75" t="s">
        <v>31</v>
      </c>
      <c r="L4" s="1336"/>
      <c r="M4" s="1337"/>
      <c r="N4" s="30" t="s">
        <v>91</v>
      </c>
      <c r="O4" s="259"/>
    </row>
    <row r="5" spans="1:20">
      <c r="B5" s="67" t="s">
        <v>441</v>
      </c>
      <c r="C5" s="67" t="s">
        <v>442</v>
      </c>
      <c r="D5" s="60"/>
      <c r="H5" s="30" t="s">
        <v>4441</v>
      </c>
      <c r="I5" s="72">
        <f ca="1">DATE(YEAR(TODAY()),MONTH(TODAY()),DAY(TODAY()))</f>
        <v>43005</v>
      </c>
      <c r="K5" s="99" t="s">
        <v>116</v>
      </c>
      <c r="L5" s="204" t="s">
        <v>347</v>
      </c>
      <c r="N5" s="75" t="s">
        <v>69</v>
      </c>
      <c r="O5" s="31"/>
    </row>
    <row r="6" spans="1:20">
      <c r="B6" s="67" t="s">
        <v>321</v>
      </c>
      <c r="C6" s="67" t="s">
        <v>322</v>
      </c>
      <c r="D6" s="60" t="str">
        <f ca="1">IF(UNJC1030_H_HAMBAI_SHOHIN_KBN="","",VLOOKUP(UNJC1030_H_HAMBAI_SHOHIN_KBN,OFFSET(UNJC1030_IF_LIST_SHOHIN_KBN,,,IF(UNJC1030_IF_LIST_SHOHIN_KBN_KENSU=0,1,UNJC1030_IF_LIST_SHOHIN_KBN_KENSU),2),2,0))</f>
        <v/>
      </c>
      <c r="E6" s="206"/>
      <c r="F6" s="206"/>
      <c r="G6" s="207"/>
      <c r="H6" s="208" t="s">
        <v>4442</v>
      </c>
      <c r="I6" s="1197"/>
      <c r="J6" s="207"/>
      <c r="K6" s="208"/>
      <c r="L6" s="207"/>
      <c r="M6" s="207"/>
      <c r="N6" s="208"/>
      <c r="O6" s="207"/>
      <c r="P6" s="207"/>
      <c r="Q6" s="207"/>
      <c r="R6" s="207"/>
      <c r="S6" s="207"/>
      <c r="T6" s="207"/>
    </row>
    <row r="7" spans="1:20">
      <c r="B7" s="98" t="s">
        <v>440</v>
      </c>
      <c r="C7" s="100" t="s">
        <v>583</v>
      </c>
      <c r="D7" s="105">
        <f ca="1">IF(UNJC1030_H_DEMPYO_HAKKO="","",VLOOKUP(UNJC1030_H_DEMPYO_HAKKO,OFFSET(UNJC1030_IF_LIST_DEMPYO_HAKKO_KBN_START,0,0,UNJC1030_IF_LIST_DEMPYO_HAKKO_KBN_KENSU,2),2,0))</f>
        <v>2</v>
      </c>
      <c r="E7" s="206"/>
      <c r="F7" s="206"/>
      <c r="H7" s="75"/>
      <c r="I7" s="75"/>
    </row>
    <row r="8" spans="1:20">
      <c r="H8" s="30" t="s">
        <v>74</v>
      </c>
      <c r="I8" s="260"/>
      <c r="N8" s="208" t="s">
        <v>4374</v>
      </c>
      <c r="O8" s="1846"/>
      <c r="P8" s="1847"/>
      <c r="Q8" s="1847"/>
      <c r="R8" s="1848"/>
    </row>
    <row r="9" spans="1:20">
      <c r="H9" s="75" t="s">
        <v>12</v>
      </c>
      <c r="I9" s="1877"/>
      <c r="J9" s="1878"/>
      <c r="K9" s="1878"/>
      <c r="L9" s="1879"/>
      <c r="N9" s="75"/>
      <c r="O9" s="1849"/>
      <c r="P9" s="1850"/>
      <c r="Q9" s="1850"/>
      <c r="R9" s="1851"/>
    </row>
    <row r="10" spans="1:20">
      <c r="H10" s="75" t="s">
        <v>4375</v>
      </c>
      <c r="I10" s="1287" t="s">
        <v>582</v>
      </c>
      <c r="J10" s="1308"/>
      <c r="K10" s="1309"/>
      <c r="N10" s="30" t="s">
        <v>85</v>
      </c>
      <c r="O10" s="259"/>
    </row>
    <row r="11" spans="1:20">
      <c r="B11" s="67" t="s">
        <v>319</v>
      </c>
      <c r="C11" s="67" t="s">
        <v>318</v>
      </c>
      <c r="D11" s="132" t="b">
        <v>0</v>
      </c>
      <c r="E11" s="134" t="s">
        <v>443</v>
      </c>
      <c r="N11" s="75"/>
    </row>
    <row r="12" spans="1:20">
      <c r="B12" s="126" t="s">
        <v>437</v>
      </c>
      <c r="C12" s="127" t="s">
        <v>438</v>
      </c>
      <c r="D12" s="133">
        <v>3</v>
      </c>
      <c r="E12" s="134" t="s">
        <v>443</v>
      </c>
      <c r="N12" s="75" t="s">
        <v>47</v>
      </c>
      <c r="O12" s="1275"/>
      <c r="P12" s="1277"/>
    </row>
    <row r="13" spans="1:20">
      <c r="H13" s="75" t="s">
        <v>45</v>
      </c>
      <c r="I13" s="1275"/>
      <c r="J13" s="1276"/>
      <c r="K13" s="1276"/>
      <c r="L13" s="1277"/>
      <c r="N13" s="75" t="s">
        <v>49</v>
      </c>
      <c r="O13" s="1275"/>
      <c r="P13" s="1277"/>
    </row>
    <row r="14" spans="1:20">
      <c r="H14" s="75" t="s">
        <v>46</v>
      </c>
      <c r="I14" s="261"/>
      <c r="K14" s="75"/>
      <c r="L14" s="88"/>
      <c r="N14" s="75" t="s">
        <v>87</v>
      </c>
      <c r="O14" s="1875"/>
      <c r="P14" s="1876"/>
      <c r="Q14" s="29" t="s">
        <v>51</v>
      </c>
    </row>
    <row r="15" spans="1:20">
      <c r="H15" s="75" t="s">
        <v>48</v>
      </c>
      <c r="I15" s="1338"/>
      <c r="J15" s="1339"/>
      <c r="K15" s="1339"/>
      <c r="L15" s="1339"/>
      <c r="M15" s="1339"/>
      <c r="N15" s="1339"/>
      <c r="O15" s="1339"/>
      <c r="P15" s="1340"/>
    </row>
    <row r="16" spans="1:20">
      <c r="H16" s="75" t="s">
        <v>50</v>
      </c>
      <c r="I16" s="1338"/>
      <c r="J16" s="1339"/>
      <c r="K16" s="1339"/>
      <c r="L16" s="1339"/>
      <c r="M16" s="1339"/>
      <c r="N16" s="1339"/>
      <c r="O16" s="1339"/>
      <c r="P16" s="1340"/>
    </row>
    <row r="17" spans="2:18">
      <c r="N17" s="75"/>
      <c r="Q17" s="75"/>
      <c r="R17" s="88"/>
    </row>
    <row r="18" spans="2:18">
      <c r="J18" s="3" t="s">
        <v>13</v>
      </c>
      <c r="K18" s="3" t="s">
        <v>6</v>
      </c>
      <c r="L18" s="3" t="s">
        <v>14</v>
      </c>
      <c r="M18" s="3" t="s">
        <v>15</v>
      </c>
      <c r="N18" s="3" t="s">
        <v>16</v>
      </c>
      <c r="O18" s="3" t="s">
        <v>52</v>
      </c>
      <c r="P18" s="3" t="s">
        <v>53</v>
      </c>
    </row>
    <row r="19" spans="2:18">
      <c r="B19" s="109" t="s">
        <v>406</v>
      </c>
      <c r="C19" s="127" t="s">
        <v>407</v>
      </c>
      <c r="D19" s="115">
        <v>0.08</v>
      </c>
      <c r="J19" s="112">
        <f>UNJC1030_H_TAX_RATE</f>
        <v>0.08</v>
      </c>
      <c r="K19" s="130">
        <f ca="1">IF(UNJC1030_B_GYO_COUNT=0,0,
IF(UNJC1030_H_SEIKYUSAKI_HASU=1,ROUNDDOWN(SUM(OFFSET(UNJC1030_B_HAMBAI_KINGAKU,1,0,UNJC1030_B_GYO_COUNT)),0),
IF(UNJC1030_H_SEIKYUSAKI_HASU=2,ROUNDUP(SUM(OFFSET(UNJC1030_B_HAMBAI_KINGAKU,1,0,UNJC1030_B_GYO_COUNT)),0),
ROUND(SUM(OFFSET(UNJC1030_B_HAMBAI_KINGAKU,1,0,UNJC1030_B_GYO_COUNT)),0))))</f>
        <v>0</v>
      </c>
      <c r="L19" s="131">
        <f>IF(UNJC1030_B_GYO_COUNT=0,0,ROUNDDOWN(UNJC1030_H_NUKI_TOTAL*UNJC1030_H_TAX_RATE,0))</f>
        <v>0</v>
      </c>
      <c r="M19" s="131">
        <f>IF(UNJC1030_B_GYO_COUNT=0,0,UNJC1030_H_NUKI_TOTAL+UNJC1030_H_TAX)</f>
        <v>0</v>
      </c>
      <c r="N19" s="131">
        <f ca="1">IF(UNJC1030_B_GYO_COUNT=0,0,ROUND(SUM(OFFSET(UNJC1030_B_GENKA_KINGAKU,1,0,UNJC1030_B_GYO_COUNT)),0))</f>
        <v>0</v>
      </c>
      <c r="O19" s="131">
        <f>IF(UNJC1030_B_GYO_COUNT=0,0,UNJC1030_H_NUKI_TOTAL-UNJC1030_H_GENKA_TOTAL)</f>
        <v>0</v>
      </c>
      <c r="P19" s="129">
        <f>IF(UNJC1030_B_GYO_COUNT=0,0,IF(ISERROR(UNJC1030_H_ARARIEKI/UNJC1030_H_NUKI_TOTAL)=TRUE,0,UNJC1030_H_ARARIEKI/UNJC1030_H_NUKI_TOTAL))</f>
        <v>0</v>
      </c>
    </row>
    <row r="21" spans="2:18">
      <c r="B21" s="126" t="s">
        <v>276</v>
      </c>
      <c r="C21" s="127" t="s">
        <v>479</v>
      </c>
      <c r="D21" s="128"/>
    </row>
    <row r="22" spans="2:18">
      <c r="B22" s="126" t="s">
        <v>277</v>
      </c>
      <c r="C22" s="127" t="s">
        <v>480</v>
      </c>
      <c r="D22" s="128" t="str">
        <f>ADDRESS(ROW(A1),COLUMN(A1))&amp;":"&amp;ADDRESS(ROW(F1),COLUMN(F1))</f>
        <v>$A$1:$F$1</v>
      </c>
    </row>
    <row r="24" spans="2:18">
      <c r="B24" s="67" t="s">
        <v>3571</v>
      </c>
    </row>
    <row r="25" spans="2:18">
      <c r="B25" s="896" t="s">
        <v>75</v>
      </c>
      <c r="C25" s="897"/>
    </row>
  </sheetData>
  <sheetProtection sheet="1" objects="1" scenarios="1" selectLockedCells="1"/>
  <mergeCells count="10">
    <mergeCell ref="I16:P16"/>
    <mergeCell ref="I9:L9"/>
    <mergeCell ref="I13:L13"/>
    <mergeCell ref="O12:P12"/>
    <mergeCell ref="O13:P13"/>
    <mergeCell ref="L4:M4"/>
    <mergeCell ref="O8:R9"/>
    <mergeCell ref="I10:K10"/>
    <mergeCell ref="O14:P14"/>
    <mergeCell ref="I15:P15"/>
  </mergeCells>
  <phoneticPr fontId="2"/>
  <conditionalFormatting sqref="G1:XFD1">
    <cfRule type="expression" dxfId="64" priority="1">
      <formula>UNJC1030_IF_MODE=2</formula>
    </cfRule>
  </conditionalFormatting>
  <dataValidations count="12">
    <dataValidation type="list" allowBlank="1" showInputMessage="1" showErrorMessage="1" sqref="L3">
      <formula1>UNJC1030_IF_LIST_SHOHIN_KBN</formula1>
    </dataValidation>
    <dataValidation type="custom" allowBlank="1" showInputMessage="1" showErrorMessage="1" sqref="I4">
      <formula1>LENB(I4)&lt;21</formula1>
    </dataValidation>
    <dataValidation type="custom" allowBlank="1" showInputMessage="1" showErrorMessage="1" sqref="I8 C25">
      <formula1>AND(LEN(C8)=LENB(C8),LENB(C8)&lt;11)</formula1>
    </dataValidation>
    <dataValidation type="custom" allowBlank="1" showInputMessage="1" showErrorMessage="1" sqref="O4">
      <formula1>LENB(O4)&lt;41</formula1>
    </dataValidation>
    <dataValidation type="custom" allowBlank="1" showInputMessage="1" showErrorMessage="1" sqref="I14">
      <formula1>AND(LEN(I14)=LENB(I14),LENB(I14)&lt;=8)</formula1>
    </dataValidation>
    <dataValidation type="custom" allowBlank="1" showInputMessage="1" showErrorMessage="1" sqref="I9:L9">
      <formula1>LENB(I9)&lt;51</formula1>
    </dataValidation>
    <dataValidation type="custom" allowBlank="1" showInputMessage="1" showErrorMessage="1" sqref="O8:R9 I15:P16">
      <formula1>LENB(I8)&lt;=100</formula1>
    </dataValidation>
    <dataValidation type="custom" allowBlank="1" showInputMessage="1" showErrorMessage="1" sqref="I13:L13">
      <formula1>LEN(I13)&lt;51</formula1>
    </dataValidation>
    <dataValidation type="custom" allowBlank="1" showInputMessage="1" showErrorMessage="1" sqref="O14:P14 I10:K10">
      <formula1>LENB(I10)&lt;=40</formula1>
    </dataValidation>
    <dataValidation type="list" allowBlank="1" showInputMessage="1" showErrorMessage="1" sqref="L5">
      <formula1>UNJC1030_IF_LIST_DEMPYO_HAKKO_KBN</formula1>
    </dataValidation>
    <dataValidation type="custom" allowBlank="1" showInputMessage="1" showErrorMessage="1" sqref="O12:P13">
      <formula1>AND(LEN(O12)=LENB(O12),LENB(O12)&lt;=13)</formula1>
    </dataValidation>
    <dataValidation type="date" allowBlank="1" showInputMessage="1" showErrorMessage="1" sqref="I6">
      <formula1>36526</formula1>
      <formula2>73415</formula2>
    </dataValidation>
  </dataValidations>
  <pageMargins left="0.7" right="0.7" top="0.75" bottom="0.75" header="0.3" footer="0.3"/>
  <pageSetup paperSize="9"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80065" r:id="rId4" name="Check Box 1">
              <controlPr defaultSize="0" autoFill="0" autoLine="0" autoPict="0">
                <anchor moveWithCells="1">
                  <from>
                    <xdr:col>16</xdr:col>
                    <xdr:colOff>847725</xdr:colOff>
                    <xdr:row>12</xdr:row>
                    <xdr:rowOff>190500</xdr:rowOff>
                  </from>
                  <to>
                    <xdr:col>17</xdr:col>
                    <xdr:colOff>238125</xdr:colOff>
                    <xdr:row>14</xdr:row>
                    <xdr:rowOff>9525</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tabColor rgb="FFFFC000"/>
  </sheetPr>
  <dimension ref="A1:AJ57"/>
  <sheetViews>
    <sheetView showGridLines="0" showRowColHeaders="0" topLeftCell="K20" zoomScaleNormal="100" workbookViewId="0">
      <selection sqref="A1:J1 M20 Z20 AA20 AJ20"/>
    </sheetView>
  </sheetViews>
  <sheetFormatPr defaultRowHeight="16.5"/>
  <cols>
    <col min="1" max="1" width="9" style="111" hidden="1" customWidth="1"/>
    <col min="2" max="2" width="15.875" style="111" hidden="1" customWidth="1"/>
    <col min="3" max="3" width="26.375" style="111" hidden="1" customWidth="1"/>
    <col min="4" max="5" width="9" style="111" hidden="1" customWidth="1"/>
    <col min="6" max="6" width="16.75" style="122" hidden="1" customWidth="1"/>
    <col min="7" max="7" width="19" style="122" hidden="1" customWidth="1"/>
    <col min="8" max="9" width="9" style="122" hidden="1" customWidth="1"/>
    <col min="10" max="10" width="9" style="111" hidden="1" customWidth="1"/>
    <col min="11" max="11" width="3.375" style="74" customWidth="1"/>
    <col min="12" max="12" width="3.375" style="915" customWidth="1"/>
    <col min="13" max="13" width="6.375" style="915" hidden="1" customWidth="1"/>
    <col min="14" max="14" width="4.75" style="915" bestFit="1" customWidth="1"/>
    <col min="15" max="15" width="9.625" style="915" bestFit="1" customWidth="1"/>
    <col min="16" max="16" width="28.25" style="906" customWidth="1"/>
    <col min="17" max="17" width="9" style="915" customWidth="1"/>
    <col min="18" max="18" width="7.125" style="915" customWidth="1"/>
    <col min="19" max="19" width="8" style="915" bestFit="1" customWidth="1"/>
    <col min="20" max="20" width="11.875" style="915" customWidth="1"/>
    <col min="21" max="21" width="18.5" style="906" customWidth="1"/>
    <col min="22" max="22" width="8.625" style="915" customWidth="1"/>
    <col min="23" max="23" width="7.625" style="915" customWidth="1"/>
    <col min="24" max="24" width="4.75" style="915" customWidth="1"/>
    <col min="25" max="25" width="6.25" style="915" customWidth="1"/>
    <col min="26" max="26" width="8" style="915" hidden="1" customWidth="1"/>
    <col min="27" max="27" width="6.25" style="915" hidden="1" customWidth="1"/>
    <col min="28" max="28" width="7" style="915" customWidth="1"/>
    <col min="29" max="29" width="8" style="915" bestFit="1" customWidth="1"/>
    <col min="30" max="31" width="6.375" style="915" bestFit="1" customWidth="1"/>
    <col min="32" max="32" width="11.375" style="915" bestFit="1" customWidth="1"/>
    <col min="33" max="33" width="30.25" style="915" customWidth="1"/>
    <col min="34" max="34" width="10.375" style="915" bestFit="1" customWidth="1"/>
    <col min="35" max="35" width="31.25" style="915" customWidth="1"/>
    <col min="36" max="36" width="7.625" style="915" hidden="1" customWidth="1"/>
    <col min="37" max="16384" width="9" style="915"/>
  </cols>
  <sheetData>
    <row r="1" spans="1:21" ht="6" hidden="1" customHeight="1">
      <c r="A1" s="122"/>
      <c r="B1" s="122"/>
      <c r="C1" s="122"/>
      <c r="D1" s="122"/>
      <c r="E1" s="122"/>
      <c r="J1" s="122"/>
      <c r="K1" s="110"/>
      <c r="U1" s="915"/>
    </row>
    <row r="2" spans="1:21" ht="6" hidden="1" customHeight="1">
      <c r="A2" s="122"/>
      <c r="B2" s="122"/>
      <c r="C2" s="122"/>
      <c r="D2" s="122"/>
      <c r="E2" s="122"/>
      <c r="J2" s="122"/>
      <c r="K2" s="110"/>
      <c r="U2" s="915"/>
    </row>
    <row r="3" spans="1:21" ht="6" hidden="1" customHeight="1">
      <c r="A3" s="122"/>
      <c r="B3" s="122"/>
      <c r="C3" s="122"/>
      <c r="D3" s="122"/>
      <c r="E3" s="122"/>
      <c r="J3" s="122"/>
      <c r="K3" s="110"/>
      <c r="U3" s="915"/>
    </row>
    <row r="4" spans="1:21" ht="6" hidden="1" customHeight="1">
      <c r="A4" s="122"/>
      <c r="B4" s="122"/>
      <c r="C4" s="122"/>
      <c r="D4" s="122"/>
      <c r="E4" s="122"/>
      <c r="J4" s="122"/>
      <c r="K4" s="110"/>
      <c r="U4" s="915"/>
    </row>
    <row r="5" spans="1:21" ht="6" hidden="1" customHeight="1">
      <c r="A5" s="122"/>
      <c r="B5" s="122"/>
      <c r="C5" s="122"/>
      <c r="D5" s="122"/>
      <c r="E5" s="122"/>
      <c r="J5" s="122"/>
      <c r="K5" s="110"/>
      <c r="U5" s="915"/>
    </row>
    <row r="6" spans="1:21" ht="6" hidden="1" customHeight="1">
      <c r="A6" s="122"/>
      <c r="B6" s="122"/>
      <c r="C6" s="122"/>
      <c r="D6" s="122"/>
      <c r="E6" s="122"/>
      <c r="J6" s="122"/>
      <c r="K6" s="110"/>
      <c r="U6" s="915"/>
    </row>
    <row r="7" spans="1:21" ht="6" hidden="1" customHeight="1">
      <c r="A7" s="122"/>
      <c r="B7" s="122"/>
      <c r="C7" s="122"/>
      <c r="D7" s="122"/>
      <c r="E7" s="122"/>
      <c r="J7" s="122"/>
      <c r="K7" s="110"/>
      <c r="U7" s="915"/>
    </row>
    <row r="8" spans="1:21" ht="6" hidden="1" customHeight="1">
      <c r="A8" s="122"/>
      <c r="B8" s="122"/>
      <c r="C8" s="122"/>
      <c r="D8" s="122"/>
      <c r="E8" s="122"/>
      <c r="J8" s="122"/>
      <c r="K8" s="110"/>
      <c r="U8" s="915"/>
    </row>
    <row r="9" spans="1:21" ht="6" hidden="1" customHeight="1">
      <c r="A9" s="122"/>
      <c r="B9" s="122"/>
      <c r="C9" s="122"/>
      <c r="D9" s="122"/>
      <c r="E9" s="122"/>
      <c r="J9" s="122"/>
      <c r="K9" s="110"/>
      <c r="U9" s="915"/>
    </row>
    <row r="10" spans="1:21" ht="6" hidden="1" customHeight="1">
      <c r="A10" s="122"/>
      <c r="B10" s="122"/>
      <c r="C10" s="122"/>
      <c r="D10" s="122"/>
      <c r="E10" s="122"/>
      <c r="J10" s="122"/>
      <c r="K10" s="110"/>
      <c r="U10" s="915"/>
    </row>
    <row r="11" spans="1:21" ht="6" hidden="1" customHeight="1">
      <c r="A11" s="122"/>
      <c r="B11" s="122"/>
      <c r="C11" s="122"/>
      <c r="D11" s="122"/>
      <c r="E11" s="122"/>
      <c r="J11" s="122"/>
      <c r="K11" s="110"/>
      <c r="U11" s="915"/>
    </row>
    <row r="12" spans="1:21" ht="6" hidden="1" customHeight="1">
      <c r="A12" s="122"/>
      <c r="B12" s="122"/>
      <c r="C12" s="122"/>
      <c r="D12" s="122"/>
      <c r="E12" s="122"/>
      <c r="J12" s="122"/>
      <c r="K12" s="110"/>
      <c r="U12" s="915"/>
    </row>
    <row r="13" spans="1:21" ht="6" hidden="1" customHeight="1">
      <c r="A13" s="122"/>
      <c r="B13" s="122"/>
      <c r="C13" s="122"/>
      <c r="D13" s="122"/>
      <c r="E13" s="122"/>
      <c r="J13" s="122"/>
      <c r="K13" s="110"/>
      <c r="U13" s="915"/>
    </row>
    <row r="14" spans="1:21" ht="6" hidden="1" customHeight="1">
      <c r="A14" s="122"/>
      <c r="B14" s="122"/>
      <c r="C14" s="122"/>
      <c r="D14" s="122"/>
      <c r="E14" s="122"/>
      <c r="J14" s="122"/>
      <c r="K14" s="110"/>
      <c r="U14" s="915"/>
    </row>
    <row r="15" spans="1:21" ht="6" hidden="1" customHeight="1">
      <c r="A15" s="122"/>
      <c r="B15" s="122"/>
      <c r="C15" s="122"/>
      <c r="D15" s="122"/>
      <c r="E15" s="122"/>
      <c r="J15" s="122"/>
      <c r="K15" s="110"/>
      <c r="U15" s="915"/>
    </row>
    <row r="16" spans="1:21" ht="6" hidden="1" customHeight="1">
      <c r="A16" s="122"/>
      <c r="B16" s="122"/>
      <c r="C16" s="122"/>
      <c r="D16" s="122"/>
      <c r="E16" s="122"/>
      <c r="J16" s="122"/>
      <c r="K16" s="110"/>
      <c r="U16" s="915"/>
    </row>
    <row r="17" spans="1:36" ht="6" hidden="1" customHeight="1">
      <c r="A17" s="122"/>
      <c r="B17" s="122"/>
      <c r="C17" s="122"/>
      <c r="D17" s="122"/>
      <c r="E17" s="122"/>
      <c r="J17" s="122"/>
      <c r="K17" s="110"/>
      <c r="U17" s="915"/>
    </row>
    <row r="18" spans="1:36" ht="6" hidden="1" customHeight="1">
      <c r="A18" s="122"/>
      <c r="B18" s="122"/>
      <c r="C18" s="122"/>
      <c r="D18" s="122"/>
      <c r="E18" s="122"/>
      <c r="J18" s="122"/>
      <c r="K18" s="110"/>
      <c r="U18" s="915"/>
    </row>
    <row r="19" spans="1:36" hidden="1">
      <c r="P19" s="1173"/>
      <c r="U19" s="915"/>
    </row>
    <row r="20" spans="1:36">
      <c r="B20" s="126" t="s">
        <v>201</v>
      </c>
      <c r="C20" s="127" t="s">
        <v>446</v>
      </c>
      <c r="D20" s="128" t="str">
        <f>ADDRESS(ROW(UNJC1030_B_GYO)+1,COLUMN(UNJC1030_B_GYO))</f>
        <v>$L$21</v>
      </c>
      <c r="F20" s="126" t="s">
        <v>276</v>
      </c>
      <c r="G20" s="127" t="s">
        <v>434</v>
      </c>
      <c r="H20" s="128" t="str">
        <f>ROW(A1)&amp;":"&amp;ROW(A19)</f>
        <v>1:19</v>
      </c>
      <c r="K20" s="114"/>
      <c r="L20" s="926" t="s">
        <v>17</v>
      </c>
      <c r="M20" s="942" t="s">
        <v>445</v>
      </c>
      <c r="N20" s="926" t="s">
        <v>54</v>
      </c>
      <c r="O20" s="943" t="s">
        <v>24</v>
      </c>
      <c r="P20" s="1174" t="s">
        <v>18</v>
      </c>
      <c r="Q20" s="943" t="s">
        <v>80</v>
      </c>
      <c r="R20" s="926" t="s">
        <v>90</v>
      </c>
      <c r="S20" s="943" t="s">
        <v>81</v>
      </c>
      <c r="T20" s="926" t="s">
        <v>55</v>
      </c>
      <c r="U20" s="907" t="s">
        <v>20</v>
      </c>
      <c r="V20" s="926" t="s">
        <v>22</v>
      </c>
      <c r="W20" s="926" t="s">
        <v>79</v>
      </c>
      <c r="X20" s="926" t="s">
        <v>56</v>
      </c>
      <c r="Y20" s="926" t="s">
        <v>88</v>
      </c>
      <c r="Z20" s="926" t="s">
        <v>57</v>
      </c>
      <c r="AA20" s="926" t="s">
        <v>66</v>
      </c>
      <c r="AB20" s="926" t="s">
        <v>58</v>
      </c>
      <c r="AC20" s="926" t="s">
        <v>59</v>
      </c>
      <c r="AD20" s="926" t="s">
        <v>21</v>
      </c>
      <c r="AE20" s="926" t="s">
        <v>7</v>
      </c>
      <c r="AF20" s="926" t="s">
        <v>64</v>
      </c>
      <c r="AG20" s="926" t="s">
        <v>23</v>
      </c>
      <c r="AH20" s="926" t="s">
        <v>60</v>
      </c>
      <c r="AI20" s="926" t="s">
        <v>61</v>
      </c>
      <c r="AJ20" s="942" t="s">
        <v>28</v>
      </c>
    </row>
    <row r="21" spans="1:36">
      <c r="F21" s="126" t="s">
        <v>277</v>
      </c>
      <c r="G21" s="127" t="s">
        <v>435</v>
      </c>
      <c r="H21" s="128" t="str">
        <f>ADDRESS(ROW(A1),COLUMN(A1))&amp;":"&amp;ADDRESS(ROW(J1),COLUMN(J1))&amp;","&amp;ADDRESS(ROW(UNJC1030_B_ROW_KBN),COLUMN(UNJC1030_B_ROW_KBN))&amp;","&amp;ADDRESS(ROW(UNJC1030_B_GENKA_SURYO),COLUMN(UNJC1030_B_GENKA_SURYO))&amp;","&amp;ADDRESS(ROW(UNJC1030_B_IRISU_TANI),COLUMN(UNJC1030_B_IRISU_TANI))&amp;","&amp;ADDRESS(ROW(UNJC1030_B_JURI_NO),COLUMN(UNJC1030_B_JURI_NO))</f>
        <v>$A$1:$J$1,$M$20,$Z$20,$AA$20,$AJ$20</v>
      </c>
    </row>
    <row r="22" spans="1:36">
      <c r="B22" s="116" t="s">
        <v>408</v>
      </c>
      <c r="C22" s="117" t="s">
        <v>420</v>
      </c>
      <c r="D22" s="128"/>
      <c r="F22" s="125"/>
      <c r="G22" s="125"/>
    </row>
    <row r="23" spans="1:36">
      <c r="B23" s="116" t="s">
        <v>409</v>
      </c>
      <c r="C23" s="117" t="s">
        <v>421</v>
      </c>
      <c r="D23" s="128">
        <f>UNJC1030_B_GYO_COUNT+1</f>
        <v>1</v>
      </c>
      <c r="F23" s="126" t="s">
        <v>282</v>
      </c>
      <c r="G23" s="127" t="s">
        <v>436</v>
      </c>
      <c r="H23" s="128" t="str">
        <f>ADDRESS(ROW(UNJC1030_B_JUCHU_SURYO)+1,COLUMN(UNJC1030_B_JUCHU_SURYO))</f>
        <v>$Q$21</v>
      </c>
    </row>
    <row r="24" spans="1:36">
      <c r="B24" s="116" t="s">
        <v>410</v>
      </c>
      <c r="C24" s="117" t="s">
        <v>422</v>
      </c>
      <c r="D24" s="128">
        <f>UNJC1030_B_GYO_COUNT-1</f>
        <v>-1</v>
      </c>
    </row>
    <row r="26" spans="1:36">
      <c r="B26" s="118" t="s">
        <v>411</v>
      </c>
      <c r="C26" s="119" t="s">
        <v>423</v>
      </c>
      <c r="D26" s="128" t="str">
        <f>IF(UNJC1030_IF_ACTIVE_ROW="","",ADDRESS(UNJC1030_IF_ACTIVE_ROW,COLUMN(UNJC1030_B_SHOHIN_CD)))</f>
        <v/>
      </c>
    </row>
    <row r="27" spans="1:36">
      <c r="B27" s="228" t="s">
        <v>18</v>
      </c>
      <c r="C27" s="227" t="s">
        <v>424</v>
      </c>
      <c r="D27" s="226"/>
    </row>
    <row r="28" spans="1:36">
      <c r="B28" s="228" t="s">
        <v>412</v>
      </c>
      <c r="C28" s="227" t="s">
        <v>425</v>
      </c>
      <c r="D28" s="226"/>
    </row>
    <row r="29" spans="1:36">
      <c r="B29" s="228" t="s">
        <v>413</v>
      </c>
      <c r="C29" s="227" t="s">
        <v>426</v>
      </c>
      <c r="D29" s="226"/>
    </row>
    <row r="30" spans="1:36">
      <c r="B30" s="118" t="s">
        <v>414</v>
      </c>
      <c r="C30" s="119" t="s">
        <v>427</v>
      </c>
      <c r="D30" s="128" t="str">
        <f>IF(UNJC1030_IF_ACTIVE_ROW="","",ADDRESS(UNJC1030_IF_ACTIVE_ROW,COLUMN(UNJC1030_B_SHOHIN_MEI)))</f>
        <v/>
      </c>
    </row>
    <row r="31" spans="1:36">
      <c r="B31" s="118" t="s">
        <v>447</v>
      </c>
      <c r="C31" s="119" t="s">
        <v>428</v>
      </c>
      <c r="D31" s="128" t="str">
        <f>IF(UNJC1030_IF_ACTIVE_ROW="","",ADDRESS(UNJC1030_IF_ACTIVE_ROW,COLUMN(UNJC1030_B_GENTANKA)))</f>
        <v/>
      </c>
    </row>
    <row r="32" spans="1:36">
      <c r="B32" s="118" t="s">
        <v>448</v>
      </c>
      <c r="C32" s="119" t="s">
        <v>429</v>
      </c>
      <c r="D32" s="128" t="str">
        <f>IF(UNJC1030_IF_ACTIVE_ROW="","",ADDRESS(UNJC1030_IF_ACTIVE_ROW,COLUMN(UNJC1030_B_HAMBAI_TANKA)))</f>
        <v/>
      </c>
    </row>
    <row r="33" spans="2:5">
      <c r="B33" s="118" t="s">
        <v>449</v>
      </c>
      <c r="C33" s="119" t="s">
        <v>430</v>
      </c>
      <c r="D33" s="128" t="str">
        <f>IF(UNJC1030_IF_ACTIVE_ROW="","",ADDRESS(UNJC1030_IF_ACTIVE_ROW,COLUMN(UNJC1030_B_TEIKA)))</f>
        <v/>
      </c>
    </row>
    <row r="34" spans="2:5">
      <c r="B34" s="118" t="s">
        <v>450</v>
      </c>
      <c r="C34" s="119" t="s">
        <v>458</v>
      </c>
      <c r="D34" s="128" t="str">
        <f>IF(UNJC1030_IF_ACTIVE_ROW="","",ADDRESS(UNJC1030_IF_ACTIVE_ROW,COLUMN(UNJC1030_B_JUCHU_TANI)))</f>
        <v/>
      </c>
    </row>
    <row r="35" spans="2:5">
      <c r="B35" s="111" t="s">
        <v>451</v>
      </c>
      <c r="C35" s="111" t="s">
        <v>459</v>
      </c>
      <c r="D35" s="128" t="str">
        <f>IF(UNJC1030_IF_ACTIVE_ROW="","",ADDRESS(UNJC1030_IF_ACTIVE_ROW,COLUMN(UNJC1030_B_IRISU)))</f>
        <v/>
      </c>
    </row>
    <row r="36" spans="2:5">
      <c r="B36" s="111" t="s">
        <v>452</v>
      </c>
      <c r="C36" s="111" t="s">
        <v>460</v>
      </c>
      <c r="D36" s="128" t="str">
        <f>IF(UNJC1030_IF_ACTIVE_ROW="","",ADDRESS(UNJC1030_IF_ACTIVE_ROW,COLUMN(UNJC1030_B_IRISU_TANI)))</f>
        <v/>
      </c>
    </row>
    <row r="37" spans="2:5">
      <c r="B37" s="122" t="s">
        <v>453</v>
      </c>
      <c r="C37" s="122" t="s">
        <v>461</v>
      </c>
      <c r="D37" s="128" t="str">
        <f>IF(UNJC1030_IF_ACTIVE_ROW="","",ADDRESS(UNJC1030_IF_ACTIVE_ROW,COLUMN(UNJC1030_B_BARA_TANI)))</f>
        <v/>
      </c>
    </row>
    <row r="38" spans="2:5">
      <c r="B38" s="118" t="s">
        <v>415</v>
      </c>
      <c r="C38" s="119" t="s">
        <v>431</v>
      </c>
      <c r="D38" s="128" t="str">
        <f>IF(UNJC1030_IF_ACTIVE_ROW="","",ADDRESS(UNJC1030_IF_ACTIVE_ROW,COLUMN(UNJC1030_B_SHIIRESAKI_CD)))</f>
        <v/>
      </c>
      <c r="E38" s="122"/>
    </row>
    <row r="39" spans="2:5">
      <c r="B39" s="118" t="s">
        <v>416</v>
      </c>
      <c r="C39" s="119" t="s">
        <v>432</v>
      </c>
      <c r="D39" s="128" t="str">
        <f>IF(UNJC1030_IF_ACTIVE_ROW="","",ADDRESS(UNJC1030_IF_ACTIVE_ROW,COLUMN(UNJC1030_B_SHIIRESAKI_MEI)))</f>
        <v/>
      </c>
      <c r="E39" s="122"/>
    </row>
    <row r="40" spans="2:5">
      <c r="B40" s="111" t="s">
        <v>454</v>
      </c>
      <c r="C40" s="127" t="s">
        <v>456</v>
      </c>
      <c r="D40" s="128" t="str">
        <f>IF(UNJC1030_IF_ACTIVE_ROW="","",ADDRESS(UNJC1030_IF_ACTIVE_ROW,COLUMN(UNJC1030_B_MAKER_CD)))</f>
        <v/>
      </c>
      <c r="E40" s="122"/>
    </row>
    <row r="41" spans="2:5">
      <c r="B41" s="122" t="s">
        <v>455</v>
      </c>
      <c r="C41" s="127" t="s">
        <v>457</v>
      </c>
      <c r="D41" s="128" t="str">
        <f>IF(UNJC1030_IF_ACTIVE_ROW="","",ADDRESS(UNJC1030_IF_ACTIVE_ROW,COLUMN(UNJC1030_B_MAKER_MEI)))</f>
        <v/>
      </c>
      <c r="E41" s="122"/>
    </row>
    <row r="42" spans="2:5">
      <c r="B42" s="122" t="s">
        <v>611</v>
      </c>
      <c r="C42" s="252" t="s">
        <v>612</v>
      </c>
      <c r="D42" s="232" t="str">
        <f>IF(UNJC1030_IF_ACTIVE_ROW="","",ADDRESS(UNJC1030_IF_ACTIVE_ROW,COLUMN(UNJC1030_B_DOKUGEKI)))</f>
        <v/>
      </c>
      <c r="E42" s="122"/>
    </row>
    <row r="43" spans="2:5">
      <c r="E43" s="122"/>
    </row>
    <row r="44" spans="2:5">
      <c r="E44" s="122"/>
    </row>
    <row r="45" spans="2:5">
      <c r="E45" s="122"/>
    </row>
    <row r="46" spans="2:5">
      <c r="E46" s="122"/>
    </row>
    <row r="47" spans="2:5">
      <c r="B47" s="183" t="s">
        <v>544</v>
      </c>
      <c r="C47" s="184" t="s">
        <v>546</v>
      </c>
      <c r="D47" s="185">
        <v>1</v>
      </c>
      <c r="E47" s="183" t="s">
        <v>737</v>
      </c>
    </row>
    <row r="48" spans="2:5">
      <c r="B48" s="187" t="s">
        <v>545</v>
      </c>
      <c r="C48" s="188" t="s">
        <v>547</v>
      </c>
      <c r="D48" s="189" t="str">
        <f>"UNJC1030_IF!"&amp;
IF(UNJC1030_B_LIST_INSERT_TYPE=1,ADDRESS(ROW(UNJC1030_IF_COPY_B_MEISAI_SHINKI),COLUMN(UNJC1030_IF_COPY_B_MEISAI_SHINKI))&amp;":"&amp;ADDRESS(ROW(UNJC1030_IF_COPY_B_MEISAI_SHINKI),COLUMN(UNJC1030_IF_COPY_B_MEISAI_SHINKI)+COLUMNS(UNJC1030_IF_COPY_B_MEISAI_SHINKI)-1),
IF(UNJC1030_B_LIST_INSERT_TYPE=2,ADDRESS(ROW(UNJC1030_IF_COPY_B_COMMENT_SHINKI),COLUMN(UNJC1030_IF_COPY_B_COMMENT_SHINKI))&amp;":"&amp;ADDRESS(ROW(UNJC1030_IF_COPY_B_COMMENT_SHINKI),COLUMN(UNJC1030_IF_COPY_B_COMMENT_SHINKI)+COLUMNS(UNJC1030_IF_COPY_B_COMMENT_SHINKI)-1),
IF(UNJC1030_B_LIST_INSERT_TYPE=3,ADDRESS(ROW(UNJC1030_IF_COPY_B_NEBIKI_DIR_SHINKI),COLUMN(UNJC1030_IF_COPY_B_NEBIKI_DIR_SHINKI))&amp;":"&amp;ADDRESS(ROW(UNJC1030_IF_COPY_B_NEBIKI_DIR_SHINKI),COLUMN(UNJC1030_IF_COPY_B_NEBIKI_DIR_SHINKI)+COLUMNS(UNJC1030_IF_COPY_B_NEBIKI_DIR_SHINKI)-1),
"")))</f>
        <v>UNJC1030_IF!$AA$4:$AY$4</v>
      </c>
      <c r="E48" s="186"/>
    </row>
    <row r="49" spans="2:4">
      <c r="B49" s="180" t="s">
        <v>542</v>
      </c>
      <c r="C49" s="181" t="s">
        <v>543</v>
      </c>
      <c r="D49" s="182" t="str">
        <f ca="1">IF(UNJC1030_B_GYO_COUNT=0,"",
ADDRESS(ROW(INDIRECT(UNJC1030_B_LIST_START)),COLUMN(UNJC1030_B_GYO))&amp;":"&amp;
ADDRESS(ROW(INDIRECT(UNJC1030_B_LIST_START))+UNJC1030_B_GYO_COUNT-1,COLUMN(UNJC1030_B_GYO)))</f>
        <v/>
      </c>
    </row>
    <row r="50" spans="2:4">
      <c r="B50" s="120" t="s">
        <v>417</v>
      </c>
      <c r="C50" s="121" t="s">
        <v>433</v>
      </c>
      <c r="D50" s="128" t="str">
        <f>ADDRESS(ROW(UNJC1030_B_GYO)+1,COLUMN(UNJC1030_B_GYO))&amp;":"&amp;
ADDRESS(ROW(UNJC1030_B_GYO)+1+IF(UNJC1030_B_GYO_COUNT=0,UNJC1030_B_GYO_COUNT,UNJC1030_B_GYO_COUNT-1),COLUMN(UNJC1030_B_GYO)+COLUMNS(UNJC1030_IF_COPY_B_LIST_CLEAR)-1)</f>
        <v>$L$21:$AJ$21</v>
      </c>
    </row>
    <row r="51" spans="2:4">
      <c r="B51" s="122"/>
      <c r="C51" s="122"/>
      <c r="D51" s="122"/>
    </row>
    <row r="54" spans="2:4">
      <c r="B54" s="123" t="s">
        <v>418</v>
      </c>
      <c r="C54" s="124" t="s">
        <v>548</v>
      </c>
      <c r="D54" s="128" t="str">
        <f ca="1">IF(OR(UNJC1030_B_GYO_COUNT=0,UNJC1030_IF_ACTIVE_ROW&lt;ROW(INDIRECT(UNJC1030_B_LIST_START))),
"UNJC1030_B!"&amp;ADDRESS(ROW(INDIRECT(UNJC1030_B_LIST_START)),COLUMN(INDIRECT(UNJC1030_B_LIST_START)))&amp;":"&amp;ADDRESS(ROW(INDIRECT(UNJC1030_B_LIST_START)),COLUMN(INDIRECT(UNJC1030_B_LIST_START))+COLUMNS(UNJC1030_IF_COPY_B_MEISAI_SHINKI)-1),
ADDRESS(UNJC1030_IF_ACTIVE_ROW+1,COLUMN(INDIRECT(UNJC1030_B_LIST_START)))&amp;":"&amp;ADDRESS(UNJC1030_IF_ACTIVE_ROW+1,COLUMN(INDIRECT(UNJC1030_B_LIST_START))+COLUMNS(UNJC1030_IF_COPY_B_MEISAI_SHINKI)-1))</f>
        <v>UNJC1030_B!$L$21:$AJ$21</v>
      </c>
    </row>
    <row r="55" spans="2:4">
      <c r="B55" s="123" t="s">
        <v>419</v>
      </c>
      <c r="C55" s="124" t="s">
        <v>549</v>
      </c>
      <c r="D55" s="128" t="str">
        <f ca="1">IF(OR(UNJC1030_B_GYO_COUNT=0,UNJC1030_IF_ACTIVE_ROW&lt;ROW(INDIRECT(UNJC1030_B_LIST_START))),
"",
"UNJC1030_B!"&amp;ADDRESS(UNJC1030_IF_ACTIVE_ROW,COLUMN(INDIRECT(UNJC1030_B_LIST_START)))&amp;":"&amp;ADDRESS(UNJC1030_IF_ACTIVE_ROW,COLUMN(INDIRECT(UNJC1030_B_LIST_START))+COLUMNS(UNJC1030_IF_COPY_B_MEISAI_SHINKI)-1))</f>
        <v/>
      </c>
    </row>
    <row r="56" spans="2:4">
      <c r="B56" s="111" t="s">
        <v>2776</v>
      </c>
      <c r="C56" s="252" t="s">
        <v>2777</v>
      </c>
      <c r="D56" s="232" t="str">
        <f ca="1">"UNJC1030_B!"&amp;ADDRESS(ROW(INDIRECT(UNJC1030_B_LIST_INSERT_AREA)),COLUMN(UNJC1030_B_SHOHIN_CD))</f>
        <v>UNJC1030_B!$O$21</v>
      </c>
    </row>
    <row r="57" spans="2:4">
      <c r="B57" s="111" t="s">
        <v>695</v>
      </c>
      <c r="C57" s="252" t="s">
        <v>696</v>
      </c>
      <c r="D57" s="232" t="str">
        <f ca="1">"UNJC1030_B!"&amp;
ADDRESS(ROW(INDIRECT(UNJC1030_B_LIST_START))+UNJC1030_B_GYO_COUNT,COLUMN(UNJC1030_B_GYO))
&amp;":"&amp;ADDRESS(ROW(INDIRECT(UNJC1030_B_LIST_START))+UNJC1030_B_GYO_COUNT+UNJC1030_IF_MULTI_SELECT_TENKAI_KENSU-1,COLUMN(UNJC1030_B_GYO)+COLUMNS(UNJC1030_IF_COPY_B_MEISAI_SHINKI)-1)</f>
        <v>UNJC1030_B!$L$21:$AJ$20</v>
      </c>
    </row>
  </sheetData>
  <sheetProtection sheet="1" objects="1" scenarios="1" selectLockedCells="1"/>
  <phoneticPr fontId="2"/>
  <pageMargins left="0.7" right="0.7" top="0.75" bottom="0.75" header="0.3" footer="0.3"/>
  <pageSetup paperSize="9" orientation="portrait" verticalDpi="0"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FP45"/>
  <sheetViews>
    <sheetView zoomScale="85" zoomScaleNormal="85" workbookViewId="0">
      <selection activeCell="M13" sqref="M13"/>
    </sheetView>
  </sheetViews>
  <sheetFormatPr defaultRowHeight="13.5"/>
  <cols>
    <col min="1" max="2" width="9" style="66"/>
    <col min="3" max="3" width="18.125" style="67" bestFit="1" customWidth="1"/>
    <col min="4" max="4" width="31.75" style="66" bestFit="1" customWidth="1"/>
    <col min="5" max="5" width="9" style="66"/>
    <col min="6" max="6" width="8.625" style="66" customWidth="1"/>
    <col min="7" max="7" width="9" style="66"/>
    <col min="8" max="8" width="9" style="125"/>
    <col min="9" max="9" width="13" style="125" customWidth="1"/>
    <col min="10" max="12" width="9" style="125"/>
    <col min="13" max="13" width="34" style="66" bestFit="1" customWidth="1"/>
    <col min="14" max="14" width="11.75" style="66" bestFit="1" customWidth="1"/>
    <col min="15" max="22" width="9" style="66"/>
    <col min="23" max="23" width="11.125" style="66" bestFit="1" customWidth="1"/>
    <col min="25" max="25" width="9" style="98"/>
    <col min="26" max="30" width="9" style="125"/>
    <col min="31" max="31" width="9" style="911"/>
    <col min="32" max="45" width="9" style="125"/>
    <col min="46" max="49" width="9" style="98"/>
    <col min="50" max="50" width="9" style="171"/>
    <col min="51" max="53" width="9" style="98"/>
    <col min="62" max="62" width="18.5" bestFit="1" customWidth="1"/>
    <col min="63" max="63" width="35" bestFit="1" customWidth="1"/>
    <col min="64" max="64" width="18.25" customWidth="1"/>
    <col min="66" max="66" width="9" style="156"/>
    <col min="67" max="68" width="27.75" style="278" customWidth="1"/>
    <col min="69" max="69" width="18.625" style="278" customWidth="1"/>
    <col min="70" max="70" width="9" style="278"/>
    <col min="71" max="71" width="16.875" style="156" bestFit="1" customWidth="1"/>
    <col min="72" max="72" width="41.25" style="98" bestFit="1" customWidth="1"/>
    <col min="73" max="73" width="9" style="152"/>
    <col min="82" max="82" width="19.875" style="206" bestFit="1" customWidth="1"/>
    <col min="136" max="136" width="17.25" style="229" bestFit="1" customWidth="1"/>
    <col min="137" max="137" width="20.875" style="229" customWidth="1"/>
    <col min="138" max="140" width="9" style="229"/>
  </cols>
  <sheetData>
    <row r="1" spans="1:172">
      <c r="B1" s="279" t="s">
        <v>380</v>
      </c>
      <c r="I1" s="239" t="s">
        <v>439</v>
      </c>
      <c r="M1" s="239" t="s">
        <v>323</v>
      </c>
      <c r="Y1" s="35" t="s">
        <v>467</v>
      </c>
      <c r="BB1" s="279" t="s">
        <v>166</v>
      </c>
      <c r="BI1" s="239" t="s">
        <v>328</v>
      </c>
      <c r="EE1" s="279" t="s">
        <v>672</v>
      </c>
    </row>
    <row r="2" spans="1:172" ht="16.5">
      <c r="B2" s="67" t="s">
        <v>103</v>
      </c>
      <c r="D2" s="67"/>
      <c r="E2" s="67"/>
      <c r="F2" s="67"/>
      <c r="G2" s="67"/>
      <c r="H2" s="100"/>
      <c r="J2" s="125" t="s">
        <v>444</v>
      </c>
      <c r="L2" s="100"/>
      <c r="M2" s="67" t="s">
        <v>324</v>
      </c>
      <c r="N2" s="209"/>
      <c r="O2" s="207"/>
      <c r="P2" s="210" t="s">
        <v>76</v>
      </c>
      <c r="Q2" s="204"/>
      <c r="R2" s="207"/>
      <c r="S2" s="208" t="s">
        <v>32</v>
      </c>
      <c r="T2" s="209"/>
      <c r="U2" s="207"/>
      <c r="V2" s="207"/>
      <c r="W2" s="207"/>
      <c r="Y2" s="125" t="s">
        <v>466</v>
      </c>
      <c r="AA2" s="108" t="s">
        <v>17</v>
      </c>
      <c r="AB2" s="9" t="s">
        <v>445</v>
      </c>
      <c r="AC2" s="108" t="s">
        <v>54</v>
      </c>
      <c r="AD2" s="23" t="s">
        <v>24</v>
      </c>
      <c r="AE2" s="1174" t="s">
        <v>18</v>
      </c>
      <c r="AF2" s="23" t="s">
        <v>80</v>
      </c>
      <c r="AG2" s="108" t="s">
        <v>90</v>
      </c>
      <c r="AH2" s="23" t="s">
        <v>81</v>
      </c>
      <c r="AI2" s="108" t="s">
        <v>55</v>
      </c>
      <c r="AJ2" s="108" t="s">
        <v>20</v>
      </c>
      <c r="AK2" s="108" t="s">
        <v>22</v>
      </c>
      <c r="AL2" s="108" t="s">
        <v>79</v>
      </c>
      <c r="AM2" s="108" t="s">
        <v>56</v>
      </c>
      <c r="AN2" s="108" t="s">
        <v>88</v>
      </c>
      <c r="AO2" s="108" t="s">
        <v>57</v>
      </c>
      <c r="AP2" s="108" t="s">
        <v>66</v>
      </c>
      <c r="AQ2" s="108" t="s">
        <v>58</v>
      </c>
      <c r="AR2" s="108" t="s">
        <v>59</v>
      </c>
      <c r="AS2" s="108" t="s">
        <v>21</v>
      </c>
      <c r="AT2" s="108" t="s">
        <v>7</v>
      </c>
      <c r="AU2" s="108" t="s">
        <v>64</v>
      </c>
      <c r="AV2" s="108" t="s">
        <v>23</v>
      </c>
      <c r="AW2" s="108" t="s">
        <v>60</v>
      </c>
      <c r="AX2" s="174" t="s">
        <v>61</v>
      </c>
      <c r="AY2" s="172" t="s">
        <v>28</v>
      </c>
      <c r="BC2" s="66"/>
      <c r="BD2" s="66"/>
      <c r="BJ2" s="164" t="s">
        <v>111</v>
      </c>
      <c r="EL2" s="236" t="s">
        <v>701</v>
      </c>
      <c r="EM2" s="229"/>
      <c r="EN2" s="229"/>
      <c r="EO2" s="229"/>
      <c r="EP2" s="229"/>
      <c r="EQ2" s="229"/>
      <c r="ER2" s="229"/>
      <c r="ES2" s="229"/>
      <c r="ET2" s="236" t="s">
        <v>700</v>
      </c>
      <c r="EU2" s="229"/>
      <c r="EV2" s="229"/>
      <c r="EW2" s="229"/>
      <c r="EX2" s="229"/>
      <c r="EY2" s="229"/>
      <c r="EZ2" s="229"/>
      <c r="FA2" s="229"/>
      <c r="FB2" s="236" t="s">
        <v>699</v>
      </c>
      <c r="FC2" s="236" t="s">
        <v>698</v>
      </c>
      <c r="FD2" s="236"/>
      <c r="FE2" s="236"/>
      <c r="FF2" s="229"/>
      <c r="FG2" s="229"/>
      <c r="FH2" s="229"/>
      <c r="FI2" s="229"/>
      <c r="FJ2" s="229"/>
      <c r="FK2" s="229"/>
      <c r="FL2" s="229"/>
      <c r="FM2" s="229"/>
      <c r="FN2" s="229"/>
    </row>
    <row r="3" spans="1:172" ht="16.5">
      <c r="B3" s="67"/>
      <c r="C3" s="67" t="s">
        <v>104</v>
      </c>
      <c r="D3" s="67" t="s">
        <v>287</v>
      </c>
      <c r="E3" s="68"/>
      <c r="F3" s="67" t="s">
        <v>105</v>
      </c>
      <c r="G3" s="67" t="s">
        <v>106</v>
      </c>
      <c r="H3" s="100"/>
      <c r="I3" s="100" t="s">
        <v>319</v>
      </c>
      <c r="J3" s="132" t="b">
        <v>0</v>
      </c>
      <c r="L3" s="100"/>
      <c r="N3" s="258"/>
      <c r="O3" s="207"/>
      <c r="P3" s="208" t="s">
        <v>31</v>
      </c>
      <c r="Q3" s="1336"/>
      <c r="R3" s="1337"/>
      <c r="S3" s="210" t="s">
        <v>91</v>
      </c>
      <c r="T3" s="259"/>
      <c r="U3" s="207"/>
      <c r="V3" s="207"/>
      <c r="W3" s="207"/>
      <c r="Z3" s="125" t="s">
        <v>463</v>
      </c>
      <c r="AA3" s="125" t="s">
        <v>464</v>
      </c>
      <c r="AI3" s="105" t="s">
        <v>476</v>
      </c>
      <c r="AQ3" s="105" t="s">
        <v>477</v>
      </c>
      <c r="AR3" s="105" t="s">
        <v>478</v>
      </c>
      <c r="AS3" s="105"/>
      <c r="AT3" s="105"/>
      <c r="BB3" s="66"/>
      <c r="BC3" s="41" t="s">
        <v>99</v>
      </c>
      <c r="BD3" s="41" t="s">
        <v>40</v>
      </c>
      <c r="BF3" s="101" t="s">
        <v>99</v>
      </c>
      <c r="BG3" s="101" t="s">
        <v>130</v>
      </c>
      <c r="BJ3" s="67" t="s">
        <v>329</v>
      </c>
      <c r="BK3" s="67" t="s">
        <v>2755</v>
      </c>
      <c r="BL3" s="68">
        <v>1</v>
      </c>
      <c r="BO3" s="231" t="s">
        <v>1687</v>
      </c>
      <c r="BP3" s="231"/>
      <c r="BS3" s="159" t="s">
        <v>521</v>
      </c>
      <c r="BT3" s="160" t="s">
        <v>523</v>
      </c>
      <c r="BU3" s="273">
        <f ca="1">IF(DE3&gt;1,ROW(),"")</f>
        <v>3</v>
      </c>
      <c r="BV3" s="104">
        <f>UNJC1030_IF_W_USER_ID</f>
        <v>0</v>
      </c>
      <c r="BW3" s="104">
        <f>UNJC1030_IF_W_SERIAL</f>
        <v>0</v>
      </c>
      <c r="BX3" s="104">
        <f>ROW()-ROW(UNJC1030_IF_SAVE_W_ROW)</f>
        <v>-2</v>
      </c>
      <c r="BY3" s="105">
        <f>UNJC1030_IF_W_MODE</f>
        <v>1</v>
      </c>
      <c r="BZ3" s="104" t="str">
        <f>IF(UNJC1030_H_JURI_NO="","",UNJC1030_H_JURI_NO)</f>
        <v/>
      </c>
      <c r="CA3" s="104" t="str">
        <f>IF(UNJC1030_H_STS_CD="","",UNJC1030_H_STS_CD)</f>
        <v/>
      </c>
      <c r="CB3" s="104" t="str">
        <f ca="1">IF(UNJC1030_H_HAMBAI_SHOHIN_KBN_CD="","",UNJC1030_H_HAMBAI_SHOHIN_KBN_CD)</f>
        <v/>
      </c>
      <c r="CC3" s="104" t="str">
        <f>IF(UNJC1030_H_REF_JURI_NO="","",UNJC1030_H_REF_JURI_NO)</f>
        <v/>
      </c>
      <c r="CD3" s="224">
        <f ca="1">IF(UNJC1030_H_NYURYOKU_DATETIME="",NOW(),UNJC1030_H_NYURYOKU_DATETIME)</f>
        <v>43005.636301273102</v>
      </c>
      <c r="CE3" s="104" t="str">
        <f>IF(UNJC1030_H_NYURYOKUSHA_CD="","",UNJC1030_H_NYURYOKUSHA_CD)</f>
        <v/>
      </c>
      <c r="CF3" s="104" t="str">
        <f>IF(UNJC1030_H_MITSU_NO="","",UNJC1030_H_MITSU_NO)</f>
        <v/>
      </c>
      <c r="CG3" s="107">
        <f ca="1">IF(UNJC1030_H_JUCHU_DATE="","",UNJC1030_H_JUCHU_DATE)</f>
        <v>43005</v>
      </c>
      <c r="CH3" s="107" t="str">
        <f>IF(UNJC1030_H_NOHIN_DATE="","",UNJC1030_H_NOHIN_DATE)</f>
        <v/>
      </c>
      <c r="CI3" s="104" t="str">
        <f>IF(UNJC1030_H_SEIKYUSAKI_CD="","",UNJC1030_H_SEIKYUSAKI_CD)</f>
        <v/>
      </c>
      <c r="CJ3" s="104" t="str">
        <f>IF(UNJC1030_H_SEIKYU_TANTO_MEI="","",UNJC1030_H_SEIKYU_TANTO_MEI)</f>
        <v xml:space="preserve"> </v>
      </c>
      <c r="CK3" s="104" t="str">
        <f>IF(UNJC1030_H_KENMEI="","",UNJC1030_H_KENMEI)</f>
        <v/>
      </c>
      <c r="CL3" s="104">
        <f>IF(UNJC1030_H_EIGYO_TANTO_CD="","",UNJC1030_H_EIGYO_TANTO_CD)</f>
        <v>185</v>
      </c>
      <c r="CM3" s="104"/>
      <c r="CN3" s="104" t="str">
        <f>IF(UNJC1030_H_HASSO_MEI="","",UNJC1030_H_HASSO_MEI)</f>
        <v/>
      </c>
      <c r="CO3" s="104" t="str">
        <f>IF(UNJC1030_H_YUBIN_NO="","",UNJC1030_H_YUBIN_NO)</f>
        <v/>
      </c>
      <c r="CP3" s="104" t="str">
        <f>IF(UNJC1030_H_ADDRESS_1="","",UNJC1030_H_ADDRESS_1)</f>
        <v/>
      </c>
      <c r="CQ3" s="104" t="str">
        <f>IF(UNJC1030_H_ADDRESS_2="","",UNJC1030_H_ADDRESS_2)</f>
        <v/>
      </c>
      <c r="CR3" s="104" t="str">
        <f>IF(UNJC1030_H_HASSO_TEL="","",UNJC1030_H_HASSO_TEL)</f>
        <v/>
      </c>
      <c r="CS3" s="104" t="str">
        <f>IF(UNJC1030_H_FAX="","",UNJC1030_H_FAX)</f>
        <v/>
      </c>
      <c r="CT3" s="104" t="str">
        <f>IF(UNJC1030_H_HASSO_TANTO="","",UNJC1030_H_HASSO_TANTO)</f>
        <v/>
      </c>
      <c r="CU3" s="104" t="b">
        <f>IF(UNJC1030_H_MAKER_CHOKUSO_FLG=TRUE,TRUE,FALSE)</f>
        <v>0</v>
      </c>
      <c r="CV3" s="161">
        <f>UNJC1030_H_TAX_RATE</f>
        <v>0.08</v>
      </c>
      <c r="CW3" s="104">
        <f ca="1">UNJC1030_H_NUKI_TOTAL</f>
        <v>0</v>
      </c>
      <c r="CX3" s="104">
        <f>UNJC1030_H_TAX</f>
        <v>0</v>
      </c>
      <c r="CY3" s="104">
        <f>UNJC1030_H_KOMI_TOTAL</f>
        <v>0</v>
      </c>
      <c r="CZ3" s="104">
        <f ca="1">UNJC1030_H_GENKA_TOTAL</f>
        <v>0</v>
      </c>
      <c r="DA3" s="105">
        <f>UNJC1030_H_ARARIEKI</f>
        <v>0</v>
      </c>
      <c r="DB3" s="115">
        <f>UNJC1030_H_ARARIRITSU</f>
        <v>0</v>
      </c>
      <c r="DC3" s="104">
        <f ca="1">IF(OR(ISERROR(UNJC1030_H_DEMPYO_HAKKO_CD)=TRUE,UNJC1030_H_DEMPYO_HAKKO_CD=""),2,UNJC1030_H_DEMPYO_HAKKO_CD)</f>
        <v>2</v>
      </c>
      <c r="DD3" s="105">
        <f ca="1">OFFSET(UNJC1030_B_GYO,1+ROW()-ROW(UNJC1030_IF_SAVE_COPY_START),0)</f>
        <v>0</v>
      </c>
      <c r="DE3" s="178" t="str">
        <f ca="1">IF(OFFSET(UNJC1030_B_ROW_KBN,1+ROW()-ROW(UNJC1030_IF_SAVE_COPY_START),0)=0,"",
OFFSET(UNJC1030_B_ROW_KBN,1+ROW()-ROW(UNJC1030_IF_SAVE_COPY_START),0))</f>
        <v/>
      </c>
      <c r="DF3" s="178" t="str">
        <f ca="1">IF(OFFSET(UNJC1030_B_SHOHIN_CD,1+ROW()-ROW(UNJC1030_IF_SAVE_COPY_START),0)=0,"",
OFFSET(UNJC1030_B_SHOHIN_CD,1+ROW()-ROW(UNJC1030_IF_SAVE_COPY_START),0))</f>
        <v/>
      </c>
      <c r="DG3" s="178" t="str">
        <f ca="1">IF(OFFSET(UNJC1030_B_SHOHIN_MEI,1+ROW()-ROW(UNJC1030_IF_SAVE_COPY_START),0)=0,"",
OFFSET(UNJC1030_B_SHOHIN_MEI,1+ROW()-ROW(UNJC1030_IF_SAVE_COPY_START),0))</f>
        <v/>
      </c>
      <c r="DH3" s="178" t="str">
        <f ca="1">IF(OFFSET(UNJC1030_B_JUCHU_SURYO,1+ROW()-ROW(UNJC1030_IF_SAVE_COPY_START),0)=0,"",
OFFSET(UNJC1030_B_JUCHU_SURYO,1+ROW()-ROW(UNJC1030_IF_SAVE_COPY_START),0))</f>
        <v/>
      </c>
      <c r="DI3" s="178" t="str">
        <f ca="1">IF(OFFSET(UNJC1030_B_JUCHU_TANI,1+ROW()-ROW(UNJC1030_IF_SAVE_COPY_START),0)=0,"",
OFFSET(UNJC1030_B_JUCHU_TANI,1+ROW()-ROW(UNJC1030_IF_SAVE_COPY_START),0))</f>
        <v/>
      </c>
      <c r="DJ3" s="178" t="str">
        <f ca="1">IF(OFFSET(UNJC1030_B_HAMBAI_TANKA,1+ROW()-ROW(UNJC1030_IF_SAVE_COPY_START),0)="","",
OFFSET(UNJC1030_B_HAMBAI_TANKA,1+ROW()-ROW(UNJC1030_IF_SAVE_COPY_START),0))</f>
        <v/>
      </c>
      <c r="DK3" s="178" t="str">
        <f ca="1">IF(OFFSET(UNJC1030_B_HAMBAI_KINGAKU,1+ROW()-ROW(UNJC1030_IF_SAVE_COPY_START),0)=0,"",
OFFSET(UNJC1030_B_HAMBAI_KINGAKU,1+ROW()-ROW(UNJC1030_IF_SAVE_COPY_START),0))</f>
        <v/>
      </c>
      <c r="DL3" s="178" t="str">
        <f ca="1">IF(OFFSET(UNJC1030_B_TEKIYO,1+ROW()-ROW(UNJC1030_IF_SAVE_COPY_START),0)=0,"",
OFFSET(UNJC1030_B_TEKIYO,1+ROW()-ROW(UNJC1030_IF_SAVE_COPY_START),0))</f>
        <v/>
      </c>
      <c r="DM3" s="178" t="str">
        <f ca="1">IF(OFFSET(UNJC1030_B_GENTANKA,1+ROW()-ROW(UNJC1030_IF_SAVE_COPY_START),0)=0,"",
OFFSET(UNJC1030_B_GENTANKA,1+ROW()-ROW(UNJC1030_IF_SAVE_COPY_START),0))</f>
        <v/>
      </c>
      <c r="DN3" s="178" t="str">
        <f ca="1">DH3</f>
        <v/>
      </c>
      <c r="DO3" s="178" t="str">
        <f ca="1">IF(OFFSET(UNJC1030_B_IRISU_TANI,1+ROW()-ROW(UNJC1030_IF_SAVE_COPY_START),0)=0,"",
OFFSET(UNJC1030_B_IRISU_TANI,1+ROW()-ROW(UNJC1030_IF_SAVE_COPY_START),0))</f>
        <v/>
      </c>
      <c r="DP3" s="178" t="str">
        <f ca="1">IF(OFFSET(UNJC1030_B_TOTAL,1+ROW()-ROW(UNJC1030_IF_SAVE_COPY_START),0)=0,"",
OFFSET(UNJC1030_B_TOTAL,1+ROW()-ROW(UNJC1030_IF_SAVE_COPY_START),0))</f>
        <v/>
      </c>
      <c r="DQ3" s="178" t="str">
        <f ca="1">IF(OFFSET(UNJC1030_B_BARA_TANI,1+ROW()-ROW(UNJC1030_IF_SAVE_COPY_START),0)=0,"",
OFFSET(UNJC1030_B_BARA_TANI,1+ROW()-ROW(UNJC1030_IF_SAVE_COPY_START),0))</f>
        <v/>
      </c>
      <c r="DR3" s="178" t="str">
        <f ca="1">IF(OFFSET(UNJC1030_B_GENKA_KINGAKU,1+ROW()-ROW(UNJC1030_IF_SAVE_COPY_START),0)=0,"",
OFFSET(UNJC1030_B_GENKA_KINGAKU,1+ROW()-ROW(UNJC1030_IF_SAVE_COPY_START),0))</f>
        <v/>
      </c>
      <c r="DS3" s="178" t="str">
        <f ca="1">IF(OFFSET(UNJC1030_B_ARARIRITSU,1+ROW()-ROW(UNJC1030_IF_SAVE_COPY_START),0)=0,"",
OFFSET(UNJC1030_B_ARARIRITSU,1+ROW()-ROW(UNJC1030_IF_SAVE_COPY_START),0))</f>
        <v/>
      </c>
      <c r="DT3" s="178" t="str">
        <f ca="1">IF(OFFSET(UNJC1030_B_ARARIEKI,1+ROW()-ROW(UNJC1030_IF_SAVE_COPY_START),0)=0,"",
OFFSET(UNJC1030_B_ARARIEKI,1+ROW()-ROW(UNJC1030_IF_SAVE_COPY_START),0))</f>
        <v/>
      </c>
      <c r="DU3" s="178" t="str">
        <f ca="1">IF(OFFSET(UNJC1030_B_TEIKA,1+ROW()-ROW(UNJC1030_IF_SAVE_COPY_START),0)=0,"",
OFFSET(UNJC1030_B_TEIKA,1+ROW()-ROW(UNJC1030_IF_SAVE_COPY_START),0))</f>
        <v/>
      </c>
      <c r="DV3" s="178" t="str">
        <f ca="1">IF(OFFSET(UNJC1030_B_SHIIRESAKI_CD,1+ROW()-ROW(UNJC1030_IF_SAVE_COPY_START),0)=0,"",
OFFSET(UNJC1030_B_SHIIRESAKI_CD,1+ROW()-ROW(UNJC1030_IF_SAVE_COPY_START),0))</f>
        <v/>
      </c>
      <c r="DW3" s="178" t="str">
        <f ca="1">IF(OFFSET(UNJC1030_B_MAKER_CD,1+ROW()-ROW(UNJC1030_IF_SAVE_COPY_START),0)=0,"",
OFFSET(UNJC1030_B_MAKER_CD,1+ROW()-ROW(UNJC1030_IF_SAVE_COPY_START),0))</f>
        <v/>
      </c>
      <c r="DX3" s="104" t="b">
        <v>0</v>
      </c>
      <c r="DY3" s="104"/>
      <c r="DZ3" s="104"/>
      <c r="EA3" s="104"/>
      <c r="EB3" s="104"/>
      <c r="EC3" s="104"/>
      <c r="EF3" s="229" t="s">
        <v>680</v>
      </c>
      <c r="EG3" s="229" t="s">
        <v>681</v>
      </c>
      <c r="EH3" s="236"/>
      <c r="EL3" s="267" t="s">
        <v>17</v>
      </c>
      <c r="EM3" s="172" t="s">
        <v>445</v>
      </c>
      <c r="EN3" s="267" t="s">
        <v>54</v>
      </c>
      <c r="EO3" s="23" t="s">
        <v>24</v>
      </c>
      <c r="EP3" s="23" t="s">
        <v>18</v>
      </c>
      <c r="EQ3" s="23" t="s">
        <v>80</v>
      </c>
      <c r="ER3" s="267" t="s">
        <v>90</v>
      </c>
      <c r="ES3" s="23" t="s">
        <v>81</v>
      </c>
      <c r="ET3" s="267" t="s">
        <v>55</v>
      </c>
      <c r="EU3" s="267" t="s">
        <v>20</v>
      </c>
      <c r="EV3" s="267" t="s">
        <v>22</v>
      </c>
      <c r="EW3" s="267" t="s">
        <v>79</v>
      </c>
      <c r="EX3" s="267" t="s">
        <v>56</v>
      </c>
      <c r="EY3" s="267" t="s">
        <v>88</v>
      </c>
      <c r="EZ3" s="267" t="s">
        <v>57</v>
      </c>
      <c r="FA3" s="267" t="s">
        <v>66</v>
      </c>
      <c r="FB3" s="267" t="s">
        <v>58</v>
      </c>
      <c r="FC3" s="267" t="s">
        <v>59</v>
      </c>
      <c r="FD3" s="267" t="s">
        <v>21</v>
      </c>
      <c r="FE3" s="267" t="s">
        <v>7</v>
      </c>
      <c r="FF3" s="267" t="s">
        <v>64</v>
      </c>
      <c r="FG3" s="267" t="s">
        <v>23</v>
      </c>
      <c r="FH3" s="267" t="s">
        <v>60</v>
      </c>
      <c r="FI3" s="267" t="s">
        <v>61</v>
      </c>
      <c r="FJ3" s="172" t="s">
        <v>369</v>
      </c>
      <c r="FK3" s="172" t="s">
        <v>673</v>
      </c>
      <c r="FL3" s="172" t="s">
        <v>674</v>
      </c>
      <c r="FM3" s="172" t="s">
        <v>3164</v>
      </c>
      <c r="FN3" s="172" t="s">
        <v>264</v>
      </c>
      <c r="FO3" s="172" t="s">
        <v>675</v>
      </c>
      <c r="FP3" s="172" t="s">
        <v>707</v>
      </c>
    </row>
    <row r="4" spans="1:172" ht="16.5">
      <c r="B4" s="67"/>
      <c r="C4" s="67" t="s">
        <v>107</v>
      </c>
      <c r="D4" s="67" t="s">
        <v>288</v>
      </c>
      <c r="E4" s="68"/>
      <c r="F4" s="67"/>
      <c r="G4" s="67"/>
      <c r="H4" s="100"/>
      <c r="I4" s="126" t="s">
        <v>437</v>
      </c>
      <c r="J4" s="133">
        <v>3</v>
      </c>
      <c r="K4" s="100"/>
      <c r="L4" s="100"/>
      <c r="M4" s="67"/>
      <c r="N4" s="72">
        <f ca="1">DATE(YEAR(TODAY()),MONTH(TODAY()),DAY(TODAY()))</f>
        <v>43005</v>
      </c>
      <c r="O4" s="207"/>
      <c r="P4" s="208" t="s">
        <v>116</v>
      </c>
      <c r="Q4" s="204" t="s">
        <v>347</v>
      </c>
      <c r="R4" s="207"/>
      <c r="S4" s="208" t="s">
        <v>69</v>
      </c>
      <c r="T4" s="31"/>
      <c r="U4" s="207"/>
      <c r="V4" s="207"/>
      <c r="W4" s="207"/>
      <c r="X4" s="67"/>
      <c r="Y4" s="125" t="s">
        <v>465</v>
      </c>
      <c r="Z4" s="125" t="s">
        <v>470</v>
      </c>
      <c r="AA4" s="28">
        <f ca="1">1+ROW()-ROW(INDIRECT(UNJC1030_B_LIST_START))</f>
        <v>-16</v>
      </c>
      <c r="AB4" s="28">
        <v>1</v>
      </c>
      <c r="AC4" s="209"/>
      <c r="AD4" s="31"/>
      <c r="AE4" s="1175"/>
      <c r="AF4" s="139"/>
      <c r="AG4" s="135"/>
      <c r="AH4" s="139"/>
      <c r="AI4" s="140">
        <f>IF(AF4=0,1,AF4)*AH4</f>
        <v>0</v>
      </c>
      <c r="AJ4" s="945"/>
      <c r="AK4" s="140"/>
      <c r="AL4" s="139"/>
      <c r="AM4" s="140"/>
      <c r="AN4" s="135"/>
      <c r="AO4" s="135"/>
      <c r="AP4" s="135"/>
      <c r="AQ4" s="140">
        <f>IF(AM4=0,1,AM4)*AF4</f>
        <v>0</v>
      </c>
      <c r="AR4" s="141">
        <f>AL4*IF(AF4=0,1,AF4)</f>
        <v>0</v>
      </c>
      <c r="AS4" s="142">
        <f>IF(ISERROR(AT4/AI4)=TRUE,0,
IF(AI4&lt;0,0,
IF(AI4&lt;AR4,AT4/AR4,
AT4/AI4)))</f>
        <v>0</v>
      </c>
      <c r="AT4" s="140">
        <f>IF(AR4=0,0,AI4-AR4)</f>
        <v>0</v>
      </c>
      <c r="AU4" s="31"/>
      <c r="AV4" s="758"/>
      <c r="AW4" s="31"/>
      <c r="AX4" s="758"/>
      <c r="AY4" s="28"/>
      <c r="AZ4" s="100"/>
      <c r="BA4" s="100"/>
      <c r="BB4" s="66"/>
      <c r="BC4" s="41" t="s">
        <v>100</v>
      </c>
      <c r="BD4" s="42">
        <v>5</v>
      </c>
      <c r="BF4" s="101" t="s">
        <v>100</v>
      </c>
      <c r="BG4" s="102">
        <v>3</v>
      </c>
      <c r="BJ4" s="67" t="s">
        <v>108</v>
      </c>
      <c r="BK4" s="67" t="s">
        <v>289</v>
      </c>
      <c r="BL4" s="68"/>
      <c r="BO4" s="579" t="s">
        <v>1688</v>
      </c>
      <c r="BP4" s="579"/>
      <c r="BS4" s="159"/>
      <c r="BT4" s="159" t="s">
        <v>522</v>
      </c>
      <c r="BU4" s="278" t="s">
        <v>518</v>
      </c>
      <c r="DD4" t="s">
        <v>520</v>
      </c>
      <c r="EJ4" s="229" t="s">
        <v>676</v>
      </c>
      <c r="EK4" t="s">
        <v>677</v>
      </c>
      <c r="EL4" s="236"/>
    </row>
    <row r="5" spans="1:172" ht="16.5">
      <c r="B5" s="67"/>
      <c r="C5" s="67" t="s">
        <v>669</v>
      </c>
      <c r="D5" s="233" t="s">
        <v>670</v>
      </c>
      <c r="E5" s="158"/>
      <c r="F5" s="233" t="s">
        <v>105</v>
      </c>
      <c r="G5" s="233" t="s">
        <v>671</v>
      </c>
      <c r="H5" s="100"/>
      <c r="I5" s="100"/>
      <c r="J5" s="100"/>
      <c r="K5" s="100"/>
      <c r="L5" s="100"/>
      <c r="M5" s="67"/>
      <c r="N5" s="1197"/>
      <c r="O5" s="207"/>
      <c r="P5" s="207"/>
      <c r="Q5" s="207"/>
      <c r="R5" s="207"/>
      <c r="S5" s="207"/>
      <c r="T5" s="207"/>
      <c r="U5" s="207"/>
      <c r="V5" s="207"/>
      <c r="W5" s="207"/>
      <c r="BB5" s="66"/>
      <c r="BC5" s="41" t="s">
        <v>320</v>
      </c>
      <c r="BD5" s="41" t="s">
        <v>4360</v>
      </c>
      <c r="BF5" s="101" t="s">
        <v>356</v>
      </c>
      <c r="BG5" s="101" t="s">
        <v>357</v>
      </c>
      <c r="BJ5" s="67" t="s">
        <v>110</v>
      </c>
      <c r="BK5" s="67" t="s">
        <v>290</v>
      </c>
      <c r="BL5" s="27">
        <v>0</v>
      </c>
      <c r="BO5" s="76" t="s">
        <v>1689</v>
      </c>
      <c r="BP5" s="76" t="s">
        <v>1709</v>
      </c>
      <c r="BS5" s="159" t="s">
        <v>519</v>
      </c>
      <c r="BT5" s="159" t="s">
        <v>524</v>
      </c>
      <c r="BU5" s="273" t="s">
        <v>1728</v>
      </c>
      <c r="BV5" s="155" t="s">
        <v>383</v>
      </c>
      <c r="BW5" s="155" t="s">
        <v>358</v>
      </c>
      <c r="BX5" s="155" t="s">
        <v>359</v>
      </c>
      <c r="BY5" s="155" t="s">
        <v>360</v>
      </c>
      <c r="BZ5" s="155" t="s">
        <v>266</v>
      </c>
      <c r="CA5" s="106" t="s">
        <v>384</v>
      </c>
      <c r="CB5" s="106" t="s">
        <v>265</v>
      </c>
      <c r="CC5" s="155" t="s">
        <v>382</v>
      </c>
      <c r="CD5" s="155" t="s">
        <v>584</v>
      </c>
      <c r="CE5" s="106" t="s">
        <v>663</v>
      </c>
      <c r="CF5" s="155" t="s">
        <v>275</v>
      </c>
      <c r="CG5" s="106" t="s">
        <v>269</v>
      </c>
      <c r="CH5" s="155" t="s">
        <v>270</v>
      </c>
      <c r="CI5" s="106" t="s">
        <v>271</v>
      </c>
      <c r="CJ5" s="155" t="s">
        <v>361</v>
      </c>
      <c r="CK5" s="106" t="s">
        <v>267</v>
      </c>
      <c r="CL5" s="106" t="s">
        <v>349</v>
      </c>
      <c r="CM5" s="155" t="s">
        <v>273</v>
      </c>
      <c r="CN5" s="155" t="s">
        <v>274</v>
      </c>
      <c r="CO5" s="155" t="s">
        <v>385</v>
      </c>
      <c r="CP5" s="155" t="s">
        <v>386</v>
      </c>
      <c r="CQ5" s="155" t="s">
        <v>387</v>
      </c>
      <c r="CR5" s="155" t="s">
        <v>388</v>
      </c>
      <c r="CS5" s="155" t="s">
        <v>389</v>
      </c>
      <c r="CT5" s="155" t="s">
        <v>390</v>
      </c>
      <c r="CU5" s="155" t="s">
        <v>391</v>
      </c>
      <c r="CV5" s="155" t="s">
        <v>362</v>
      </c>
      <c r="CW5" s="155" t="s">
        <v>363</v>
      </c>
      <c r="CX5" s="155" t="s">
        <v>364</v>
      </c>
      <c r="CY5" s="155" t="s">
        <v>365</v>
      </c>
      <c r="CZ5" s="155" t="s">
        <v>366</v>
      </c>
      <c r="DA5" s="155" t="s">
        <v>392</v>
      </c>
      <c r="DB5" s="155" t="s">
        <v>393</v>
      </c>
      <c r="DC5" s="155" t="s">
        <v>405</v>
      </c>
      <c r="DD5" s="155" t="s">
        <v>367</v>
      </c>
      <c r="DE5" s="155" t="s">
        <v>368</v>
      </c>
      <c r="DF5" s="106" t="s">
        <v>65</v>
      </c>
      <c r="DG5" s="106" t="s">
        <v>369</v>
      </c>
      <c r="DH5" s="106" t="s">
        <v>394</v>
      </c>
      <c r="DI5" s="155" t="s">
        <v>395</v>
      </c>
      <c r="DJ5" s="106" t="s">
        <v>396</v>
      </c>
      <c r="DK5" s="155" t="s">
        <v>397</v>
      </c>
      <c r="DL5" s="155" t="s">
        <v>370</v>
      </c>
      <c r="DM5" s="155" t="s">
        <v>371</v>
      </c>
      <c r="DN5" s="155" t="s">
        <v>398</v>
      </c>
      <c r="DO5" s="155" t="s">
        <v>399</v>
      </c>
      <c r="DP5" s="155" t="s">
        <v>400</v>
      </c>
      <c r="DQ5" s="155" t="s">
        <v>401</v>
      </c>
      <c r="DR5" s="155" t="s">
        <v>402</v>
      </c>
      <c r="DS5" s="155" t="s">
        <v>372</v>
      </c>
      <c r="DT5" s="155" t="s">
        <v>403</v>
      </c>
      <c r="DU5" s="155" t="s">
        <v>373</v>
      </c>
      <c r="DV5" s="155" t="s">
        <v>374</v>
      </c>
      <c r="DW5" s="155" t="s">
        <v>77</v>
      </c>
      <c r="DX5" s="155" t="s">
        <v>404</v>
      </c>
      <c r="DY5" s="155" t="s">
        <v>375</v>
      </c>
      <c r="DZ5" s="155" t="s">
        <v>376</v>
      </c>
      <c r="EA5" s="155" t="s">
        <v>377</v>
      </c>
      <c r="EB5" s="155" t="s">
        <v>378</v>
      </c>
      <c r="EC5" s="155" t="s">
        <v>379</v>
      </c>
      <c r="EF5" s="229" t="s">
        <v>682</v>
      </c>
      <c r="EG5" s="229" t="s">
        <v>683</v>
      </c>
      <c r="EH5" s="236">
        <f>IF(UNJC1030_IF_MULTI_SELECT_KENSU+UNJC1030_B_GYO_COUNT&gt;99,99-UNJC1030_B_GYO_COUNT,UNJC1030_IF_MULTI_SELECT_KENSU)</f>
        <v>0</v>
      </c>
    </row>
    <row r="6" spans="1:172" ht="16.5">
      <c r="C6" s="233" t="s">
        <v>711</v>
      </c>
      <c r="D6" s="233" t="s">
        <v>712</v>
      </c>
      <c r="E6" s="236"/>
      <c r="I6" s="100"/>
      <c r="J6" s="100"/>
      <c r="K6" s="100"/>
      <c r="L6" s="100"/>
      <c r="M6" s="67"/>
      <c r="N6" s="208"/>
      <c r="O6" s="207"/>
      <c r="P6" s="207"/>
      <c r="Q6" s="207"/>
      <c r="R6" s="207"/>
      <c r="S6" s="207"/>
      <c r="T6" s="207"/>
      <c r="U6" s="207"/>
      <c r="V6" s="207"/>
      <c r="W6" s="207"/>
      <c r="Z6" s="125" t="s">
        <v>468</v>
      </c>
      <c r="AA6" s="125" t="s">
        <v>469</v>
      </c>
      <c r="BB6" s="66"/>
      <c r="BC6" s="41" t="s">
        <v>101</v>
      </c>
      <c r="BD6" s="41" t="s">
        <v>102</v>
      </c>
      <c r="BF6" s="101" t="s">
        <v>101</v>
      </c>
      <c r="BG6" s="101" t="s">
        <v>131</v>
      </c>
      <c r="BO6" s="76" t="s">
        <v>1690</v>
      </c>
      <c r="BP6" s="76" t="str">
        <f>ADDRESS(ROW(UNJC1030_IF_SAVE_CHECK_RESULT),COLUMN(UNJC1030_IF_SAVE_CHECK_RESULT))</f>
        <v>$BP$30</v>
      </c>
      <c r="BS6" s="159" t="s">
        <v>125</v>
      </c>
      <c r="BT6" s="160" t="s">
        <v>525</v>
      </c>
      <c r="BU6" s="157"/>
      <c r="BV6" s="157"/>
      <c r="DF6" s="273" t="s">
        <v>1725</v>
      </c>
      <c r="EF6" s="229" t="s">
        <v>702</v>
      </c>
      <c r="EG6" s="229" t="s">
        <v>703</v>
      </c>
      <c r="EH6" s="236">
        <f>IF(UNJC1030_IF_MULTI_SELECT_KENSU&gt;0,1,2)</f>
        <v>2</v>
      </c>
      <c r="EI6" s="229" t="s">
        <v>704</v>
      </c>
    </row>
    <row r="7" spans="1:172" ht="16.5">
      <c r="I7" s="100"/>
      <c r="J7" s="100"/>
      <c r="K7" s="100"/>
      <c r="L7" s="100"/>
      <c r="M7" s="67"/>
      <c r="N7" s="260"/>
      <c r="O7" s="207"/>
      <c r="P7" s="207"/>
      <c r="Q7" s="207"/>
      <c r="R7" s="207"/>
      <c r="S7" s="208" t="s">
        <v>4374</v>
      </c>
      <c r="T7" s="1846"/>
      <c r="U7" s="1847"/>
      <c r="V7" s="1847"/>
      <c r="W7" s="1848"/>
      <c r="AA7" s="28">
        <f ca="1">1+ROW()-ROW(INDIRECT(UNJC1030_B_LIST_START))</f>
        <v>-13</v>
      </c>
      <c r="AB7" s="28">
        <v>2</v>
      </c>
      <c r="AC7" s="209"/>
      <c r="AD7" s="209" t="s">
        <v>462</v>
      </c>
      <c r="AE7" s="1176"/>
      <c r="AF7" s="137"/>
      <c r="AG7" s="137"/>
      <c r="AH7" s="137"/>
      <c r="AI7" s="137"/>
      <c r="AJ7" s="946"/>
      <c r="AK7" s="137"/>
      <c r="AL7" s="137"/>
      <c r="AM7" s="137"/>
      <c r="AN7" s="137"/>
      <c r="AO7" s="137"/>
      <c r="AP7" s="137"/>
      <c r="AQ7" s="137"/>
      <c r="AR7" s="137"/>
      <c r="AS7" s="137"/>
      <c r="AT7" s="137"/>
      <c r="AU7" s="137"/>
      <c r="AV7" s="137"/>
      <c r="AW7" s="137"/>
      <c r="AX7" s="138"/>
      <c r="AY7" s="138"/>
      <c r="BC7" s="273" t="s">
        <v>4361</v>
      </c>
      <c r="BD7" s="970">
        <v>1</v>
      </c>
      <c r="BF7" s="103" t="s">
        <v>346</v>
      </c>
      <c r="BG7" s="44">
        <v>1</v>
      </c>
      <c r="BJ7" s="162" t="s">
        <v>526</v>
      </c>
      <c r="BK7" s="162"/>
      <c r="BO7" s="579" t="s">
        <v>1691</v>
      </c>
      <c r="BP7" s="579" t="s">
        <v>1692</v>
      </c>
      <c r="EF7" s="229" t="s">
        <v>705</v>
      </c>
      <c r="EG7" s="229" t="s">
        <v>706</v>
      </c>
      <c r="EH7" s="236">
        <f>UNJC1030_B_GYO_COUNT+UNJC1030_IF_MULTI_SELECT_TENKAI_KENSU</f>
        <v>0</v>
      </c>
    </row>
    <row r="8" spans="1:172" ht="16.5">
      <c r="B8" s="146" t="s">
        <v>112</v>
      </c>
      <c r="D8" s="67"/>
      <c r="E8" s="67"/>
      <c r="F8" s="67"/>
      <c r="G8" s="67"/>
      <c r="H8" s="100"/>
      <c r="I8" s="100"/>
      <c r="J8" s="100"/>
      <c r="K8" s="100"/>
      <c r="L8" s="100"/>
      <c r="M8" s="67"/>
      <c r="N8" s="1877"/>
      <c r="O8" s="1878"/>
      <c r="P8" s="1878"/>
      <c r="Q8" s="1879"/>
      <c r="R8" s="207"/>
      <c r="S8" s="208"/>
      <c r="T8" s="1849"/>
      <c r="U8" s="1850"/>
      <c r="V8" s="1850"/>
      <c r="W8" s="1851"/>
      <c r="BC8" s="970" t="s">
        <v>4362</v>
      </c>
      <c r="BD8" s="970">
        <v>2</v>
      </c>
      <c r="BF8" s="44" t="s">
        <v>347</v>
      </c>
      <c r="BG8" s="98">
        <v>2</v>
      </c>
      <c r="BJ8" s="162" t="s">
        <v>527</v>
      </c>
      <c r="BK8" s="163" t="s">
        <v>530</v>
      </c>
      <c r="BL8" s="170" t="str">
        <f>ADDRESS(ROW(UNJC1030_IF_SAVE_COPY_START),COLUMN(UNJC1030_IF_SAVE_COPY_START))&amp;":"
&amp;ADDRESS(ROW(UNJC1030_IF_SAVE_COPY_START)+IF(UNJC1030_B_GYO_COUNT=0,UNJC1030_B_GYO_COUNT,UNJC1030_B_GYO_COUNT-1),COLUMN(UNJC1030_IF_SAVE_COPY_START)+COLUMNS(UNJC1030_IF_SAVE_COPY_MOTO)-1)</f>
        <v>$BU$6:$EC$6</v>
      </c>
      <c r="BO8" s="76" t="s">
        <v>1677</v>
      </c>
      <c r="BP8" s="76" t="s">
        <v>1724</v>
      </c>
      <c r="BV8" s="206"/>
      <c r="BW8" s="206"/>
      <c r="BX8" s="206"/>
      <c r="BY8" s="206"/>
      <c r="BZ8" s="206"/>
      <c r="CA8" s="206"/>
      <c r="CB8" s="206"/>
      <c r="CC8" s="206"/>
      <c r="CE8" s="206"/>
      <c r="CF8" s="206"/>
      <c r="CG8" s="206"/>
      <c r="CH8" s="206"/>
      <c r="CI8" s="206"/>
      <c r="CJ8" s="206"/>
      <c r="CK8" s="206"/>
      <c r="CL8" s="206"/>
      <c r="CM8" s="206"/>
      <c r="CN8" s="206"/>
      <c r="CO8" s="206"/>
      <c r="CP8" s="206"/>
      <c r="CQ8" s="206"/>
      <c r="CR8" s="206"/>
      <c r="CS8" s="206"/>
      <c r="CT8" s="206"/>
      <c r="CU8" s="206"/>
      <c r="CV8" s="206"/>
      <c r="CW8" s="206"/>
      <c r="CX8" s="206"/>
      <c r="CY8" s="206"/>
      <c r="CZ8" s="206"/>
      <c r="DA8" s="206"/>
      <c r="DB8" s="206"/>
      <c r="DC8" s="206"/>
      <c r="DD8" s="206"/>
      <c r="DE8" s="206"/>
      <c r="DF8" s="206"/>
      <c r="DG8" s="206"/>
      <c r="DH8" s="206"/>
      <c r="DI8" s="206"/>
      <c r="DJ8" s="206"/>
      <c r="DK8" s="206"/>
      <c r="DL8" s="206"/>
      <c r="DM8" s="206"/>
      <c r="DN8" s="206"/>
      <c r="DO8" s="206"/>
      <c r="DP8" s="206"/>
      <c r="DQ8" s="206"/>
      <c r="DR8" s="206"/>
      <c r="DS8" s="206"/>
      <c r="DT8" s="206"/>
      <c r="DU8" s="206"/>
      <c r="DV8" s="206"/>
      <c r="DW8" s="206"/>
      <c r="DX8" s="206"/>
      <c r="DY8" s="206"/>
      <c r="DZ8" s="206"/>
      <c r="EA8" s="206"/>
      <c r="EB8" s="206"/>
      <c r="EC8" s="206"/>
    </row>
    <row r="9" spans="1:172" ht="16.5">
      <c r="B9" s="67"/>
      <c r="C9" s="67" t="s">
        <v>113</v>
      </c>
      <c r="D9" s="67" t="s">
        <v>291</v>
      </c>
      <c r="E9" s="68">
        <v>1</v>
      </c>
      <c r="F9" s="67" t="s">
        <v>119</v>
      </c>
      <c r="G9" s="67"/>
      <c r="H9" s="100"/>
      <c r="I9" s="100"/>
      <c r="J9" s="100"/>
      <c r="K9" s="100"/>
      <c r="L9" s="100"/>
      <c r="M9" s="67"/>
      <c r="N9" s="1287" t="s">
        <v>582</v>
      </c>
      <c r="O9" s="1308"/>
      <c r="P9" s="1309"/>
      <c r="Q9" s="207"/>
      <c r="R9" s="207"/>
      <c r="S9" s="210" t="s">
        <v>85</v>
      </c>
      <c r="T9" s="259"/>
      <c r="U9" s="207"/>
      <c r="V9" s="207"/>
      <c r="W9" s="207"/>
      <c r="Z9" s="271" t="s">
        <v>723</v>
      </c>
      <c r="AA9" s="271" t="s">
        <v>728</v>
      </c>
      <c r="AB9" s="271"/>
      <c r="AC9" s="271"/>
      <c r="AD9" s="271"/>
      <c r="AG9" s="273" t="s">
        <v>729</v>
      </c>
      <c r="AH9" s="273"/>
      <c r="AI9" s="273"/>
      <c r="AJ9" s="271"/>
      <c r="AK9" s="271"/>
      <c r="AL9" s="271"/>
      <c r="AM9" s="271"/>
      <c r="AN9" s="271"/>
      <c r="AO9" s="271"/>
      <c r="AP9" s="271"/>
      <c r="AQ9" s="271"/>
      <c r="AR9" s="271"/>
      <c r="AS9" s="271"/>
      <c r="BC9" s="970" t="s">
        <v>4363</v>
      </c>
      <c r="BD9" s="970">
        <v>3</v>
      </c>
      <c r="BF9" s="44" t="s">
        <v>348</v>
      </c>
      <c r="BG9" s="98">
        <v>3</v>
      </c>
      <c r="BO9" s="76" t="s">
        <v>1693</v>
      </c>
      <c r="BP9" s="580" t="s">
        <v>4358</v>
      </c>
      <c r="EF9" s="229" t="s">
        <v>684</v>
      </c>
      <c r="EG9" s="229" t="s">
        <v>688</v>
      </c>
      <c r="EH9" s="236" t="str">
        <f>"UNJC1030_IF!"&amp;
ADDRESS(ROW(UNJC1030_IF_MULTI_SELECT_TENKAI_START),COLUMN(UNJC1030_IF_MULTI_SELECT_LIST_GYO))
&amp;":"&amp;ADDRESS(ROW(UNJC1030_IF_MULTI_SELECT_TENKAI_START)+UNJC1030_IF_MULTI_SELECT_TENKAI_KENSU-1,COLUMN(UNJC1030_IF_MULTI_SELECT_LIST_GYO)+COLUMNS(UNJC1030_IF_COPY_B_MEISAI_SHINKI)-1)</f>
        <v>UNJC1030_IF!$EL$4:$FJ$3</v>
      </c>
    </row>
    <row r="10" spans="1:172" ht="16.5">
      <c r="B10" s="67"/>
      <c r="C10" s="233" t="s">
        <v>715</v>
      </c>
      <c r="D10" s="233" t="s">
        <v>716</v>
      </c>
      <c r="E10" s="158"/>
      <c r="F10" s="67" t="s">
        <v>718</v>
      </c>
      <c r="G10" s="67"/>
      <c r="H10" s="100"/>
      <c r="I10" s="233"/>
      <c r="J10" s="233"/>
      <c r="K10" s="233"/>
      <c r="L10" s="100"/>
      <c r="M10" s="67"/>
      <c r="N10" s="207"/>
      <c r="O10" s="207"/>
      <c r="P10" s="207"/>
      <c r="Q10" s="207"/>
      <c r="R10" s="207"/>
      <c r="S10" s="208"/>
      <c r="T10" s="207"/>
      <c r="U10" s="207"/>
      <c r="V10" s="207"/>
      <c r="W10" s="207"/>
      <c r="Z10" s="271"/>
      <c r="AA10" s="272">
        <f ca="1">1+ROW()-ROW(INDIRECT(UNJC1030_B_LIST_START))</f>
        <v>-10</v>
      </c>
      <c r="AB10" s="272">
        <v>3</v>
      </c>
      <c r="AC10" s="209"/>
      <c r="AD10" s="209" t="s">
        <v>724</v>
      </c>
      <c r="AE10" s="1177" t="s">
        <v>725</v>
      </c>
      <c r="AF10" s="270"/>
      <c r="AG10" s="272" t="s">
        <v>726</v>
      </c>
      <c r="AH10" s="276"/>
      <c r="AI10" s="140">
        <f ca="1">-INDIRECT(ADDRESS(ROW()-1,COLUMN()))*(AF10/100)</f>
        <v>0</v>
      </c>
      <c r="AJ10" s="947"/>
      <c r="AK10" s="276"/>
      <c r="AL10" s="284"/>
      <c r="AM10" s="276"/>
      <c r="AN10" s="272"/>
      <c r="AO10" s="275"/>
      <c r="AP10" s="276"/>
      <c r="AQ10" s="272"/>
      <c r="AR10" s="272"/>
      <c r="AS10" s="272"/>
      <c r="AT10" s="272"/>
      <c r="AU10" s="209"/>
      <c r="AV10" s="758"/>
      <c r="AW10" s="209"/>
      <c r="AX10" s="758"/>
      <c r="AY10" s="272"/>
      <c r="BC10" s="970" t="s">
        <v>4364</v>
      </c>
      <c r="BD10" s="970">
        <v>4</v>
      </c>
      <c r="BJ10" s="165"/>
      <c r="BO10" s="76" t="s">
        <v>1694</v>
      </c>
      <c r="BP10" s="580" t="s">
        <v>4359</v>
      </c>
      <c r="CJ10" s="67"/>
      <c r="CK10" s="67"/>
      <c r="EF10" s="229" t="s">
        <v>685</v>
      </c>
      <c r="EG10" s="229" t="s">
        <v>690</v>
      </c>
      <c r="EH10" s="236" t="str">
        <f>"UNJC1030_IF!"&amp;
ADDRESS(ROW(UNJC1030_IF_MULTI_SELECT_TENKAI_START),COLUMN(UNJC1030_IF_MULTI_SELECT_LIST_GYO))
&amp;":"&amp;ADDRESS(ROW(UNJC1030_IF_MULTI_SELECT_TENKAI_START)+UNJC1030_IF_MULTI_SELECT_TENKAI_KENSU-1,COLUMN(UNJC1030_IF_MULTI_SELECT_LIST_GYO))</f>
        <v>UNJC1030_IF!$EL$4:$EL$3</v>
      </c>
    </row>
    <row r="11" spans="1:172" ht="16.5">
      <c r="A11" s="229"/>
      <c r="B11" s="233"/>
      <c r="C11" s="67" t="s">
        <v>714</v>
      </c>
      <c r="D11" s="233" t="s">
        <v>717</v>
      </c>
      <c r="E11" s="158"/>
      <c r="F11" s="233" t="s">
        <v>718</v>
      </c>
      <c r="G11" s="233"/>
      <c r="H11" s="233"/>
      <c r="I11" s="233"/>
      <c r="J11" s="233"/>
      <c r="K11" s="233"/>
      <c r="L11" s="100"/>
      <c r="M11" s="67"/>
      <c r="N11" s="207"/>
      <c r="O11" s="207"/>
      <c r="P11" s="207"/>
      <c r="Q11" s="207"/>
      <c r="R11" s="207"/>
      <c r="S11" s="208" t="s">
        <v>47</v>
      </c>
      <c r="T11" s="1275"/>
      <c r="U11" s="1277"/>
      <c r="V11" s="207"/>
      <c r="W11" s="207"/>
      <c r="Z11" s="271"/>
      <c r="AA11" s="271" t="s">
        <v>730</v>
      </c>
      <c r="AB11" s="271"/>
      <c r="AD11" s="271"/>
      <c r="AF11" s="278"/>
      <c r="AG11" s="278"/>
      <c r="AH11" s="278"/>
      <c r="AI11" s="271"/>
      <c r="AJ11" s="271"/>
      <c r="AK11" s="274"/>
      <c r="AL11" s="274"/>
      <c r="AM11" s="271"/>
      <c r="AN11" s="271"/>
      <c r="AO11" s="271"/>
      <c r="AP11" s="271"/>
      <c r="AQ11" s="271"/>
      <c r="AR11" s="271"/>
      <c r="AS11" s="271"/>
      <c r="AT11" s="271"/>
      <c r="AU11" s="229"/>
      <c r="AV11" s="229"/>
      <c r="AW11" s="229"/>
      <c r="AX11" s="229"/>
      <c r="AY11" s="229"/>
      <c r="BC11" s="970" t="s">
        <v>4365</v>
      </c>
      <c r="BD11" s="970">
        <v>5</v>
      </c>
      <c r="BO11" s="1459" t="s">
        <v>1695</v>
      </c>
      <c r="BP11" s="1459"/>
      <c r="CJ11" s="21"/>
      <c r="CK11" s="67"/>
      <c r="CP11" s="67"/>
      <c r="CQ11" s="67"/>
      <c r="EF11" s="229" t="s">
        <v>686</v>
      </c>
      <c r="EG11" s="229" t="s">
        <v>691</v>
      </c>
      <c r="EH11" s="236" t="str">
        <f>"UNJC1030_IF!"&amp;
ADDRESS(ROW(UNJC1030_IF_MULTI_SELECT_TENKAI_START),COLUMN(UNJC1030_IF_MULTI_SELECT_LIST_KINGAKU))
&amp;":"&amp;ADDRESS(ROW(UNJC1030_IF_MULTI_SELECT_TENKAI_START)+UNJC1030_IF_MULTI_SELECT_TENKAI_KENSU-1,COLUMN(UNJC1030_IF_MULTI_SELECT_LIST_KINGAKU))</f>
        <v>UNJC1030_IF!$ET$4:$ET$3</v>
      </c>
    </row>
    <row r="12" spans="1:172" ht="16.5">
      <c r="A12" s="229"/>
      <c r="B12" s="233"/>
      <c r="C12" s="233"/>
      <c r="D12" s="233"/>
      <c r="E12" s="233"/>
      <c r="F12" s="233"/>
      <c r="G12" s="233"/>
      <c r="H12" s="233"/>
      <c r="I12" s="100"/>
      <c r="J12" s="100"/>
      <c r="K12" s="100"/>
      <c r="L12" s="100"/>
      <c r="M12" s="67"/>
      <c r="N12" s="1275"/>
      <c r="O12" s="1276"/>
      <c r="P12" s="1276"/>
      <c r="Q12" s="1277"/>
      <c r="R12" s="207"/>
      <c r="S12" s="208" t="s">
        <v>49</v>
      </c>
      <c r="T12" s="1275"/>
      <c r="U12" s="1277"/>
      <c r="V12" s="207"/>
      <c r="W12" s="207"/>
      <c r="Z12" s="271"/>
      <c r="AA12" s="272">
        <f ca="1">1+ROW()-ROW(INDIRECT(UNJC1030_B_LIST_START))</f>
        <v>-8</v>
      </c>
      <c r="AB12" s="272">
        <v>3</v>
      </c>
      <c r="AC12" s="209"/>
      <c r="AD12" s="209" t="s">
        <v>727</v>
      </c>
      <c r="AE12" s="1177" t="s">
        <v>725</v>
      </c>
      <c r="AF12" s="276"/>
      <c r="AG12" s="272"/>
      <c r="AH12" s="276"/>
      <c r="AI12" s="270"/>
      <c r="AJ12" s="947"/>
      <c r="AK12" s="276"/>
      <c r="AL12" s="284"/>
      <c r="AM12" s="276"/>
      <c r="AN12" s="272"/>
      <c r="AO12" s="275"/>
      <c r="AP12" s="276"/>
      <c r="AQ12" s="272"/>
      <c r="AR12" s="272"/>
      <c r="AS12" s="272"/>
      <c r="AT12" s="272"/>
      <c r="AU12" s="209"/>
      <c r="AV12" s="758"/>
      <c r="AW12" s="209"/>
      <c r="AX12" s="758"/>
      <c r="AY12" s="272"/>
      <c r="BO12" s="581" t="s">
        <v>1677</v>
      </c>
      <c r="BP12" s="581" t="s">
        <v>1709</v>
      </c>
      <c r="CJ12" s="67"/>
      <c r="CK12" s="67"/>
      <c r="CP12" s="67"/>
      <c r="CQ12" s="67"/>
      <c r="EF12" s="229" t="s">
        <v>687</v>
      </c>
      <c r="EG12" s="229" t="s">
        <v>692</v>
      </c>
      <c r="EH12" s="236" t="str">
        <f>"UNJC1030_IF!"&amp;
ADDRESS(ROW(UNJC1030_IF_MULTI_SELECT_TENKAI_START),COLUMN(UNJC1030_IF_MULTI_SELECT_LIST_SOSU))
&amp;":"&amp;ADDRESS(ROW(UNJC1030_IF_MULTI_SELECT_TENKAI_START)+UNJC1030_IF_MULTI_SELECT_TENKAI_KENSU-1,COLUMN(UNJC1030_IF_MULTI_SELECT_LIST_SOSU))</f>
        <v>UNJC1030_IF!$FB$4:$FB$3</v>
      </c>
    </row>
    <row r="13" spans="1:172" ht="16.5">
      <c r="B13" s="35" t="s">
        <v>120</v>
      </c>
      <c r="D13" s="38"/>
      <c r="G13" s="67"/>
      <c r="H13" s="100"/>
      <c r="I13" s="100"/>
      <c r="J13" s="100"/>
      <c r="K13" s="100"/>
      <c r="L13" s="100"/>
      <c r="M13" s="67"/>
      <c r="N13" s="261"/>
      <c r="O13" s="207"/>
      <c r="P13" s="208"/>
      <c r="Q13" s="766"/>
      <c r="R13" s="207"/>
      <c r="S13" s="208" t="s">
        <v>87</v>
      </c>
      <c r="T13" s="1875"/>
      <c r="U13" s="1876"/>
      <c r="V13" s="214" t="s">
        <v>51</v>
      </c>
      <c r="W13" s="207"/>
      <c r="Z13" s="229"/>
      <c r="AA13" s="229"/>
      <c r="AB13" s="229"/>
      <c r="AC13" s="229"/>
      <c r="AD13" s="229"/>
      <c r="AF13" s="229"/>
      <c r="AG13" s="229"/>
      <c r="AH13" s="229"/>
      <c r="AI13" s="229"/>
      <c r="AJ13" s="229"/>
      <c r="AK13" s="229"/>
      <c r="AL13" s="229"/>
      <c r="AM13" s="229"/>
      <c r="AN13" s="229"/>
      <c r="AO13" s="229"/>
      <c r="AP13" s="229"/>
      <c r="AQ13" s="229"/>
      <c r="AR13" s="229"/>
      <c r="AS13" s="229"/>
      <c r="AT13" s="229"/>
      <c r="AU13" s="229"/>
      <c r="AV13" s="229"/>
      <c r="AW13" s="229"/>
      <c r="AX13" s="229"/>
      <c r="AY13" s="229"/>
      <c r="BJ13" s="171" t="s">
        <v>533</v>
      </c>
      <c r="BO13" s="16" t="s">
        <v>1696</v>
      </c>
      <c r="BP13" s="76" t="str">
        <f>ADDRESS(ROW(UNJC1030_IF_SAVE_CHECK_START),COLUMN(UNJC1030_IF_SAVE_CHECK_START))</f>
        <v>$DF$6</v>
      </c>
      <c r="CJ13" s="67"/>
      <c r="CK13" s="67"/>
      <c r="CP13" s="67"/>
      <c r="CQ13" s="67"/>
      <c r="EF13" s="229" t="s">
        <v>697</v>
      </c>
      <c r="EG13" s="229" t="s">
        <v>693</v>
      </c>
      <c r="EH13" s="236" t="str">
        <f>"UNJC1030_IF!"&amp;
ADDRESS(ROW(UNJC1030_IF_MULTI_SELECT_TENKAI_START),COLUMN(UNJC1030_IF_MULTI_SELECT_LIST_ARARI_AREA))
&amp;":"&amp;ADDRESS(ROW(UNJC1030_IF_MULTI_SELECT_TENKAI_START)+UNJC1030_IF_MULTI_SELECT_TENKAI_KENSU-1,COLUMN(UNJC1030_IF_MULTI_SELECT_LIST_ARARI_AREA)+COLUMNS(UNJC1030_IF_MULTI_SELECT_LIST_ARARI_AREA)-1)</f>
        <v>UNJC1030_IF!$FC$4:$FE$3</v>
      </c>
    </row>
    <row r="14" spans="1:172" ht="16.5">
      <c r="C14" s="67" t="s">
        <v>121</v>
      </c>
      <c r="D14" s="67" t="s">
        <v>292</v>
      </c>
      <c r="E14" s="37"/>
      <c r="G14" s="67"/>
      <c r="H14" s="100"/>
      <c r="I14" s="100"/>
      <c r="J14" s="100"/>
      <c r="K14" s="100"/>
      <c r="L14" s="100"/>
      <c r="M14" s="67"/>
      <c r="N14" s="1338"/>
      <c r="O14" s="1339"/>
      <c r="P14" s="1339"/>
      <c r="Q14" s="1339"/>
      <c r="R14" s="1339"/>
      <c r="S14" s="1339"/>
      <c r="T14" s="1339"/>
      <c r="U14" s="1340"/>
      <c r="V14" s="207"/>
      <c r="W14" s="207"/>
      <c r="Z14" s="229"/>
      <c r="AA14" s="229"/>
      <c r="AB14" s="229"/>
      <c r="AC14" s="229"/>
      <c r="AD14" s="229"/>
      <c r="AF14" s="229"/>
      <c r="AG14" s="229"/>
      <c r="AH14" s="229"/>
      <c r="AI14" s="229"/>
      <c r="AJ14" s="229"/>
      <c r="AK14" s="229"/>
      <c r="AL14" s="229"/>
      <c r="AM14" s="229"/>
      <c r="AN14" s="229"/>
      <c r="AO14" s="229"/>
      <c r="AP14" s="229"/>
      <c r="AQ14" s="229"/>
      <c r="AR14" s="229"/>
      <c r="AS14" s="229"/>
      <c r="AT14" s="229"/>
      <c r="AU14" s="229"/>
      <c r="AV14" s="229"/>
      <c r="AW14" s="229"/>
      <c r="AX14" s="229"/>
      <c r="AY14" s="229"/>
      <c r="BJ14" s="166" t="s">
        <v>531</v>
      </c>
      <c r="BK14" s="167" t="s">
        <v>532</v>
      </c>
      <c r="BL14" s="170"/>
      <c r="BO14" s="16" t="s">
        <v>1697</v>
      </c>
      <c r="BP14" s="16">
        <v>5</v>
      </c>
      <c r="CJ14" s="67"/>
      <c r="CK14" s="67"/>
      <c r="CP14" s="67"/>
      <c r="CQ14" s="67"/>
    </row>
    <row r="15" spans="1:172" ht="16.5">
      <c r="C15" s="67" t="s">
        <v>122</v>
      </c>
      <c r="D15" s="67" t="s">
        <v>293</v>
      </c>
      <c r="E15" s="37"/>
      <c r="G15" s="67"/>
      <c r="H15" s="100"/>
      <c r="I15" s="100"/>
      <c r="J15" s="100"/>
      <c r="K15" s="100"/>
      <c r="L15" s="100"/>
      <c r="M15" s="98"/>
      <c r="N15" s="1338"/>
      <c r="O15" s="1339"/>
      <c r="P15" s="1339"/>
      <c r="Q15" s="1339"/>
      <c r="R15" s="1339"/>
      <c r="S15" s="1339"/>
      <c r="T15" s="1339"/>
      <c r="U15" s="1340"/>
      <c r="V15" s="207"/>
      <c r="W15" s="207"/>
      <c r="X15" s="98"/>
      <c r="Y15" s="125" t="s">
        <v>471</v>
      </c>
      <c r="Z15" s="125" t="s">
        <v>463</v>
      </c>
      <c r="AA15" s="125" t="s">
        <v>514</v>
      </c>
      <c r="AT15" s="125"/>
      <c r="AU15" s="125"/>
      <c r="AV15" s="125"/>
      <c r="AW15" s="125"/>
      <c r="AY15" s="125"/>
      <c r="BJ15" s="67" t="s">
        <v>340</v>
      </c>
      <c r="BK15" s="67" t="s">
        <v>341</v>
      </c>
      <c r="BL15" s="60"/>
      <c r="BO15" s="16" t="s">
        <v>1698</v>
      </c>
      <c r="BP15" s="16">
        <f>IF(UNJC1030_B_GYO_COUNT=0,1,UNJC1030_B_GYO_COUNT)</f>
        <v>1</v>
      </c>
      <c r="CJ15" s="67"/>
      <c r="CK15" s="67"/>
      <c r="CP15" s="67"/>
      <c r="CQ15" s="67"/>
      <c r="EF15" s="229" t="s">
        <v>689</v>
      </c>
      <c r="EG15" s="229" t="s">
        <v>694</v>
      </c>
      <c r="EH15" s="236" t="str">
        <f>"UNJC1030_IF!"&amp;
ADDRESS(ROW(UNJC1030_IF_MULTI_SELECT_TENKAI_START),COLUMN(UNJC1030_IF_MULTI_SELECT_LIST_GYO))
&amp;":"&amp;ADDRESS(ROW(UNJC1030_IF_MULTI_SELECT_TENKAI_START)+UNJC1030_IF_MULTI_SELECT_TENKAI_KENSU-1,COLUMN(UNJC1030_IF_MULTI_SELECT_LIST_GYO)+COLUMNS(UNJC1030_IF_COPY_B_MEISAI_SHINKI)-1)</f>
        <v>UNJC1030_IF!$EL$4:$FJ$3</v>
      </c>
    </row>
    <row r="16" spans="1:172" ht="16.5">
      <c r="C16" s="67" t="s">
        <v>123</v>
      </c>
      <c r="D16" s="67" t="s">
        <v>294</v>
      </c>
      <c r="E16" s="37"/>
      <c r="G16" s="67"/>
      <c r="H16" s="100"/>
      <c r="I16" s="100"/>
      <c r="J16" s="100"/>
      <c r="K16" s="100"/>
      <c r="M16" s="67" t="s">
        <v>326</v>
      </c>
      <c r="N16" s="98"/>
      <c r="O16" s="98"/>
      <c r="P16" s="98"/>
      <c r="Q16" s="98"/>
      <c r="R16" s="98"/>
      <c r="S16" s="98"/>
      <c r="T16" s="98"/>
      <c r="U16" s="98"/>
      <c r="V16" s="98"/>
      <c r="W16" s="98"/>
      <c r="Y16" s="125"/>
      <c r="AA16" s="28">
        <f ca="1">1+ROW()-ROW(INDIRECT(UNJC1030_B_LIST_START))</f>
        <v>-4</v>
      </c>
      <c r="AB16" s="28">
        <v>1</v>
      </c>
      <c r="AC16" s="209"/>
      <c r="AD16" s="31"/>
      <c r="AE16" s="1175"/>
      <c r="AF16" s="139"/>
      <c r="AG16" s="135"/>
      <c r="AH16" s="139"/>
      <c r="AI16" s="140">
        <f ca="1">-INDIRECT(ADDRESS(ROW()-1,COLUMN()))*(AF16/100)</f>
        <v>0</v>
      </c>
      <c r="AJ16" s="945"/>
      <c r="AK16" s="140"/>
      <c r="AL16" s="139"/>
      <c r="AM16" s="140"/>
      <c r="AN16" s="135"/>
      <c r="AO16" s="135"/>
      <c r="AP16" s="135"/>
      <c r="AQ16" s="140">
        <f>IF(AM16=0,1,AM16)*AF16</f>
        <v>0</v>
      </c>
      <c r="AR16" s="284">
        <f>AL16*IF(AF16=0,1,AF16)</f>
        <v>0</v>
      </c>
      <c r="AS16" s="142">
        <f ca="1">IF(ISERROR(AT16/AI16)=TRUE,0,
IF(AI16&lt;0,0,
IF(AI16&lt;AR16,AT16/AR16,
AT16/AI16)))</f>
        <v>0</v>
      </c>
      <c r="AT16" s="140">
        <f>IF(AR16=0,0,AI16-AR16)</f>
        <v>0</v>
      </c>
      <c r="AU16" s="31"/>
      <c r="AV16" s="758"/>
      <c r="AW16" s="31"/>
      <c r="AX16" s="758"/>
      <c r="AY16" s="28"/>
      <c r="BJ16" s="168" t="s">
        <v>528</v>
      </c>
      <c r="BK16" s="169" t="s">
        <v>529</v>
      </c>
      <c r="BL16" s="170"/>
      <c r="BM16" s="66" t="s">
        <v>335</v>
      </c>
      <c r="BO16" s="16" t="s">
        <v>1699</v>
      </c>
      <c r="BP16" s="16" t="s">
        <v>1727</v>
      </c>
      <c r="CJ16" s="67"/>
      <c r="CK16" s="67"/>
      <c r="CP16" s="67"/>
      <c r="CQ16" s="67"/>
    </row>
    <row r="17" spans="2:95" ht="16.5">
      <c r="D17" s="67"/>
      <c r="G17" s="67"/>
      <c r="H17" s="100"/>
      <c r="I17" s="100"/>
      <c r="J17" s="100"/>
      <c r="K17" s="100"/>
      <c r="M17" s="67"/>
      <c r="N17" s="209"/>
      <c r="O17" s="207"/>
      <c r="P17" s="210"/>
      <c r="Q17" s="204"/>
      <c r="R17" s="207"/>
      <c r="S17" s="208"/>
      <c r="T17" s="209"/>
      <c r="U17" s="207"/>
      <c r="V17" s="207"/>
      <c r="W17" s="207"/>
      <c r="Y17" s="125"/>
      <c r="AT17" s="125"/>
      <c r="AU17" s="125"/>
      <c r="AV17" s="125"/>
      <c r="AW17" s="125"/>
      <c r="AY17" s="125"/>
      <c r="BJ17" s="67" t="s">
        <v>330</v>
      </c>
      <c r="BK17" s="67" t="s">
        <v>332</v>
      </c>
      <c r="BL17" s="60">
        <f>IF(UNJC1030_IF_SAVE_RESULT_CD=0,2,1)</f>
        <v>2</v>
      </c>
      <c r="BO17" s="16" t="s">
        <v>1700</v>
      </c>
      <c r="BP17" s="16"/>
      <c r="CJ17" s="67"/>
      <c r="CK17" s="67"/>
      <c r="CP17" s="67"/>
      <c r="CQ17" s="67"/>
    </row>
    <row r="18" spans="2:95" ht="16.5">
      <c r="C18" s="67" t="s">
        <v>124</v>
      </c>
      <c r="D18" s="67" t="s">
        <v>295</v>
      </c>
      <c r="E18" s="37"/>
      <c r="G18" s="67"/>
      <c r="H18" s="100"/>
      <c r="L18" s="100"/>
      <c r="M18" s="67"/>
      <c r="N18" s="258"/>
      <c r="O18" s="207"/>
      <c r="P18" s="208"/>
      <c r="Q18" s="1336"/>
      <c r="R18" s="1337"/>
      <c r="S18" s="210"/>
      <c r="T18" s="259"/>
      <c r="U18" s="207"/>
      <c r="V18" s="207"/>
      <c r="W18" s="207"/>
      <c r="Y18" s="125"/>
      <c r="Z18" s="125" t="s">
        <v>468</v>
      </c>
      <c r="AA18" s="125" t="s">
        <v>515</v>
      </c>
      <c r="AT18" s="125"/>
      <c r="AU18" s="125"/>
      <c r="AV18" s="125"/>
      <c r="AW18" s="125"/>
      <c r="AY18" s="125"/>
      <c r="BJ18" s="67" t="s">
        <v>333</v>
      </c>
      <c r="BK18" s="67" t="s">
        <v>336</v>
      </c>
      <c r="BL18" s="60" t="s">
        <v>334</v>
      </c>
      <c r="BO18" s="16" t="s">
        <v>1701</v>
      </c>
      <c r="BP18" s="16">
        <f>COLUMN(UNJC1030_IF_SAVE_JUCHU_TANI)</f>
        <v>113</v>
      </c>
      <c r="CJ18" s="67"/>
      <c r="CK18" s="67"/>
      <c r="CP18" s="67"/>
      <c r="CQ18" s="67"/>
    </row>
    <row r="19" spans="2:95" ht="16.5">
      <c r="B19" s="67"/>
      <c r="D19" s="67"/>
      <c r="E19" s="67"/>
      <c r="F19" s="67"/>
      <c r="G19" s="67"/>
      <c r="H19" s="100"/>
      <c r="L19" s="100"/>
      <c r="M19" s="67"/>
      <c r="N19" s="72"/>
      <c r="O19" s="207"/>
      <c r="P19" s="208"/>
      <c r="Q19" s="204"/>
      <c r="R19" s="207"/>
      <c r="S19" s="208"/>
      <c r="T19" s="31"/>
      <c r="U19" s="207"/>
      <c r="V19" s="207"/>
      <c r="W19" s="207"/>
      <c r="Y19" s="125"/>
      <c r="AA19" s="28">
        <f ca="1">1+ROW()-ROW(INDIRECT(UNJC1030_B_LIST_START))</f>
        <v>-1</v>
      </c>
      <c r="AB19" s="28">
        <v>2</v>
      </c>
      <c r="AC19" s="209"/>
      <c r="AD19" s="209" t="s">
        <v>462</v>
      </c>
      <c r="AE19" s="1178"/>
      <c r="AF19" s="137"/>
      <c r="AG19" s="137"/>
      <c r="AH19" s="137"/>
      <c r="AI19" s="767"/>
      <c r="AJ19" s="946"/>
      <c r="AK19" s="137"/>
      <c r="AL19" s="137"/>
      <c r="AM19" s="137"/>
      <c r="AN19" s="137"/>
      <c r="AO19" s="137"/>
      <c r="AP19" s="137"/>
      <c r="AQ19" s="137"/>
      <c r="AR19" s="137"/>
      <c r="AS19" s="137"/>
      <c r="AT19" s="137"/>
      <c r="AU19" s="137"/>
      <c r="AV19" s="137"/>
      <c r="AW19" s="137"/>
      <c r="AX19" s="137"/>
      <c r="AY19" s="138"/>
      <c r="BO19" s="16" t="s">
        <v>1702</v>
      </c>
      <c r="BP19" s="16" t="str">
        <f ca="1">func_文字列連結(OFFSET(UNJC1030_IF_SAVE_JOGAI_GYO,1,0,IF(UNJC1030_B_GYO_COUNT=0,1,UNJC1030_B_GYO_COUNT)),",")</f>
        <v/>
      </c>
      <c r="CJ19" s="67"/>
      <c r="CK19" s="67"/>
    </row>
    <row r="20" spans="2:95" ht="16.5">
      <c r="B20" s="67"/>
      <c r="D20" s="67"/>
      <c r="E20" s="67"/>
      <c r="F20" s="35" t="s">
        <v>127</v>
      </c>
      <c r="G20" s="67"/>
      <c r="H20" s="100"/>
      <c r="I20" s="100"/>
      <c r="J20" s="100"/>
      <c r="K20" s="100"/>
      <c r="M20" s="67"/>
      <c r="N20" s="1197"/>
      <c r="O20" s="207"/>
      <c r="P20" s="208"/>
      <c r="Q20" s="215"/>
      <c r="R20" s="215"/>
      <c r="S20" s="215"/>
      <c r="T20" s="215"/>
      <c r="U20" s="207"/>
      <c r="V20" s="207"/>
      <c r="W20" s="207"/>
      <c r="Y20" s="125"/>
      <c r="BO20" s="231" t="s">
        <v>1703</v>
      </c>
      <c r="BP20" s="21"/>
      <c r="CJ20" s="67"/>
      <c r="CK20" s="67"/>
    </row>
    <row r="21" spans="2:95" ht="16.5">
      <c r="B21" s="35" t="s">
        <v>500</v>
      </c>
      <c r="D21" s="67"/>
      <c r="E21" s="38"/>
      <c r="F21" s="35" t="s">
        <v>482</v>
      </c>
      <c r="G21" s="35" t="s">
        <v>483</v>
      </c>
      <c r="H21" s="35" t="s">
        <v>484</v>
      </c>
      <c r="I21" s="100"/>
      <c r="J21" s="100"/>
      <c r="K21" s="100"/>
      <c r="M21" s="67"/>
      <c r="N21" s="208"/>
      <c r="O21" s="207"/>
      <c r="P21" s="207"/>
      <c r="Q21" s="207"/>
      <c r="R21" s="207"/>
      <c r="S21" s="207"/>
      <c r="T21" s="207"/>
      <c r="U21" s="207"/>
      <c r="V21" s="207"/>
      <c r="W21" s="207"/>
      <c r="Y21" s="271"/>
      <c r="Z21" s="271" t="s">
        <v>723</v>
      </c>
      <c r="AA21" s="277" t="s">
        <v>731</v>
      </c>
      <c r="AB21" s="271"/>
      <c r="AC21" s="271"/>
      <c r="AD21" s="271"/>
      <c r="AF21" s="271"/>
      <c r="AG21" s="277"/>
      <c r="AH21" s="277"/>
      <c r="AI21" s="277"/>
      <c r="AJ21" s="277"/>
      <c r="AK21" s="277"/>
      <c r="AL21" s="271"/>
      <c r="AM21" s="271"/>
      <c r="AN21" s="271"/>
      <c r="AO21" s="271"/>
      <c r="AP21" s="271"/>
      <c r="AQ21" s="271"/>
      <c r="AR21" s="271"/>
      <c r="AS21" s="271"/>
      <c r="AT21" s="271"/>
      <c r="AU21" s="271"/>
      <c r="AV21" s="271"/>
      <c r="AW21" s="271"/>
      <c r="AX21" s="271"/>
      <c r="AY21" s="271"/>
      <c r="BO21" s="582" t="s">
        <v>1704</v>
      </c>
      <c r="BP21" s="583"/>
      <c r="CJ21" s="67"/>
      <c r="CK21" s="67"/>
    </row>
    <row r="22" spans="2:95" ht="16.5">
      <c r="C22" s="67" t="s">
        <v>488</v>
      </c>
      <c r="D22" s="67" t="s">
        <v>296</v>
      </c>
      <c r="E22" s="37" t="str">
        <f>IF(UNJC1030_IF_MODE=1,"-",IF(UNJC1030_IF_MODE=2,"修正キャンセル","修正"))</f>
        <v>-</v>
      </c>
      <c r="F22" s="66" t="s">
        <v>485</v>
      </c>
      <c r="G22" s="66" t="s">
        <v>129</v>
      </c>
      <c r="H22" s="66" t="s">
        <v>128</v>
      </c>
      <c r="N22" s="260"/>
      <c r="O22" s="207"/>
      <c r="P22" s="207"/>
      <c r="Q22" s="207"/>
      <c r="R22" s="207"/>
      <c r="S22" s="208"/>
      <c r="T22" s="1846"/>
      <c r="U22" s="1847"/>
      <c r="V22" s="1847"/>
      <c r="W22" s="1848"/>
      <c r="Y22" s="271"/>
      <c r="Z22" s="271"/>
      <c r="AA22" s="272">
        <f ca="1">1+ROW()-ROW(INDIRECT(UNJC1030_B_LIST_START))</f>
        <v>2</v>
      </c>
      <c r="AB22" s="272">
        <v>3</v>
      </c>
      <c r="AC22" s="209"/>
      <c r="AD22" s="209" t="s">
        <v>724</v>
      </c>
      <c r="AE22" s="1177" t="s">
        <v>725</v>
      </c>
      <c r="AF22" s="270"/>
      <c r="AG22" s="272" t="s">
        <v>726</v>
      </c>
      <c r="AH22" s="276"/>
      <c r="AI22" s="140">
        <f ca="1">-INDIRECT(ADDRESS(ROW()-1,COLUMN()))*(AF22/100)</f>
        <v>0</v>
      </c>
      <c r="AJ22" s="947"/>
      <c r="AK22" s="276"/>
      <c r="AL22" s="284"/>
      <c r="AM22" s="276"/>
      <c r="AN22" s="272"/>
      <c r="AO22" s="275"/>
      <c r="AP22" s="276"/>
      <c r="AQ22" s="272"/>
      <c r="AR22" s="272"/>
      <c r="AS22" s="272"/>
      <c r="AT22" s="272"/>
      <c r="AU22" s="209"/>
      <c r="AV22" s="758"/>
      <c r="AW22" s="209"/>
      <c r="AX22" s="758"/>
      <c r="AY22" s="272"/>
      <c r="BO22" s="582" t="s">
        <v>1705</v>
      </c>
      <c r="BP22" s="583"/>
      <c r="CJ22" s="67"/>
      <c r="CK22" s="67"/>
    </row>
    <row r="23" spans="2:95" ht="16.5">
      <c r="B23" s="67"/>
      <c r="C23" s="67" t="s">
        <v>487</v>
      </c>
      <c r="D23" s="67" t="s">
        <v>337</v>
      </c>
      <c r="E23" s="95" t="str">
        <f>IF(UNJC1030_IF_MODE=1,"新規登録",IF(UNJC1030_IF_MODE=2,"保存","-"))</f>
        <v>新規登録</v>
      </c>
      <c r="F23" s="67" t="s">
        <v>10</v>
      </c>
      <c r="G23" s="67" t="s">
        <v>327</v>
      </c>
      <c r="H23" s="100" t="s">
        <v>485</v>
      </c>
      <c r="N23" s="1877"/>
      <c r="O23" s="1878"/>
      <c r="P23" s="1878"/>
      <c r="Q23" s="1879"/>
      <c r="R23" s="207"/>
      <c r="S23" s="208"/>
      <c r="T23" s="1849"/>
      <c r="U23" s="1850"/>
      <c r="V23" s="1850"/>
      <c r="W23" s="1851"/>
      <c r="Y23" s="271"/>
      <c r="Z23" s="271"/>
      <c r="AA23" s="278" t="s">
        <v>732</v>
      </c>
      <c r="AB23" s="271"/>
      <c r="AC23" s="271"/>
      <c r="AD23" s="271"/>
      <c r="AF23" s="277"/>
      <c r="AG23" s="277"/>
      <c r="AH23" s="277"/>
      <c r="AI23" s="277"/>
      <c r="AJ23" s="277"/>
      <c r="AK23" s="274"/>
      <c r="AL23" s="274"/>
      <c r="AM23" s="271"/>
      <c r="AN23" s="271"/>
      <c r="AO23" s="271"/>
      <c r="AP23" s="271"/>
      <c r="AQ23" s="271"/>
      <c r="AR23" s="271"/>
      <c r="AS23" s="271"/>
      <c r="AT23" s="271"/>
      <c r="AU23" s="271"/>
      <c r="AV23" s="271"/>
      <c r="AW23" s="271"/>
      <c r="AX23" s="271"/>
      <c r="AY23" s="271"/>
      <c r="BO23" s="231" t="s">
        <v>1706</v>
      </c>
      <c r="BP23" s="21"/>
      <c r="CJ23" s="67"/>
      <c r="CK23" s="67"/>
    </row>
    <row r="24" spans="2:95" ht="16.5">
      <c r="M24" s="67"/>
      <c r="N24" s="1287"/>
      <c r="O24" s="1308"/>
      <c r="P24" s="1309"/>
      <c r="Q24" s="207"/>
      <c r="R24" s="207"/>
      <c r="S24" s="210"/>
      <c r="T24" s="259"/>
      <c r="U24" s="207"/>
      <c r="V24" s="207"/>
      <c r="W24" s="207"/>
      <c r="Y24" s="271"/>
      <c r="Z24" s="271"/>
      <c r="AA24" s="272">
        <f ca="1">1+ROW()-ROW(INDIRECT(UNJC1030_B_LIST_START))</f>
        <v>4</v>
      </c>
      <c r="AB24" s="272">
        <v>3</v>
      </c>
      <c r="AC24" s="209"/>
      <c r="AD24" s="209" t="s">
        <v>727</v>
      </c>
      <c r="AE24" s="1177" t="s">
        <v>725</v>
      </c>
      <c r="AF24" s="276"/>
      <c r="AG24" s="272"/>
      <c r="AH24" s="276"/>
      <c r="AI24" s="270"/>
      <c r="AJ24" s="947"/>
      <c r="AK24" s="276"/>
      <c r="AL24" s="284"/>
      <c r="AM24" s="276"/>
      <c r="AN24" s="272"/>
      <c r="AO24" s="275"/>
      <c r="AP24" s="276"/>
      <c r="AQ24" s="272"/>
      <c r="AR24" s="272"/>
      <c r="AS24" s="272"/>
      <c r="AT24" s="272"/>
      <c r="AU24" s="209"/>
      <c r="AV24" s="758"/>
      <c r="AW24" s="209"/>
      <c r="AX24" s="758"/>
      <c r="AY24" s="272"/>
      <c r="CJ24" s="67"/>
      <c r="CK24" s="67"/>
    </row>
    <row r="25" spans="2:95" ht="16.5">
      <c r="B25" s="35" t="s">
        <v>501</v>
      </c>
      <c r="N25" s="207"/>
      <c r="O25" s="207"/>
      <c r="P25" s="207"/>
      <c r="Q25" s="207"/>
      <c r="R25" s="207"/>
      <c r="S25" s="208"/>
      <c r="T25" s="207"/>
      <c r="U25" s="207"/>
      <c r="V25" s="207"/>
      <c r="W25" s="207"/>
      <c r="Y25" s="271"/>
      <c r="Z25" s="271"/>
      <c r="AA25" s="271"/>
      <c r="AB25" s="271"/>
      <c r="AC25" s="271"/>
      <c r="AD25" s="271"/>
      <c r="AF25" s="271"/>
      <c r="AG25" s="271"/>
      <c r="AH25" s="271"/>
      <c r="AI25" s="271"/>
      <c r="AJ25" s="271"/>
      <c r="AK25" s="271"/>
      <c r="AL25" s="271"/>
      <c r="AM25" s="271"/>
      <c r="AN25" s="271"/>
      <c r="AO25" s="271"/>
      <c r="AP25" s="271"/>
      <c r="AQ25" s="271"/>
      <c r="AR25" s="271"/>
      <c r="AS25" s="271"/>
      <c r="AT25" s="271"/>
      <c r="AU25" s="271"/>
      <c r="AV25" s="271"/>
      <c r="AW25" s="271"/>
      <c r="AX25" s="271"/>
      <c r="AY25" s="271"/>
      <c r="BO25" s="278" t="s">
        <v>1729</v>
      </c>
      <c r="BP25"/>
      <c r="BQ25"/>
      <c r="CJ25" s="67"/>
      <c r="CK25" s="67"/>
    </row>
    <row r="26" spans="2:95" ht="16.5">
      <c r="C26" s="67" t="s">
        <v>486</v>
      </c>
      <c r="D26" s="153" t="s">
        <v>502</v>
      </c>
      <c r="E26" s="154">
        <f>IF(UNJC1030_IF_MODE=1,2,IF(UNJC1030_IF_MODE=2,2,1))</f>
        <v>2</v>
      </c>
      <c r="F26" s="147" t="s">
        <v>498</v>
      </c>
      <c r="G26" s="147" t="s">
        <v>498</v>
      </c>
      <c r="H26" s="147" t="s">
        <v>499</v>
      </c>
      <c r="N26" s="207"/>
      <c r="O26" s="207"/>
      <c r="P26" s="207"/>
      <c r="Q26" s="207"/>
      <c r="R26" s="207"/>
      <c r="S26" s="208"/>
      <c r="T26" s="1275"/>
      <c r="U26" s="1277"/>
      <c r="V26" s="207"/>
      <c r="W26" s="207"/>
      <c r="BO26" s="67" t="s">
        <v>331</v>
      </c>
      <c r="BP26" s="67" t="s">
        <v>381</v>
      </c>
      <c r="BQ26" s="60">
        <f>IF(ISBLANK(UNJC1030_IF_SAVE_CHECK_RESULT)=TRUE,2,1)</f>
        <v>2</v>
      </c>
      <c r="BR26" s="278" t="s">
        <v>335</v>
      </c>
      <c r="CJ26" s="67"/>
      <c r="CK26" s="67"/>
    </row>
    <row r="27" spans="2:95" ht="16.5">
      <c r="C27" s="100" t="s">
        <v>488</v>
      </c>
      <c r="D27" s="153" t="s">
        <v>503</v>
      </c>
      <c r="E27" s="154">
        <f>IF(UNJC1030_IF_MODE=1,2,IF(UNJC1030_IF_MODE=2,1,1))</f>
        <v>2</v>
      </c>
      <c r="F27" s="148" t="s">
        <v>498</v>
      </c>
      <c r="G27" s="148" t="s">
        <v>499</v>
      </c>
      <c r="H27" s="148" t="s">
        <v>499</v>
      </c>
      <c r="N27" s="1275"/>
      <c r="O27" s="1276"/>
      <c r="P27" s="1276"/>
      <c r="Q27" s="1277"/>
      <c r="R27" s="207"/>
      <c r="S27" s="208"/>
      <c r="T27" s="1275"/>
      <c r="U27" s="1277"/>
      <c r="V27" s="207"/>
      <c r="W27" s="207"/>
      <c r="Y27" s="125" t="s">
        <v>472</v>
      </c>
      <c r="Z27" s="125" t="s">
        <v>463</v>
      </c>
      <c r="AA27" s="125" t="s">
        <v>516</v>
      </c>
      <c r="AT27" s="125"/>
      <c r="AU27" s="125"/>
      <c r="AV27" s="125"/>
      <c r="AW27" s="125"/>
      <c r="AY27" s="125"/>
      <c r="BO27" t="s">
        <v>1733</v>
      </c>
      <c r="BP27" s="280" t="s">
        <v>1730</v>
      </c>
      <c r="BQ27" s="273" t="str">
        <f>"以下の項目が入力されていません。"&amp;
IF(UNJC1030_IF_SAVE_CHECK_RESULT&gt;=1,"
行番号："&amp;UNJC1030_IF_SAVE_CHECK_RESULT-ROW(UNJC1030_IF_SAVE_CHECK_START)+1,"")&amp;
"
項目名："&amp;UNJC1030_IF_SAVE_CHECK_ERROR_KOMOKU</f>
        <v>以下の項目が入力されていません。
項目名：</v>
      </c>
      <c r="CJ27" s="67"/>
      <c r="CK27" s="67"/>
    </row>
    <row r="28" spans="2:95" ht="16.5">
      <c r="C28" s="67" t="s">
        <v>9</v>
      </c>
      <c r="D28" s="67" t="s">
        <v>504</v>
      </c>
      <c r="E28" s="281">
        <f>IF(UNJC1030_IF_MODE=1,2,IF(UNJC1030_IF_MODE=2,1,2))</f>
        <v>2</v>
      </c>
      <c r="F28" s="278" t="s">
        <v>498</v>
      </c>
      <c r="G28" s="278" t="s">
        <v>499</v>
      </c>
      <c r="H28" s="278" t="s">
        <v>498</v>
      </c>
      <c r="N28" s="261"/>
      <c r="O28" s="207"/>
      <c r="P28" s="208"/>
      <c r="Q28" s="766"/>
      <c r="R28" s="207"/>
      <c r="S28" s="208"/>
      <c r="T28" s="1875"/>
      <c r="U28" s="1876"/>
      <c r="V28" s="214"/>
      <c r="W28" s="207"/>
      <c r="Y28" s="125"/>
      <c r="AA28" s="136">
        <f ca="1">1+ROW()-ROW(INDIRECT(UNJC1030_B_LIST_START))</f>
        <v>8</v>
      </c>
      <c r="AB28" s="136">
        <v>1</v>
      </c>
      <c r="AC28" s="217"/>
      <c r="AD28" s="217"/>
      <c r="AE28" s="1179"/>
      <c r="AF28" s="141"/>
      <c r="AG28" s="136"/>
      <c r="AH28" s="141"/>
      <c r="AI28" s="141">
        <f>IF(AF28=0,1,AF28)*AH28</f>
        <v>0</v>
      </c>
      <c r="AJ28" s="948"/>
      <c r="AK28" s="141"/>
      <c r="AL28" s="284"/>
      <c r="AM28" s="141"/>
      <c r="AN28" s="283"/>
      <c r="AO28" s="136"/>
      <c r="AP28" s="136"/>
      <c r="AQ28" s="284">
        <f>IF(AM28=0,1,AM28)*AF28</f>
        <v>0</v>
      </c>
      <c r="AR28" s="284">
        <f>AL28*IF(AF28=0,1,AF28)</f>
        <v>0</v>
      </c>
      <c r="AS28" s="142">
        <f>IF(ISERROR(AT28/AI28)=TRUE,0,
IF(AI28&lt;0,0,
IF(AI28&lt;AR28,AT28/AR28,
AT28/AI28)))</f>
        <v>0</v>
      </c>
      <c r="AT28" s="284">
        <f>IF(AR28=0,0,AI28-AR28)</f>
        <v>0</v>
      </c>
      <c r="AU28" s="217"/>
      <c r="AV28" s="532"/>
      <c r="AW28" s="217"/>
      <c r="AX28" s="532"/>
      <c r="AY28" s="136"/>
      <c r="BO28" s="280"/>
      <c r="BP28" s="280"/>
      <c r="CJ28" s="67"/>
      <c r="CK28" s="67"/>
    </row>
    <row r="29" spans="2:95" ht="16.5">
      <c r="C29" s="67" t="s">
        <v>489</v>
      </c>
      <c r="D29" s="153" t="s">
        <v>505</v>
      </c>
      <c r="E29" s="154">
        <f t="shared" ref="E29:E34" si="0">IF(UNJC1030_IF_MODE=1,1,IF(UNJC1030_IF_MODE=2,1,2))</f>
        <v>1</v>
      </c>
      <c r="F29" s="149" t="s">
        <v>499</v>
      </c>
      <c r="G29" s="149" t="s">
        <v>499</v>
      </c>
      <c r="H29" s="149" t="s">
        <v>498</v>
      </c>
      <c r="M29" s="98"/>
      <c r="N29" s="1338"/>
      <c r="O29" s="1339"/>
      <c r="P29" s="1339"/>
      <c r="Q29" s="1339"/>
      <c r="R29" s="1339"/>
      <c r="S29" s="1339"/>
      <c r="T29" s="1339"/>
      <c r="U29" s="1340"/>
      <c r="V29" s="207"/>
      <c r="W29" s="207"/>
      <c r="X29" s="98"/>
      <c r="Y29" s="125"/>
      <c r="AT29" s="125"/>
      <c r="AU29" s="125"/>
      <c r="AV29" s="125"/>
      <c r="AW29" s="125"/>
      <c r="AY29" s="125"/>
      <c r="BO29"/>
      <c r="BP29" s="280" t="s">
        <v>1708</v>
      </c>
      <c r="BQ29" s="280" t="s">
        <v>1723</v>
      </c>
      <c r="CJ29" s="67"/>
      <c r="CK29" s="67"/>
    </row>
    <row r="30" spans="2:95" ht="16.5">
      <c r="C30" s="67" t="s">
        <v>490</v>
      </c>
      <c r="D30" s="153" t="s">
        <v>506</v>
      </c>
      <c r="E30" s="154">
        <f t="shared" si="0"/>
        <v>1</v>
      </c>
      <c r="F30" s="150" t="s">
        <v>499</v>
      </c>
      <c r="G30" s="150" t="s">
        <v>499</v>
      </c>
      <c r="H30" s="150" t="s">
        <v>498</v>
      </c>
      <c r="M30" s="67" t="s">
        <v>325</v>
      </c>
      <c r="N30" s="1338"/>
      <c r="O30" s="1339"/>
      <c r="P30" s="1339"/>
      <c r="Q30" s="1339"/>
      <c r="R30" s="1339"/>
      <c r="S30" s="1339"/>
      <c r="T30" s="1339"/>
      <c r="U30" s="1340"/>
      <c r="V30" s="207"/>
      <c r="W30" s="207"/>
      <c r="Y30" s="125"/>
      <c r="Z30" s="125" t="s">
        <v>468</v>
      </c>
      <c r="AA30" s="125" t="s">
        <v>517</v>
      </c>
      <c r="AD30" s="333"/>
      <c r="AT30" s="125"/>
      <c r="AU30" s="125"/>
      <c r="AV30" s="125"/>
      <c r="AW30" s="125"/>
      <c r="AY30" s="125"/>
      <c r="BO30" s="278" t="s">
        <v>1707</v>
      </c>
      <c r="BP30" s="273"/>
      <c r="BQ30" s="273"/>
      <c r="CJ30" s="67"/>
      <c r="CK30" s="67"/>
    </row>
    <row r="31" spans="2:95" ht="16.5">
      <c r="C31" s="67" t="s">
        <v>491</v>
      </c>
      <c r="D31" s="153" t="s">
        <v>507</v>
      </c>
      <c r="E31" s="154">
        <f t="shared" si="0"/>
        <v>1</v>
      </c>
      <c r="F31" s="151" t="s">
        <v>499</v>
      </c>
      <c r="G31" s="151" t="s">
        <v>499</v>
      </c>
      <c r="H31" s="151" t="s">
        <v>498</v>
      </c>
      <c r="N31" s="98"/>
      <c r="O31" s="98"/>
      <c r="P31" s="98"/>
      <c r="Q31" s="98"/>
      <c r="R31" s="87"/>
      <c r="S31" s="98"/>
      <c r="T31" s="98"/>
      <c r="U31" s="98"/>
      <c r="V31" s="98"/>
      <c r="W31" s="98"/>
      <c r="Y31" s="125"/>
      <c r="AA31" s="136">
        <f ca="1">1+ROW()-ROW(INDIRECT(UNJC1030_B_LIST_START))</f>
        <v>11</v>
      </c>
      <c r="AB31" s="136">
        <v>2</v>
      </c>
      <c r="AC31" s="217"/>
      <c r="AD31" s="217" t="s">
        <v>462</v>
      </c>
      <c r="AE31" s="1170"/>
      <c r="AF31" s="144"/>
      <c r="AG31" s="144"/>
      <c r="AH31" s="144"/>
      <c r="AI31" s="144"/>
      <c r="AJ31" s="949"/>
      <c r="AK31" s="144"/>
      <c r="AL31" s="144"/>
      <c r="AM31" s="144"/>
      <c r="AN31" s="144"/>
      <c r="AO31" s="144"/>
      <c r="AP31" s="144"/>
      <c r="AQ31" s="144"/>
      <c r="AR31" s="144"/>
      <c r="AS31" s="144"/>
      <c r="AT31" s="144"/>
      <c r="AU31" s="144"/>
      <c r="AV31" s="144"/>
      <c r="AW31" s="144"/>
      <c r="AX31" s="145"/>
      <c r="AY31" s="145"/>
      <c r="BP31"/>
      <c r="BQ31"/>
      <c r="CJ31" s="67"/>
      <c r="CK31" s="67"/>
    </row>
    <row r="32" spans="2:95" ht="16.5">
      <c r="C32" s="67" t="s">
        <v>492</v>
      </c>
      <c r="D32" s="153" t="s">
        <v>508</v>
      </c>
      <c r="E32" s="154">
        <f t="shared" si="0"/>
        <v>1</v>
      </c>
      <c r="F32" s="152" t="s">
        <v>499</v>
      </c>
      <c r="G32" s="152" t="s">
        <v>499</v>
      </c>
      <c r="H32" s="152" t="s">
        <v>498</v>
      </c>
      <c r="N32" s="217"/>
      <c r="O32" s="215"/>
      <c r="P32" s="218"/>
      <c r="Q32" s="217"/>
      <c r="R32" s="215"/>
      <c r="S32" s="208"/>
      <c r="T32" s="217"/>
      <c r="U32" s="215"/>
      <c r="V32" s="218"/>
      <c r="W32" s="215"/>
      <c r="Y32" s="125"/>
      <c r="BP32"/>
      <c r="BQ32"/>
      <c r="CJ32" s="67"/>
      <c r="CK32" s="67"/>
    </row>
    <row r="33" spans="2:52" ht="16.5">
      <c r="B33" s="278"/>
      <c r="C33" s="280" t="s">
        <v>735</v>
      </c>
      <c r="D33" s="280" t="s">
        <v>736</v>
      </c>
      <c r="E33" s="281">
        <f t="shared" si="0"/>
        <v>1</v>
      </c>
      <c r="F33" s="278" t="s">
        <v>499</v>
      </c>
      <c r="G33" s="278" t="s">
        <v>499</v>
      </c>
      <c r="H33" s="278" t="s">
        <v>498</v>
      </c>
      <c r="N33" s="220"/>
      <c r="O33" s="215"/>
      <c r="P33" s="216"/>
      <c r="Q33" s="1418"/>
      <c r="R33" s="1419"/>
      <c r="S33" s="210"/>
      <c r="T33" s="13"/>
      <c r="U33" s="215"/>
      <c r="V33" s="218"/>
      <c r="W33" s="215"/>
      <c r="Z33" s="278" t="s">
        <v>723</v>
      </c>
      <c r="AA33" s="278" t="s">
        <v>733</v>
      </c>
      <c r="AB33" s="278"/>
      <c r="AC33" s="278"/>
      <c r="AD33" s="278"/>
      <c r="AF33" s="278"/>
      <c r="AG33" s="278"/>
      <c r="AH33" s="278"/>
      <c r="AI33" s="278"/>
      <c r="AJ33" s="278"/>
      <c r="AK33" s="278"/>
      <c r="AL33" s="278"/>
      <c r="AM33" s="278"/>
      <c r="AN33" s="278"/>
      <c r="AO33" s="278"/>
      <c r="AP33" s="278"/>
      <c r="AQ33" s="278"/>
      <c r="AR33" s="278"/>
      <c r="AS33" s="278"/>
      <c r="AT33" s="278"/>
      <c r="AU33" s="278"/>
      <c r="AV33" s="278"/>
      <c r="AW33" s="278"/>
      <c r="AX33" s="278"/>
      <c r="AY33" s="278"/>
      <c r="AZ33" s="278"/>
    </row>
    <row r="34" spans="2:52" ht="16.5">
      <c r="C34" s="67" t="s">
        <v>493</v>
      </c>
      <c r="D34" s="153" t="s">
        <v>509</v>
      </c>
      <c r="E34" s="154">
        <f t="shared" si="0"/>
        <v>1</v>
      </c>
      <c r="F34" s="152" t="s">
        <v>499</v>
      </c>
      <c r="G34" s="152" t="s">
        <v>499</v>
      </c>
      <c r="H34" s="152" t="s">
        <v>498</v>
      </c>
      <c r="N34" s="219"/>
      <c r="O34" s="215"/>
      <c r="P34" s="216"/>
      <c r="Q34" s="217"/>
      <c r="R34" s="215"/>
      <c r="S34" s="208"/>
      <c r="T34" s="217"/>
      <c r="U34" s="215"/>
      <c r="V34" s="215"/>
      <c r="W34" s="215"/>
      <c r="Z34" s="278"/>
      <c r="AA34" s="283">
        <f ca="1">1+ROW()-ROW(INDIRECT(UNJC1030_B_LIST_START))</f>
        <v>14</v>
      </c>
      <c r="AB34" s="283">
        <v>3</v>
      </c>
      <c r="AC34" s="217"/>
      <c r="AD34" s="217" t="s">
        <v>724</v>
      </c>
      <c r="AE34" s="535" t="s">
        <v>725</v>
      </c>
      <c r="AF34" s="284"/>
      <c r="AG34" s="283" t="s">
        <v>726</v>
      </c>
      <c r="AH34" s="284"/>
      <c r="AI34" s="140">
        <f ca="1">-INDIRECT(ADDRESS(ROW()-1,COLUMN()))*(AF34/100)</f>
        <v>0</v>
      </c>
      <c r="AJ34" s="909"/>
      <c r="AK34" s="284"/>
      <c r="AL34" s="284"/>
      <c r="AM34" s="284"/>
      <c r="AN34" s="283"/>
      <c r="AO34" s="283"/>
      <c r="AP34" s="284"/>
      <c r="AQ34" s="283"/>
      <c r="AR34" s="283"/>
      <c r="AS34" s="283"/>
      <c r="AT34" s="283"/>
      <c r="AU34" s="217"/>
      <c r="AV34" s="532"/>
      <c r="AW34" s="217"/>
      <c r="AX34" s="532"/>
      <c r="AY34" s="283"/>
      <c r="AZ34" s="278"/>
    </row>
    <row r="35" spans="2:52" ht="16.5">
      <c r="C35" s="67" t="s">
        <v>494</v>
      </c>
      <c r="D35" s="153" t="s">
        <v>510</v>
      </c>
      <c r="E35" s="154">
        <f>IF(UNJC1030_IF_MODE=1,2,IF(UNJC1030_IF_MODE=2,2,1))</f>
        <v>2</v>
      </c>
      <c r="F35" s="152" t="s">
        <v>498</v>
      </c>
      <c r="G35" s="152" t="s">
        <v>498</v>
      </c>
      <c r="H35" s="152" t="s">
        <v>499</v>
      </c>
      <c r="N35" s="219"/>
      <c r="O35" s="215"/>
      <c r="P35" s="216"/>
      <c r="Q35" s="215"/>
      <c r="R35" s="215"/>
      <c r="S35" s="215"/>
      <c r="T35" s="215"/>
      <c r="U35" s="215"/>
      <c r="V35" s="215"/>
      <c r="W35" s="215"/>
      <c r="Z35" s="278"/>
      <c r="AA35" s="278" t="s">
        <v>734</v>
      </c>
      <c r="AB35" s="278"/>
      <c r="AC35" s="278"/>
      <c r="AD35" s="278"/>
      <c r="AF35" s="278"/>
      <c r="AG35" s="278"/>
      <c r="AH35" s="278"/>
      <c r="AI35" s="278"/>
      <c r="AJ35" s="278"/>
      <c r="AK35" s="282"/>
      <c r="AL35" s="282"/>
      <c r="AM35" s="278"/>
      <c r="AN35" s="278"/>
      <c r="AO35" s="278"/>
      <c r="AP35" s="278"/>
      <c r="AQ35" s="278"/>
      <c r="AR35" s="278"/>
      <c r="AS35" s="278"/>
      <c r="AT35" s="278"/>
      <c r="AU35" s="278"/>
      <c r="AV35" s="278"/>
      <c r="AW35" s="278"/>
      <c r="AX35" s="278"/>
      <c r="AY35" s="278"/>
      <c r="AZ35" s="278"/>
    </row>
    <row r="36" spans="2:52" ht="16.5">
      <c r="C36" s="67" t="s">
        <v>495</v>
      </c>
      <c r="D36" s="153" t="s">
        <v>511</v>
      </c>
      <c r="E36" s="154">
        <f>IF(UNJC1030_IF_MODE=1,2,IF(UNJC1030_IF_MODE=2,2,1))</f>
        <v>2</v>
      </c>
      <c r="F36" s="152" t="s">
        <v>498</v>
      </c>
      <c r="G36" s="152" t="s">
        <v>498</v>
      </c>
      <c r="H36" s="152" t="s">
        <v>499</v>
      </c>
      <c r="N36" s="216"/>
      <c r="O36" s="215"/>
      <c r="P36" s="215"/>
      <c r="Q36" s="215"/>
      <c r="R36" s="215"/>
      <c r="S36" s="207"/>
      <c r="T36" s="215"/>
      <c r="U36" s="215"/>
      <c r="V36" s="215"/>
      <c r="W36" s="215"/>
      <c r="Z36" s="278"/>
      <c r="AA36" s="283">
        <f ca="1">1+ROW()-ROW(INDIRECT(UNJC1030_B_LIST_START))</f>
        <v>16</v>
      </c>
      <c r="AB36" s="283">
        <v>3</v>
      </c>
      <c r="AC36" s="217"/>
      <c r="AD36" s="217" t="s">
        <v>727</v>
      </c>
      <c r="AE36" s="535" t="s">
        <v>725</v>
      </c>
      <c r="AF36" s="284"/>
      <c r="AG36" s="283"/>
      <c r="AH36" s="284"/>
      <c r="AI36" s="284"/>
      <c r="AJ36" s="909"/>
      <c r="AK36" s="284"/>
      <c r="AL36" s="284"/>
      <c r="AM36" s="284"/>
      <c r="AN36" s="283"/>
      <c r="AO36" s="283"/>
      <c r="AP36" s="284"/>
      <c r="AQ36" s="283"/>
      <c r="AR36" s="283"/>
      <c r="AS36" s="283"/>
      <c r="AT36" s="283"/>
      <c r="AU36" s="217"/>
      <c r="AV36" s="532"/>
      <c r="AW36" s="217"/>
      <c r="AX36" s="532"/>
      <c r="AY36" s="283"/>
      <c r="AZ36" s="278"/>
    </row>
    <row r="37" spans="2:52" ht="16.5">
      <c r="C37" s="67" t="s">
        <v>496</v>
      </c>
      <c r="D37" s="153" t="s">
        <v>512</v>
      </c>
      <c r="E37" s="154">
        <f>IF(UNJC1030_IF_MODE=1,2,IF(UNJC1030_IF_MODE=2,2,1))</f>
        <v>2</v>
      </c>
      <c r="F37" s="152" t="s">
        <v>498</v>
      </c>
      <c r="G37" s="152" t="s">
        <v>498</v>
      </c>
      <c r="H37" s="152" t="s">
        <v>499</v>
      </c>
      <c r="N37" s="221"/>
      <c r="O37" s="215"/>
      <c r="P37" s="215"/>
      <c r="Q37" s="215"/>
      <c r="R37" s="215"/>
      <c r="S37" s="208"/>
      <c r="T37" s="1449"/>
      <c r="U37" s="1450"/>
      <c r="V37" s="1450"/>
      <c r="W37" s="1451"/>
    </row>
    <row r="38" spans="2:52" ht="16.5">
      <c r="C38" s="67" t="s">
        <v>497</v>
      </c>
      <c r="D38" s="153" t="s">
        <v>513</v>
      </c>
      <c r="E38" s="154">
        <f>IF(UNJC1030_IF_MODE=1,2,IF(UNJC1030_IF_MODE=2,2,1))</f>
        <v>2</v>
      </c>
      <c r="F38" s="152" t="s">
        <v>498</v>
      </c>
      <c r="G38" s="152" t="s">
        <v>498</v>
      </c>
      <c r="H38" s="152" t="s">
        <v>499</v>
      </c>
      <c r="N38" s="1443"/>
      <c r="O38" s="1444"/>
      <c r="P38" s="1444"/>
      <c r="Q38" s="1445"/>
      <c r="R38" s="215"/>
      <c r="S38" s="208"/>
      <c r="T38" s="1452"/>
      <c r="U38" s="1453"/>
      <c r="V38" s="1453"/>
      <c r="W38" s="1454"/>
      <c r="Z38" s="125" t="s">
        <v>474</v>
      </c>
      <c r="AA38" s="125" t="s">
        <v>475</v>
      </c>
    </row>
    <row r="39" spans="2:52" ht="16.5">
      <c r="N39" s="1446"/>
      <c r="O39" s="1447"/>
      <c r="P39" s="1448"/>
      <c r="Q39" s="215"/>
      <c r="R39" s="215"/>
      <c r="S39" s="210"/>
      <c r="T39" s="13"/>
      <c r="U39" s="215"/>
      <c r="V39" s="215"/>
      <c r="W39" s="215"/>
      <c r="Y39" s="125" t="s">
        <v>473</v>
      </c>
      <c r="AA39" s="944"/>
      <c r="AB39" s="944"/>
      <c r="AC39" s="944"/>
      <c r="AD39" s="944"/>
      <c r="AE39" s="1180"/>
      <c r="AF39" s="944"/>
      <c r="AG39" s="944"/>
      <c r="AH39" s="944"/>
      <c r="AI39" s="944"/>
      <c r="AJ39" s="910"/>
      <c r="AK39" s="944"/>
      <c r="AL39" s="944"/>
      <c r="AM39" s="944"/>
      <c r="AN39" s="944"/>
      <c r="AO39" s="944"/>
      <c r="AP39" s="944"/>
      <c r="AQ39" s="944"/>
      <c r="AR39" s="944"/>
      <c r="AS39" s="944"/>
      <c r="AT39" s="944"/>
      <c r="AU39" s="944"/>
      <c r="AV39" s="944"/>
      <c r="AW39" s="944"/>
      <c r="AX39" s="944"/>
      <c r="AY39" s="944"/>
    </row>
    <row r="40" spans="2:52" ht="16.5">
      <c r="B40" s="176" t="s">
        <v>538</v>
      </c>
      <c r="C40" s="175"/>
      <c r="D40" s="175"/>
      <c r="E40" s="175"/>
      <c r="F40" s="175"/>
      <c r="G40" s="175"/>
      <c r="N40" s="215"/>
      <c r="O40" s="215"/>
      <c r="P40" s="215"/>
      <c r="Q40" s="215"/>
      <c r="R40" s="215"/>
      <c r="S40" s="216"/>
      <c r="T40" s="215"/>
      <c r="U40" s="215"/>
      <c r="V40" s="215"/>
      <c r="W40" s="215"/>
    </row>
    <row r="41" spans="2:52" ht="16.5">
      <c r="B41" s="175"/>
      <c r="C41" s="175" t="s">
        <v>493</v>
      </c>
      <c r="D41" s="177" t="s">
        <v>541</v>
      </c>
      <c r="E41" s="178">
        <f>IF(UNJC1030_IF_ACTIVE_ROW&lt;=ROW(UNJC1030_B_GYO),1,0)</f>
        <v>1</v>
      </c>
      <c r="F41" s="179" t="s">
        <v>539</v>
      </c>
      <c r="G41" s="179" t="s">
        <v>540</v>
      </c>
      <c r="N41" s="207"/>
      <c r="O41" s="215"/>
      <c r="P41" s="215"/>
      <c r="Q41" s="215"/>
      <c r="R41" s="215"/>
      <c r="S41" s="216"/>
      <c r="T41" s="1443"/>
      <c r="U41" s="1445"/>
      <c r="V41" s="215"/>
      <c r="W41" s="215"/>
    </row>
    <row r="42" spans="2:52" ht="16.5">
      <c r="N42" s="1443"/>
      <c r="O42" s="1444"/>
      <c r="P42" s="1444"/>
      <c r="Q42" s="1445"/>
      <c r="R42" s="215"/>
      <c r="S42" s="216"/>
      <c r="T42" s="1443"/>
      <c r="U42" s="1445"/>
      <c r="V42" s="215"/>
      <c r="W42" s="215"/>
    </row>
    <row r="43" spans="2:52" ht="16.5">
      <c r="B43" s="279" t="s">
        <v>740</v>
      </c>
      <c r="C43" s="278"/>
      <c r="D43" s="278"/>
      <c r="E43" s="278"/>
      <c r="N43" s="222"/>
      <c r="O43" s="215"/>
      <c r="P43" s="216"/>
      <c r="Q43" s="205"/>
      <c r="R43" s="215"/>
      <c r="S43" s="216"/>
      <c r="T43" s="1880"/>
      <c r="U43" s="1881"/>
      <c r="V43" s="223"/>
      <c r="W43" s="215"/>
    </row>
    <row r="44" spans="2:52" ht="16.5">
      <c r="B44" s="278"/>
      <c r="C44" s="278" t="s">
        <v>741</v>
      </c>
      <c r="D44" s="280" t="s">
        <v>742</v>
      </c>
      <c r="E44" s="273" t="str">
        <f ca="1">"販売商品受注入力画面_"&amp;UNJC1030_IF_JURI_NO&amp;"_"&amp;TEXT(NOW(),"YYYYMMDD")</f>
        <v>販売商品受注入力画面__20170927</v>
      </c>
      <c r="N44" s="1423"/>
      <c r="O44" s="1424"/>
      <c r="P44" s="1424"/>
      <c r="Q44" s="1424"/>
      <c r="R44" s="1424"/>
      <c r="S44" s="1424"/>
      <c r="T44" s="1424"/>
      <c r="U44" s="1425"/>
      <c r="V44" s="215"/>
      <c r="W44" s="215"/>
    </row>
    <row r="45" spans="2:52" ht="16.5">
      <c r="N45" s="1423"/>
      <c r="O45" s="1424"/>
      <c r="P45" s="1424"/>
      <c r="Q45" s="1424"/>
      <c r="R45" s="1424"/>
      <c r="S45" s="1424"/>
      <c r="T45" s="1424"/>
      <c r="U45" s="1425"/>
      <c r="V45" s="215"/>
      <c r="W45" s="215"/>
    </row>
  </sheetData>
  <mergeCells count="31">
    <mergeCell ref="BO11:BP11"/>
    <mergeCell ref="N12:Q12"/>
    <mergeCell ref="T12:U12"/>
    <mergeCell ref="Q3:R3"/>
    <mergeCell ref="T7:W8"/>
    <mergeCell ref="N8:Q8"/>
    <mergeCell ref="N9:P9"/>
    <mergeCell ref="T11:U11"/>
    <mergeCell ref="T13:U13"/>
    <mergeCell ref="N14:U14"/>
    <mergeCell ref="N15:U15"/>
    <mergeCell ref="Q18:R18"/>
    <mergeCell ref="T22:W23"/>
    <mergeCell ref="N23:Q23"/>
    <mergeCell ref="T41:U41"/>
    <mergeCell ref="N24:P24"/>
    <mergeCell ref="T26:U26"/>
    <mergeCell ref="N27:Q27"/>
    <mergeCell ref="T27:U27"/>
    <mergeCell ref="T28:U28"/>
    <mergeCell ref="N29:U29"/>
    <mergeCell ref="N30:U30"/>
    <mergeCell ref="Q33:R33"/>
    <mergeCell ref="T37:W38"/>
    <mergeCell ref="N38:Q38"/>
    <mergeCell ref="N39:P39"/>
    <mergeCell ref="N42:Q42"/>
    <mergeCell ref="T42:U42"/>
    <mergeCell ref="T43:U43"/>
    <mergeCell ref="N44:U44"/>
    <mergeCell ref="N45:U45"/>
  </mergeCells>
  <phoneticPr fontId="2"/>
  <conditionalFormatting sqref="AI4">
    <cfRule type="expression" dxfId="63" priority="81">
      <formula>INDIRECT(ADDRESS(ROW(),COLUMN(UNMT0020_B_ROW_KBN)))&lt;&gt;2</formula>
    </cfRule>
  </conditionalFormatting>
  <conditionalFormatting sqref="AI4">
    <cfRule type="expression" dxfId="62" priority="82">
      <formula>INDIRECT(ADDRESS(ROW(),COLUMN()))=TRUNC(INDIRECT(ADDRESS(ROW(),COLUMN())))</formula>
    </cfRule>
  </conditionalFormatting>
  <conditionalFormatting sqref="AF4">
    <cfRule type="expression" dxfId="61" priority="79">
      <formula>INDIRECT(ADDRESS(ROW(),COLUMN(UNMT0020_B_ROW_KBN)))&lt;&gt;2</formula>
    </cfRule>
  </conditionalFormatting>
  <conditionalFormatting sqref="AF4">
    <cfRule type="expression" dxfId="60" priority="80">
      <formula>INDIRECT(ADDRESS(ROW(),COLUMN()))=TRUNC(INDIRECT(ADDRESS(ROW(),COLUMN())))</formula>
    </cfRule>
  </conditionalFormatting>
  <conditionalFormatting sqref="AH4">
    <cfRule type="expression" dxfId="59" priority="77">
      <formula>INDIRECT(ADDRESS(ROW(),COLUMN(UNMT0020_B_ROW_KBN)))&lt;&gt;2</formula>
    </cfRule>
  </conditionalFormatting>
  <conditionalFormatting sqref="AH4">
    <cfRule type="expression" dxfId="58" priority="78">
      <formula>INDIRECT(ADDRESS(ROW(),COLUMN()))=TRUNC(INDIRECT(ADDRESS(ROW(),COLUMN())))</formula>
    </cfRule>
  </conditionalFormatting>
  <conditionalFormatting sqref="AK4">
    <cfRule type="expression" dxfId="57" priority="75">
      <formula>INDIRECT(ADDRESS(ROW(),COLUMN(UNMT0020_B_ROW_KBN)))&lt;&gt;2</formula>
    </cfRule>
  </conditionalFormatting>
  <conditionalFormatting sqref="AK4">
    <cfRule type="expression" dxfId="56" priority="76">
      <formula>INDIRECT(ADDRESS(ROW(),COLUMN()))=TRUNC(INDIRECT(ADDRESS(ROW(),COLUMN())))</formula>
    </cfRule>
  </conditionalFormatting>
  <conditionalFormatting sqref="AM4">
    <cfRule type="expression" dxfId="55" priority="73">
      <formula>INDIRECT(ADDRESS(ROW(),COLUMN(UNMT0020_B_ROW_KBN)))&lt;&gt;2</formula>
    </cfRule>
  </conditionalFormatting>
  <conditionalFormatting sqref="AM4">
    <cfRule type="expression" dxfId="54" priority="74">
      <formula>INDIRECT(ADDRESS(ROW(),COLUMN()))=TRUNC(INDIRECT(ADDRESS(ROW(),COLUMN())))</formula>
    </cfRule>
  </conditionalFormatting>
  <conditionalFormatting sqref="AQ4">
    <cfRule type="expression" dxfId="53" priority="71">
      <formula>INDIRECT(ADDRESS(ROW(),COLUMN(UNMT0020_B_ROW_KBN)))&lt;&gt;2</formula>
    </cfRule>
  </conditionalFormatting>
  <conditionalFormatting sqref="AQ4">
    <cfRule type="expression" dxfId="52" priority="72">
      <formula>INDIRECT(ADDRESS(ROW(),COLUMN()))=TRUNC(INDIRECT(ADDRESS(ROW(),COLUMN())))</formula>
    </cfRule>
  </conditionalFormatting>
  <conditionalFormatting sqref="AS4:AT4">
    <cfRule type="expression" dxfId="51" priority="67">
      <formula>INDIRECT(ADDRESS(ROW(),COLUMN(UNMT0020_B_ROW_KBN)))&lt;&gt;2</formula>
    </cfRule>
  </conditionalFormatting>
  <conditionalFormatting sqref="AT4">
    <cfRule type="expression" dxfId="50" priority="68">
      <formula>INDIRECT(ADDRESS(ROW(),COLUMN()))=TRUNC(INDIRECT(ADDRESS(ROW(),COLUMN())))</formula>
    </cfRule>
  </conditionalFormatting>
  <conditionalFormatting sqref="AR4">
    <cfRule type="expression" dxfId="49" priority="69">
      <formula>INDIRECT(ADDRESS(ROW(),COLUMN(UNMT0020_B_ROW_KBN)))&lt;&gt;2</formula>
    </cfRule>
  </conditionalFormatting>
  <conditionalFormatting sqref="AR4">
    <cfRule type="expression" dxfId="48" priority="70">
      <formula>INDIRECT(ADDRESS(ROW(),COLUMN()))=TRUNC(INDIRECT(ADDRESS(ROW(),COLUMN())))</formula>
    </cfRule>
  </conditionalFormatting>
  <conditionalFormatting sqref="AH16">
    <cfRule type="expression" dxfId="47" priority="61">
      <formula>INDIRECT(ADDRESS(ROW(),COLUMN(UNMT0020_B_ROW_KBN)))&lt;&gt;2</formula>
    </cfRule>
  </conditionalFormatting>
  <conditionalFormatting sqref="AH16">
    <cfRule type="expression" dxfId="46" priority="62">
      <formula>INDIRECT(ADDRESS(ROW(),COLUMN()))=TRUNC(INDIRECT(ADDRESS(ROW(),COLUMN())))</formula>
    </cfRule>
  </conditionalFormatting>
  <conditionalFormatting sqref="AF16">
    <cfRule type="expression" dxfId="45" priority="63">
      <formula>INDIRECT(ADDRESS(ROW(),COLUMN(UNMT0020_B_ROW_KBN)))&lt;&gt;2</formula>
    </cfRule>
  </conditionalFormatting>
  <conditionalFormatting sqref="AF16">
    <cfRule type="expression" dxfId="44" priority="64">
      <formula>INDIRECT(ADDRESS(ROW(),COLUMN()))=TRUNC(INDIRECT(ADDRESS(ROW(),COLUMN())))</formula>
    </cfRule>
  </conditionalFormatting>
  <conditionalFormatting sqref="AK16">
    <cfRule type="expression" dxfId="43" priority="59">
      <formula>INDIRECT(ADDRESS(ROW(),COLUMN(UNMT0020_B_ROW_KBN)))&lt;&gt;2</formula>
    </cfRule>
  </conditionalFormatting>
  <conditionalFormatting sqref="AK16">
    <cfRule type="expression" dxfId="42" priority="60">
      <formula>INDIRECT(ADDRESS(ROW(),COLUMN()))=TRUNC(INDIRECT(ADDRESS(ROW(),COLUMN())))</formula>
    </cfRule>
  </conditionalFormatting>
  <conditionalFormatting sqref="AM16">
    <cfRule type="expression" dxfId="41" priority="57">
      <formula>INDIRECT(ADDRESS(ROW(),COLUMN(UNMT0020_B_ROW_KBN)))&lt;&gt;2</formula>
    </cfRule>
  </conditionalFormatting>
  <conditionalFormatting sqref="AM16">
    <cfRule type="expression" dxfId="40" priority="58">
      <formula>INDIRECT(ADDRESS(ROW(),COLUMN()))=TRUNC(INDIRECT(ADDRESS(ROW(),COLUMN())))</formula>
    </cfRule>
  </conditionalFormatting>
  <conditionalFormatting sqref="AK28">
    <cfRule type="expression" dxfId="39" priority="43">
      <formula>INDIRECT(ADDRESS(ROW(),COLUMN(UNMT0020_B_ROW_KBN)))&lt;&gt;2</formula>
    </cfRule>
  </conditionalFormatting>
  <conditionalFormatting sqref="AK28">
    <cfRule type="expression" dxfId="38" priority="44">
      <formula>INDIRECT(ADDRESS(ROW(),COLUMN()))=TRUNC(INDIRECT(ADDRESS(ROW(),COLUMN())))</formula>
    </cfRule>
  </conditionalFormatting>
  <conditionalFormatting sqref="AM28">
    <cfRule type="expression" dxfId="37" priority="41">
      <formula>INDIRECT(ADDRESS(ROW(),COLUMN(UNMT0020_B_ROW_KBN)))&lt;&gt;2</formula>
    </cfRule>
  </conditionalFormatting>
  <conditionalFormatting sqref="AM28">
    <cfRule type="expression" dxfId="36" priority="42">
      <formula>INDIRECT(ADDRESS(ROW(),COLUMN()))=TRUNC(INDIRECT(ADDRESS(ROW(),COLUMN())))</formula>
    </cfRule>
  </conditionalFormatting>
  <conditionalFormatting sqref="AI28">
    <cfRule type="expression" dxfId="35" priority="49">
      <formula>INDIRECT(ADDRESS(ROW(),COLUMN(UNMT0020_B_ROW_KBN)))&lt;&gt;2</formula>
    </cfRule>
  </conditionalFormatting>
  <conditionalFormatting sqref="AI28">
    <cfRule type="expression" dxfId="34" priority="50">
      <formula>INDIRECT(ADDRESS(ROW(),COLUMN()))=TRUNC(INDIRECT(ADDRESS(ROW(),COLUMN())))</formula>
    </cfRule>
  </conditionalFormatting>
  <conditionalFormatting sqref="AF28">
    <cfRule type="expression" dxfId="33" priority="47">
      <formula>INDIRECT(ADDRESS(ROW(),COLUMN(UNMT0020_B_ROW_KBN)))&lt;&gt;2</formula>
    </cfRule>
  </conditionalFormatting>
  <conditionalFormatting sqref="AF28">
    <cfRule type="expression" dxfId="32" priority="48">
      <formula>INDIRECT(ADDRESS(ROW(),COLUMN()))=TRUNC(INDIRECT(ADDRESS(ROW(),COLUMN())))</formula>
    </cfRule>
  </conditionalFormatting>
  <conditionalFormatting sqref="AH28">
    <cfRule type="expression" dxfId="31" priority="45">
      <formula>INDIRECT(ADDRESS(ROW(),COLUMN(UNMT0020_B_ROW_KBN)))&lt;&gt;2</formula>
    </cfRule>
  </conditionalFormatting>
  <conditionalFormatting sqref="AH28">
    <cfRule type="expression" dxfId="30" priority="46">
      <formula>INDIRECT(ADDRESS(ROW(),COLUMN()))=TRUNC(INDIRECT(ADDRESS(ROW(),COLUMN())))</formula>
    </cfRule>
  </conditionalFormatting>
  <conditionalFormatting sqref="AI10">
    <cfRule type="expression" dxfId="29" priority="33">
      <formula>INDIRECT(ADDRESS(ROW(),COLUMN(UNMT0020_B_ROW_KBN)))&lt;&gt;2</formula>
    </cfRule>
  </conditionalFormatting>
  <conditionalFormatting sqref="AI10">
    <cfRule type="expression" dxfId="28" priority="34">
      <formula>INDIRECT(ADDRESS(ROW(),COLUMN()))=TRUNC(INDIRECT(ADDRESS(ROW(),COLUMN())))</formula>
    </cfRule>
  </conditionalFormatting>
  <conditionalFormatting sqref="AI19">
    <cfRule type="expression" dxfId="27" priority="29">
      <formula>INDIRECT(ADDRESS(ROW(),COLUMN(UNMT0020_B_ROW_KBN)))&lt;&gt;2</formula>
    </cfRule>
  </conditionalFormatting>
  <conditionalFormatting sqref="AI19">
    <cfRule type="expression" dxfId="26" priority="30">
      <formula>INDIRECT(ADDRESS(ROW(),COLUMN()))=TRUNC(INDIRECT(ADDRESS(ROW(),COLUMN())))</formula>
    </cfRule>
  </conditionalFormatting>
  <conditionalFormatting sqref="AI12">
    <cfRule type="expression" dxfId="25" priority="31">
      <formula>INDIRECT(ADDRESS(ROW(),COLUMN(UNMT0020_B_ROW_KBN)))&lt;&gt;2</formula>
    </cfRule>
  </conditionalFormatting>
  <conditionalFormatting sqref="AI12">
    <cfRule type="expression" dxfId="24" priority="32">
      <formula>INDIRECT(ADDRESS(ROW(),COLUMN()))=TRUNC(INDIRECT(ADDRESS(ROW(),COLUMN())))</formula>
    </cfRule>
  </conditionalFormatting>
  <conditionalFormatting sqref="AI16">
    <cfRule type="expression" dxfId="23" priority="27">
      <formula>INDIRECT(ADDRESS(ROW(),COLUMN(UNMT0020_B_ROW_KBN)))&lt;&gt;2</formula>
    </cfRule>
  </conditionalFormatting>
  <conditionalFormatting sqref="AI16">
    <cfRule type="expression" dxfId="22" priority="28">
      <formula>INDIRECT(ADDRESS(ROW(),COLUMN()))=TRUNC(INDIRECT(ADDRESS(ROW(),COLUMN())))</formula>
    </cfRule>
  </conditionalFormatting>
  <conditionalFormatting sqref="AI34">
    <cfRule type="expression" dxfId="21" priority="25">
      <formula>INDIRECT(ADDRESS(ROW(),COLUMN(UNMT0020_B_ROW_KBN)))&lt;&gt;2</formula>
    </cfRule>
  </conditionalFormatting>
  <conditionalFormatting sqref="AI34">
    <cfRule type="expression" dxfId="20" priority="26">
      <formula>INDIRECT(ADDRESS(ROW(),COLUMN()))=TRUNC(INDIRECT(ADDRESS(ROW(),COLUMN())))</formula>
    </cfRule>
  </conditionalFormatting>
  <conditionalFormatting sqref="AL4">
    <cfRule type="expression" dxfId="19" priority="23">
      <formula>INDIRECT(ADDRESS(ROW(),COLUMN(UNMT0020_B_ROW_KBN)))&lt;&gt;2</formula>
    </cfRule>
  </conditionalFormatting>
  <conditionalFormatting sqref="AL4">
    <cfRule type="expression" dxfId="18" priority="24">
      <formula>INDIRECT(ADDRESS(ROW(),COLUMN()))=TRUNC(INDIRECT(ADDRESS(ROW(),COLUMN())))</formula>
    </cfRule>
  </conditionalFormatting>
  <conditionalFormatting sqref="AL28">
    <cfRule type="expression" dxfId="17" priority="17">
      <formula>INDIRECT(ADDRESS(ROW(),COLUMN(UNMT0020_B_ROW_KBN)))&lt;&gt;2</formula>
    </cfRule>
  </conditionalFormatting>
  <conditionalFormatting sqref="AL28">
    <cfRule type="expression" dxfId="16" priority="18">
      <formula>INDIRECT(ADDRESS(ROW(),COLUMN()))=TRUNC(INDIRECT(ADDRESS(ROW(),COLUMN())))</formula>
    </cfRule>
  </conditionalFormatting>
  <conditionalFormatting sqref="AL16">
    <cfRule type="expression" dxfId="15" priority="19">
      <formula>INDIRECT(ADDRESS(ROW(),COLUMN(UNMT0020_B_ROW_KBN)))&lt;&gt;2</formula>
    </cfRule>
  </conditionalFormatting>
  <conditionalFormatting sqref="AL16">
    <cfRule type="expression" dxfId="14" priority="20">
      <formula>INDIRECT(ADDRESS(ROW(),COLUMN()))=TRUNC(INDIRECT(ADDRESS(ROW(),COLUMN())))</formula>
    </cfRule>
  </conditionalFormatting>
  <conditionalFormatting sqref="AQ16">
    <cfRule type="expression" dxfId="13" priority="15">
      <formula>INDIRECT(ADDRESS(ROW(),COLUMN(UNMT0020_B_ROW_KBN)))&lt;&gt;2</formula>
    </cfRule>
  </conditionalFormatting>
  <conditionalFormatting sqref="AQ16">
    <cfRule type="expression" dxfId="12" priority="16">
      <formula>INDIRECT(ADDRESS(ROW(),COLUMN()))=TRUNC(INDIRECT(ADDRESS(ROW(),COLUMN())))</formula>
    </cfRule>
  </conditionalFormatting>
  <conditionalFormatting sqref="AT16">
    <cfRule type="expression" dxfId="11" priority="11">
      <formula>INDIRECT(ADDRESS(ROW(),COLUMN(UNMT0020_B_ROW_KBN)))&lt;&gt;2</formula>
    </cfRule>
  </conditionalFormatting>
  <conditionalFormatting sqref="AT16">
    <cfRule type="expression" dxfId="10" priority="12">
      <formula>INDIRECT(ADDRESS(ROW(),COLUMN()))=TRUNC(INDIRECT(ADDRESS(ROW(),COLUMN())))</formula>
    </cfRule>
  </conditionalFormatting>
  <conditionalFormatting sqref="AR16">
    <cfRule type="expression" dxfId="9" priority="13">
      <formula>INDIRECT(ADDRESS(ROW(),COLUMN(UNMT0020_B_ROW_KBN)))&lt;&gt;2</formula>
    </cfRule>
  </conditionalFormatting>
  <conditionalFormatting sqref="AR16">
    <cfRule type="expression" dxfId="8" priority="14">
      <formula>INDIRECT(ADDRESS(ROW(),COLUMN()))=TRUNC(INDIRECT(ADDRESS(ROW(),COLUMN())))</formula>
    </cfRule>
  </conditionalFormatting>
  <conditionalFormatting sqref="AQ28">
    <cfRule type="expression" dxfId="7" priority="9">
      <formula>INDIRECT(ADDRESS(ROW(),COLUMN(UNMT0020_B_ROW_KBN)))&lt;&gt;2</formula>
    </cfRule>
  </conditionalFormatting>
  <conditionalFormatting sqref="AQ28">
    <cfRule type="expression" dxfId="6" priority="10">
      <formula>INDIRECT(ADDRESS(ROW(),COLUMN()))=TRUNC(INDIRECT(ADDRESS(ROW(),COLUMN())))</formula>
    </cfRule>
  </conditionalFormatting>
  <conditionalFormatting sqref="AT28">
    <cfRule type="expression" dxfId="5" priority="5">
      <formula>INDIRECT(ADDRESS(ROW(),COLUMN(UNMT0020_B_ROW_KBN)))&lt;&gt;2</formula>
    </cfRule>
  </conditionalFormatting>
  <conditionalFormatting sqref="AT28">
    <cfRule type="expression" dxfId="4" priority="6">
      <formula>INDIRECT(ADDRESS(ROW(),COLUMN()))=TRUNC(INDIRECT(ADDRESS(ROW(),COLUMN())))</formula>
    </cfRule>
  </conditionalFormatting>
  <conditionalFormatting sqref="AR28">
    <cfRule type="expression" dxfId="3" priority="7">
      <formula>INDIRECT(ADDRESS(ROW(),COLUMN(UNMT0020_B_ROW_KBN)))&lt;&gt;2</formula>
    </cfRule>
  </conditionalFormatting>
  <conditionalFormatting sqref="AR28">
    <cfRule type="expression" dxfId="2" priority="8">
      <formula>INDIRECT(ADDRESS(ROW(),COLUMN()))=TRUNC(INDIRECT(ADDRESS(ROW(),COLUMN())))</formula>
    </cfRule>
  </conditionalFormatting>
  <conditionalFormatting sqref="AS16">
    <cfRule type="expression" dxfId="1" priority="2">
      <formula>INDIRECT(ADDRESS(ROW(),COLUMN(UNMT0020_B_ROW_KBN)))&lt;&gt;2</formula>
    </cfRule>
  </conditionalFormatting>
  <conditionalFormatting sqref="AS28">
    <cfRule type="expression" dxfId="0" priority="1">
      <formula>INDIRECT(ADDRESS(ROW(),COLUMN(UNMT0020_B_ROW_KBN)))&lt;&gt;2</formula>
    </cfRule>
  </conditionalFormatting>
  <dataValidations count="20">
    <dataValidation type="custom" allowBlank="1" showInputMessage="1" showErrorMessage="1" sqref="N44:U45">
      <formula1>LENB(N44)&lt;101</formula1>
    </dataValidation>
    <dataValidation type="custom" allowBlank="1" showInputMessage="1" showErrorMessage="1" sqref="N38:Q38 N42:Q42 N8:Q8 N23:Q23">
      <formula1>LENB(N8)&lt;51</formula1>
    </dataValidation>
    <dataValidation type="custom" allowBlank="1" showInputMessage="1" showErrorMessage="1" sqref="T41:U42 N37 N22 N7">
      <formula1>AND(LEN(N7)=LENB(N7),LENB(N7)&lt;11)</formula1>
    </dataValidation>
    <dataValidation type="custom" allowBlank="1" showInputMessage="1" showErrorMessage="1" sqref="N43">
      <formula1>AND(LEN(N43)=LENB(N43),LENB(N43)&lt;8)</formula1>
    </dataValidation>
    <dataValidation type="custom" allowBlank="1" showInputMessage="1" showErrorMessage="1" sqref="N39:P39 T43:U43 T33 T18 T3">
      <formula1>LENB(N3)&lt;41</formula1>
    </dataValidation>
    <dataValidation type="custom" allowBlank="1" showInputMessage="1" showErrorMessage="1" sqref="N33 N18 N3">
      <formula1>LENB(N3)&lt;21</formula1>
    </dataValidation>
    <dataValidation type="list" allowBlank="1" showInputMessage="1" showErrorMessage="1" sqref="Q32 Q17 Q2">
      <formula1>UNJC1030_IF_LIST_SHOHIN_KBN</formula1>
    </dataValidation>
    <dataValidation type="custom" allowBlank="1" showInputMessage="1" showErrorMessage="1" sqref="N12:Q12 N27:Q27">
      <formula1>LEN(N12)&lt;51</formula1>
    </dataValidation>
    <dataValidation type="custom" allowBlank="1" showInputMessage="1" showErrorMessage="1" sqref="AH4 AH16 AH28 AL16 AL4 AL28">
      <formula1>AND(NOT(ISERROR(INT(AH4))),ROUND(AH4,2)=AH4,AND(AH4&lt;10000000,AH4&gt;-10000000))</formula1>
    </dataValidation>
    <dataValidation type="custom" allowBlank="1" showInputMessage="1" showErrorMessage="1" sqref="AF4 AF16 AF28 AO4 AO16 AO28">
      <formula1>AND(NOT(ISERROR(INT(AF4))),ROUND(AF4,2)=AF4,AND(AF4&lt;100000,AF4&gt;-100000))</formula1>
    </dataValidation>
    <dataValidation type="custom" allowBlank="1" showInputMessage="1" showErrorMessage="1" sqref="AJ4 AJ16 AJ28">
      <formula1>LENB(AJ4)&lt;=50</formula1>
    </dataValidation>
    <dataValidation type="custom" allowBlank="1" showInputMessage="1" showErrorMessage="1" sqref="AG4 AN4 AP4 AG16 AP28 AP16 AG28 AN16 AN28">
      <formula1>LENB(AG4)&lt;=10</formula1>
    </dataValidation>
    <dataValidation type="custom" allowBlank="1" showInputMessage="1" showErrorMessage="1" sqref="AE4 AE16 AE28">
      <formula1>LEN(AE4)&lt;=50</formula1>
    </dataValidation>
    <dataValidation type="textLength" operator="lessThanOrEqual" allowBlank="1" showInputMessage="1" showErrorMessage="1" sqref="AE7 AE19 AE31">
      <formula1>100</formula1>
    </dataValidation>
    <dataValidation type="list" allowBlank="1" showInputMessage="1" showErrorMessage="1" sqref="Q4 Q34 Q19">
      <formula1>UNJC1030_IF_LIST_DEMPYO_HAKKO_KBN</formula1>
    </dataValidation>
    <dataValidation type="custom" allowBlank="1" showInputMessage="1" showErrorMessage="1" sqref="N13 N28">
      <formula1>AND(LEN(N13)=LENB(N13),LENB(N13)&lt;=8)</formula1>
    </dataValidation>
    <dataValidation type="custom" allowBlank="1" showInputMessage="1" showErrorMessage="1" sqref="T11:U12 T26:U27">
      <formula1>AND(LEN(T11)=LENB(T11),LENB(T11)&lt;=13)</formula1>
    </dataValidation>
    <dataValidation type="custom" allowBlank="1" showInputMessage="1" showErrorMessage="1" sqref="T7:W8 N14:U15 T22:W23 N29:U30">
      <formula1>LENB(N7)&lt;=100</formula1>
    </dataValidation>
    <dataValidation type="custom" allowBlank="1" showInputMessage="1" showErrorMessage="1" sqref="N9:P9 T13:U13 N24:P24 T28:U28">
      <formula1>LENB(N9)&lt;=40</formula1>
    </dataValidation>
    <dataValidation type="date" allowBlank="1" showInputMessage="1" showErrorMessage="1" sqref="N5 N20">
      <formula1>36526</formula1>
      <formula2>73415</formula2>
    </dataValidation>
  </dataValidation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B1:I20"/>
  <sheetViews>
    <sheetView zoomScaleNormal="100" workbookViewId="0">
      <pane ySplit="3" topLeftCell="A4" activePane="bottomLeft" state="frozen"/>
      <selection pane="bottomLeft" activeCell="I8" sqref="I8"/>
    </sheetView>
  </sheetViews>
  <sheetFormatPr defaultRowHeight="13.5"/>
  <cols>
    <col min="3" max="3" width="33.125" style="67" bestFit="1" customWidth="1"/>
    <col min="4" max="4" width="37.75" style="67" bestFit="1" customWidth="1"/>
    <col min="5" max="5" width="44.125" customWidth="1"/>
    <col min="7" max="7" width="28.625" bestFit="1" customWidth="1"/>
    <col min="8" max="8" width="32.125" bestFit="1" customWidth="1"/>
    <col min="9" max="9" width="30.25" customWidth="1"/>
  </cols>
  <sheetData>
    <row r="1" spans="2:9" s="125" customFormat="1">
      <c r="C1" s="67" t="s">
        <v>338</v>
      </c>
      <c r="D1" s="67" t="s">
        <v>339</v>
      </c>
      <c r="E1" s="60">
        <f>UNJC1030_IF_JURI_NO</f>
        <v>0</v>
      </c>
    </row>
    <row r="2" spans="2:9" s="229" customFormat="1">
      <c r="C2" s="233" t="s">
        <v>2201</v>
      </c>
      <c r="D2" s="233" t="s">
        <v>713</v>
      </c>
      <c r="E2" s="236">
        <f>UNJC1030_IF_MITSU_NO</f>
        <v>0</v>
      </c>
    </row>
    <row r="3" spans="2:9" s="125" customFormat="1">
      <c r="C3" s="100"/>
      <c r="D3" s="100"/>
    </row>
    <row r="4" spans="2:9" s="229" customFormat="1">
      <c r="C4" s="239" t="s">
        <v>720</v>
      </c>
      <c r="D4" s="233" t="s">
        <v>721</v>
      </c>
      <c r="E4" s="236" t="str">
        <f>IF(AND(UNJC1030_IF_MODE=1,UNJC1030_IF_SANSHO_FLG=1),UNJC1030_SQL_HAN_JUCHU_H_SANSHO,
IF(UNJC1030_IF_MITSU_FLG=1,UNJC1030_SQL_HAN_JUCHU_H_MITSU,
UNJC1030_SQL_HAN_JUCHU_H))</f>
        <v>SELECT *
  FROM V_HAN_JUCHU_H
WHERE V_HAN_JUCHU_H.JURI_NO = '0'</v>
      </c>
    </row>
    <row r="5" spans="2:9" s="125" customFormat="1" ht="15" customHeight="1">
      <c r="C5" s="239" t="s">
        <v>534</v>
      </c>
      <c r="D5" s="67" t="s">
        <v>481</v>
      </c>
      <c r="E5" s="269" t="str">
        <f>"SELECT *
  FROM V_HAN_JUCHU_H
WHERE V_HAN_JUCHU_H.JURI_NO = '"&amp;UNJC1030_SQL_JURI_NO&amp;"'"</f>
        <v>SELECT *
  FROM V_HAN_JUCHU_H
WHERE V_HAN_JUCHU_H.JURI_NO = '0'</v>
      </c>
      <c r="G5" s="239" t="s">
        <v>628</v>
      </c>
      <c r="H5" s="233" t="s">
        <v>629</v>
      </c>
      <c r="I5" s="236" t="str">
        <f>"SELECT *
  FROM V_HAN_JUCHU_SHIYAKU_DATA
 WHERE V_HAN_JUCHU_SHIYAKU_DATA.JURI_NO = '"&amp;UNJC1030_SQL_JURI_NO&amp;"'
"</f>
        <v xml:space="preserve">SELECT *
  FROM V_HAN_JUCHU_SHIYAKU_DATA
 WHERE V_HAN_JUCHU_SHIYAKU_DATA.JURI_NO = '0'
</v>
      </c>
    </row>
    <row r="6" spans="2:9" s="125" customFormat="1" ht="15" customHeight="1">
      <c r="C6" s="239" t="s">
        <v>535</v>
      </c>
      <c r="D6" s="67" t="s">
        <v>4406</v>
      </c>
      <c r="E6" s="269" t="str">
        <f>"SELECT *
  FROM V_HAN_JUCHU_H_SANSHO
WHERE V_HAN_JUCHU_H_SANSHO.REF_JURI_NO = '"&amp;UNJC1030_SQL_JURI_NO&amp;"'"</f>
        <v>SELECT *
  FROM V_HAN_JUCHU_H_SANSHO
WHERE V_HAN_JUCHU_H_SANSHO.REF_JURI_NO = '0'</v>
      </c>
      <c r="G6" s="239" t="s">
        <v>630</v>
      </c>
      <c r="H6" s="233" t="s">
        <v>631</v>
      </c>
      <c r="I6" s="238" t="str">
        <f>"SELECT *
  FROM V_HAN_JUCHU_DOKU_DATA
 WHERE V_HAN_JUCHU_DOKU_DATA.JURI_NO = '"&amp;UNJC1030_SQL_JURI_NO&amp;"'
"</f>
        <v xml:space="preserve">SELECT *
  FROM V_HAN_JUCHU_DOKU_DATA
 WHERE V_HAN_JUCHU_DOKU_DATA.JURI_NO = '0'
</v>
      </c>
    </row>
    <row r="7" spans="2:9" s="125" customFormat="1" ht="15" customHeight="1">
      <c r="C7" s="239" t="s">
        <v>708</v>
      </c>
      <c r="D7" s="233" t="s">
        <v>709</v>
      </c>
      <c r="E7" s="269" t="str">
        <f>"SELECT *
  FROM V_HAN_JUCHU_H_MITSU
WHERE V_HAN_JUCHU_H_MITSU.MITSU_NO = '"&amp;UNJC1030_SQL_MITSU_NO&amp;"'"</f>
        <v>SELECT *
  FROM V_HAN_JUCHU_H_MITSU
WHERE V_HAN_JUCHU_H_MITSU.MITSU_NO = '0'</v>
      </c>
      <c r="H7" s="253"/>
    </row>
    <row r="8" spans="2:9" s="125" customFormat="1" ht="15" customHeight="1">
      <c r="C8" s="233"/>
      <c r="D8" s="233"/>
      <c r="E8" s="229"/>
      <c r="G8" s="237" t="s">
        <v>678</v>
      </c>
      <c r="H8" s="233" t="s">
        <v>679</v>
      </c>
      <c r="I8" s="238" t="s">
        <v>4366</v>
      </c>
    </row>
    <row r="9" spans="2:9" s="125" customFormat="1" ht="15" customHeight="1">
      <c r="C9" s="239" t="s">
        <v>719</v>
      </c>
      <c r="D9" s="233" t="s">
        <v>722</v>
      </c>
      <c r="E9" s="236" t="str">
        <f>IF(AND(UNJC1030_IF_MODE=1,UNJC1030_IF_SANSHO_FLG=1),UNJC1030_SQL_HAN_JUCHU_B_SANSHO,
IF(UNJC1030_IF_MITSU_FLG=1,UNJC1030_SQL_HAN_JUCHU_B_MITSU,
UNJC1030_SQL_HAN_JUCHU_B))</f>
        <v>SELECT *
  FROM V_HAN_JUCHU_B
 WHERE V_HAN_JUCHU_B.JURI_NO = '0'</v>
      </c>
    </row>
    <row r="10" spans="2:9" s="125" customFormat="1" ht="15" customHeight="1">
      <c r="B10"/>
      <c r="C10" s="239" t="s">
        <v>536</v>
      </c>
      <c r="D10" s="173" t="s">
        <v>537</v>
      </c>
      <c r="E10" s="269" t="str">
        <f>"SELECT *
  FROM V_HAN_JUCHU_B
 WHERE V_HAN_JUCHU_B.JURI_NO = '"&amp;UNJC1030_SQL_JURI_NO&amp;"'"</f>
        <v>SELECT *
  FROM V_HAN_JUCHU_B
 WHERE V_HAN_JUCHU_B.JURI_NO = '0'</v>
      </c>
      <c r="F10"/>
    </row>
    <row r="11" spans="2:9" s="970" customFormat="1" ht="15" customHeight="1">
      <c r="C11" s="239" t="s">
        <v>4405</v>
      </c>
      <c r="D11" s="280" t="s">
        <v>4408</v>
      </c>
      <c r="E11" s="269" t="str">
        <f>"SELECT *
  FROM V_HAN_JUCHU_B_SANSHO
 WHERE V_HAN_JUCHU_B_SANSHO.JURI_NO = '"&amp;UNJC1030_SQL_JURI_NO&amp;"'"</f>
        <v>SELECT *
  FROM V_HAN_JUCHU_B_SANSHO
 WHERE V_HAN_JUCHU_B_SANSHO.JURI_NO = '0'</v>
      </c>
    </row>
    <row r="12" spans="2:9" ht="15" customHeight="1">
      <c r="C12" s="239" t="s">
        <v>710</v>
      </c>
      <c r="D12" s="233" t="s">
        <v>4407</v>
      </c>
      <c r="E12" s="269" t="str">
        <f>"SELECT *
  FROM V_HAN_JUCHU_B_MITSU
 WHERE V_HAN_JUCHU_B_MITSU.JURI_NO = '"&amp;UNJC1030_SQL_MITSU_NO&amp;"'"</f>
        <v>SELECT *
  FROM V_HAN_JUCHU_B_MITSU
 WHERE V_HAN_JUCHU_B_MITSU.JURI_NO = '0'</v>
      </c>
    </row>
    <row r="13" spans="2:9" ht="15" customHeight="1">
      <c r="C13" s="100"/>
      <c r="D13" s="100"/>
      <c r="E13" s="125"/>
    </row>
    <row r="14" spans="2:9" ht="15" customHeight="1">
      <c r="C14" s="239" t="s">
        <v>284</v>
      </c>
      <c r="D14" s="67" t="s">
        <v>285</v>
      </c>
      <c r="E14" s="61" t="s">
        <v>286</v>
      </c>
    </row>
    <row r="15" spans="2:9" ht="15" customHeight="1"/>
    <row r="16" spans="2:9" ht="15" customHeight="1">
      <c r="C16" s="211" t="s">
        <v>580</v>
      </c>
      <c r="D16" s="212" t="s">
        <v>581</v>
      </c>
      <c r="E16" s="213" t="str">
        <f ca="1">IF(UNJC1030_H_JUCHU_DATE="",
"SELECT CASE
       WHEN M_CONTROL.TAX_1_DATE &gt; M_CONTROL.TAX_2_DATE THEN
            CASE
            WHEN M_CONTROL.TAX_1_DATE &gt; CONVERT(VARCHAR(10), GETDATE(),111) THEN"&amp;"
                 M_CONTROL.TAX_2
            ELSE
                 M_CONTROL.TAX_1
            END"&amp;"
       ELSE
            CASE
            WHEN M_CONTROL.TAX_2_DATE &gt; CONVERT(VARCHAR(10), GETDATE(),111) THEN"&amp;"
                 M_CONTROL.TAX_1
            ELSE
                 M_CONTROL.TAX_2
            END
       END
  FROM M_CONTROL
 WHERE M_CONTROL.CTRL_KEY = 1",
"SELECT CASE
       WHEN M_CONTROL.TAX_1_DATE &gt; M_CONTROL.TAX_2_DATE THEN
            CASE
            WHEN M_CONTROL.TAX_1_DATE &gt; CONVERT(VARCHAR(10), '"&amp;TEXT(UNJC1030_H_JUCHU_DATE,"YYYY/MM/DD")&amp;"',111) THEN
                 M_CONTROL.TAX_2
            ELSE
                 M_CONTROL.TAX_1
            END"&amp;"
       ELSE
            CASE
            WHEN M_CONTROL.TAX_2_DATE &gt; CONVERT(VARCHAR(10), '"&amp;TEXT(UNJC1030_H_JUCHU_DATE,"YYYY/MM/DD")&amp;"',111) THEN
                 M_CONTROL.TAX_1
            ELSE
                 M_CONTROL.TAX_2
            END
       END
  FROM M_CONTROL
 WHERE M_CONTROL.CTRL_KEY = 1")</f>
        <v>SELECT CASE
       WHEN M_CONTROL.TAX_1_DATE &gt; M_CONTROL.TAX_2_DATE THEN
            CASE
            WHEN M_CONTROL.TAX_1_DATE &gt; CONVERT(VARCHAR(10), '2017/09/27',111) THEN
                 M_CONTROL.TAX_2
            ELSE
                 M_CONTROL.TAX_1
            END
       ELSE
            CASE
            WHEN M_CONTROL.TAX_2_DATE &gt; CONVERT(VARCHAR(10), '2017/09/27',111) THEN
                 M_CONTROL.TAX_1
            ELSE
                 M_CONTROL.TAX_2
            END
       END
  FROM M_CONTROL
 WHERE M_CONTROL.CTRL_KEY = 1</v>
      </c>
    </row>
    <row r="17" spans="3:5" ht="15" customHeight="1">
      <c r="C17" s="203"/>
      <c r="D17" s="203"/>
      <c r="E17" s="203"/>
    </row>
    <row r="18" spans="3:5" ht="15" customHeight="1">
      <c r="C18" s="262" t="s">
        <v>664</v>
      </c>
      <c r="D18" s="263" t="s">
        <v>667</v>
      </c>
      <c r="E18" s="266" t="str">
        <f>"SELECT M_SHAIN.SHAIN_CD     AS SHAIN_CD
      ,M_SHAIN.SHIMEI       AS SHIMEI 
  FROM M_SHAIN
WHERE M_SHAIN.SHAIN_CD ="  &amp; "'" &amp; UNJC1030_IF_W_USER_ID &amp; "'"</f>
        <v>SELECT M_SHAIN.SHAIN_CD     AS SHAIN_CD
      ,M_SHAIN.SHIMEI       AS SHIMEI 
  FROM M_SHAIN
WHERE M_SHAIN.SHAIN_CD =''</v>
      </c>
    </row>
    <row r="19" spans="3:5" ht="20.25" customHeight="1">
      <c r="C19" s="203"/>
      <c r="D19" s="203"/>
      <c r="E19" s="203"/>
    </row>
    <row r="20" spans="3:5" ht="18" customHeight="1">
      <c r="C20" s="264" t="s">
        <v>665</v>
      </c>
      <c r="D20" s="265" t="s">
        <v>666</v>
      </c>
      <c r="E20" s="266" t="s">
        <v>4369</v>
      </c>
    </row>
  </sheetData>
  <phoneticPr fontId="2"/>
  <pageMargins left="0.7" right="0.7" top="0.75" bottom="0.75" header="0.3" footer="0.3"/>
  <pageSetup paperSize="9" orientation="portrait" verticalDpi="0"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39997558519241921"/>
    <pageSetUpPr fitToPage="1"/>
  </sheetPr>
  <dimension ref="A1:J68"/>
  <sheetViews>
    <sheetView zoomScaleNormal="100" zoomScaleSheetLayoutView="85" workbookViewId="0">
      <selection sqref="A1:B2"/>
    </sheetView>
  </sheetViews>
  <sheetFormatPr defaultRowHeight="13.5"/>
  <cols>
    <col min="1" max="1" width="24.875" style="537" customWidth="1"/>
    <col min="2" max="2" width="17.875" style="537" customWidth="1"/>
    <col min="3" max="3" width="8.375" style="537" customWidth="1"/>
    <col min="4" max="5" width="4.75" style="537" customWidth="1"/>
    <col min="6" max="8" width="9.375" style="537" customWidth="1"/>
    <col min="9" max="9" width="15.875" style="537" customWidth="1"/>
    <col min="10" max="16384" width="9" style="537"/>
  </cols>
  <sheetData>
    <row r="1" spans="1:10" ht="16.5" customHeight="1">
      <c r="A1" s="1889" t="s">
        <v>556</v>
      </c>
      <c r="B1" s="1889"/>
      <c r="H1" s="1002" t="s">
        <v>25</v>
      </c>
      <c r="I1" s="537" t="str">
        <f ca="1">IF(J5&gt;UNJC1030_REPORT_SHIYAKU_IF_KENSU,"",
IF(OFFSET(UNJC1030_REPORT_SHIYAKU_IF_JURI_NO,J5,0)="","",
OFFSET(UNJC1030_REPORT_SHIYAKU_IF_JURI_NO,J5,0)))</f>
        <v/>
      </c>
    </row>
    <row r="2" spans="1:10" ht="16.5" customHeight="1">
      <c r="A2" s="1889"/>
      <c r="B2" s="1889"/>
      <c r="H2" s="1002" t="s">
        <v>553</v>
      </c>
      <c r="I2" s="1003">
        <f ca="1">NOW()</f>
        <v>43005.636301041697</v>
      </c>
    </row>
    <row r="3" spans="1:10" ht="16.5" customHeight="1">
      <c r="H3" s="1002" t="s">
        <v>554</v>
      </c>
      <c r="I3" s="1004" t="str">
        <f>IF(UNJC1030_REPORT_SHIYAKU_IF_HAKKOSHA="","",UNJC1030_REPORT_SHIYAKU_IF_HAKKOSHA)</f>
        <v/>
      </c>
    </row>
    <row r="4" spans="1:10" ht="16.5" customHeight="1">
      <c r="A4" s="1194" t="s">
        <v>550</v>
      </c>
      <c r="B4" s="1886" t="s">
        <v>558</v>
      </c>
      <c r="C4" s="1887"/>
      <c r="D4" s="1888"/>
      <c r="E4" s="1194" t="s">
        <v>43</v>
      </c>
      <c r="F4" s="1006" t="s">
        <v>551</v>
      </c>
      <c r="G4" s="1006" t="s">
        <v>552</v>
      </c>
      <c r="H4" s="1006" t="s">
        <v>3574</v>
      </c>
      <c r="I4" s="1006" t="s">
        <v>1</v>
      </c>
      <c r="J4" s="1006" t="s">
        <v>644</v>
      </c>
    </row>
    <row r="5" spans="1:10" ht="63.75" customHeight="1">
      <c r="A5" s="1007" t="str">
        <f ca="1">IF(J5&gt;UNJC1030_REPORT_SHIYAKU_IF_KENSU,"",
IF(OFFSET(UNJC1030_REPORT_SHIYAKU_IF_SEIKYUSAKI_MEI,J5,0)="","",
OFFSET(UNJC1030_REPORT_SHIYAKU_IF_SEIKYUSAKI_MEI,J5,0))&amp;"　"&amp;
IF(OFFSET(UNJC1030_REPORT_SHIYAKU_IF_TANTO_MEI,J5,0)="","",
OFFSET(UNJC1030_REPORT_SHIYAKU_IF_TANTO_MEI,J5,0)))</f>
        <v/>
      </c>
      <c r="B5" s="1882" t="str">
        <f ca="1">IF(J5&gt;UNJC1030_REPORT_SHIYAKU_IF_KENSU,"",
IF(OFFSET(UNJC1030_REPORT_SHIYAKU_IF_SHIYAKU_MEI,J5,0)="","",
OFFSET(UNJC1030_REPORT_SHIYAKU_IF_SHIYAKU_MEI,J5,0)))</f>
        <v/>
      </c>
      <c r="C5" s="1883"/>
      <c r="D5" s="1884"/>
      <c r="E5" s="1008" t="str">
        <f ca="1">IF(J5&gt;UNJC1030_REPORT_SHIYAKU_IF_KENSU,"",
IF(OFFSET(UNJC1030_REPORT_SHIYAKU_IF_DOKU,J5,0)="","",
OFFSET(UNJC1030_REPORT_SHIYAKU_IF_DOKU,J5,0)))</f>
        <v/>
      </c>
      <c r="F5" s="1009" t="str">
        <f ca="1">IF(J5&gt;UNJC1030_REPORT_SHIYAKU_IF_KENSU,"",
IF(OFFSET(UNJC1030_REPORT_SHIYAKU_IF_SURYO,J5,0)="","",
OFFSET(UNJC1030_REPORT_SHIYAKU_IF_SURYO,J5,0))&amp;
IF(OFFSET(UNJC1030_REPORT_SHIYAKU_IF_TANI,J5,0)="","",
OFFSET(UNJC1030_REPORT_SHIYAKU_IF_TANI,J5,0)))</f>
        <v/>
      </c>
      <c r="G5" s="1009" t="str">
        <f ca="1">IF(J5&gt;UNJC1030_REPORT_SHIYAKU_IF_KENSU,"",
IF(OFFSET(UNJC1030_REPORT_SHIYAKU_IF_IRISU,J5,0)="","",
OFFSET(UNJC1030_REPORT_SHIYAKU_IF_IRISU,J5,0))&amp;
IF(OFFSET(UNJC1030_REPORT_SHIYAKU_IF_BARA_TANI,J5,0)="","",
OFFSET(UNJC1030_REPORT_SHIYAKU_IF_BARA_TANI,J5,0)))</f>
        <v/>
      </c>
      <c r="H5" s="1010" t="str">
        <f ca="1">IF(J5&gt;UNJC1030_REPORT_SHIYAKU_IF_KENSU,"",
IF(OFFSET(UNJC1030_REPORT_SHIYAKU_IF_NOHIN_DATE,J5,0)="","",
OFFSET(UNJC1030_REPORT_SHIYAKU_IF_NOHIN_DATE,J5,0)))</f>
        <v/>
      </c>
      <c r="I5" s="1011" t="str">
        <f ca="1">IF(J5&gt;UNJC1030_REPORT_SHIYAKU_IF_KENSU,"",
IF(OFFSET(UNJC1030_REPORT_SHIYAKU_IF_TEKIYO,J5,0)="","",
OFFSET(UNJC1030_REPORT_SHIYAKU_IF_TEKIYO,J5,0)))</f>
        <v/>
      </c>
      <c r="J5" s="536">
        <f>1+MOD(ROW(),ROWS(UNJC1030_REPORT_SHIYAKU_IF_COPY_MOTO))-ROW(UNJC1030_REPORT_SHIYAKU_TOP_START)+
ROUNDDOWN(ROW()/ROWS(UNJC1030_REPORT_SHIYAKU_IF_COPY_MOTO),0)*UNJC1030_REPORT_SHIYAKU_IF_HYOJI_GYO_SU</f>
        <v>1</v>
      </c>
    </row>
    <row r="6" spans="1:10" ht="63.75" customHeight="1">
      <c r="A6" s="1007" t="str">
        <f ca="1">IF(J6&gt;UNJC1030_REPORT_SHIYAKU_IF_KENSU,"",
IF(OFFSET(UNJC1030_REPORT_SHIYAKU_IF_SEIKYUSAKI_MEI,J6,0)="","",
OFFSET(UNJC1030_REPORT_SHIYAKU_IF_SEIKYUSAKI_MEI,J6,0))&amp;"　"&amp;
IF(OFFSET(UNJC1030_REPORT_SHIYAKU_IF_TANTO_MEI,J6,0)="","",
OFFSET(UNJC1030_REPORT_SHIYAKU_IF_TANTO_MEI,J6,0)))</f>
        <v/>
      </c>
      <c r="B6" s="1882" t="str">
        <f ca="1">IF(J6&gt;UNJC1030_REPORT_SHIYAKU_IF_KENSU,"",
IF(OFFSET(UNJC1030_REPORT_SHIYAKU_IF_SHIYAKU_MEI,J6,0)="","",
OFFSET(UNJC1030_REPORT_SHIYAKU_IF_SHIYAKU_MEI,J6,0)))</f>
        <v/>
      </c>
      <c r="C6" s="1883"/>
      <c r="D6" s="1884"/>
      <c r="E6" s="1008" t="str">
        <f ca="1">IF(J6&gt;UNJC1030_REPORT_SHIYAKU_IF_KENSU,"",
IF(OFFSET(UNJC1030_REPORT_SHIYAKU_IF_DOKU,J6,0)="","",
OFFSET(UNJC1030_REPORT_SHIYAKU_IF_DOKU,J6,0)))</f>
        <v/>
      </c>
      <c r="F6" s="1009" t="str">
        <f ca="1">IF(J6&gt;UNJC1030_REPORT_SHIYAKU_IF_KENSU,"",
IF(OFFSET(UNJC1030_REPORT_SHIYAKU_IF_SURYO,J6,0)="","",
OFFSET(UNJC1030_REPORT_SHIYAKU_IF_SURYO,J6,0))&amp;
IF(OFFSET(UNJC1030_REPORT_SHIYAKU_IF_TANI,J6,0)="","",
OFFSET(UNJC1030_REPORT_SHIYAKU_IF_TANI,J6,0)))</f>
        <v/>
      </c>
      <c r="G6" s="1009" t="str">
        <f ca="1">IF(J6&gt;UNJC1030_REPORT_SHIYAKU_IF_KENSU,"",
IF(OFFSET(UNJC1030_REPORT_SHIYAKU_IF_IRISU,J6,0)="","",
OFFSET(UNJC1030_REPORT_SHIYAKU_IF_IRISU,J6,0))&amp;
IF(OFFSET(UNJC1030_REPORT_SHIYAKU_IF_BARA_TANI,J6,0)="","",
OFFSET(UNJC1030_REPORT_SHIYAKU_IF_BARA_TANI,J6,0)))</f>
        <v/>
      </c>
      <c r="H6" s="1010" t="str">
        <f ca="1">IF(J6&gt;UNJC1030_REPORT_SHIYAKU_IF_KENSU,"",
IF(OFFSET(UNJC1030_REPORT_SHIYAKU_IF_NOHIN_DATE,J6,0)="","",
OFFSET(UNJC1030_REPORT_SHIYAKU_IF_NOHIN_DATE,J6,0)))</f>
        <v/>
      </c>
      <c r="I6" s="1011" t="str">
        <f ca="1">IF(J6&gt;UNJC1030_REPORT_SHIYAKU_IF_KENSU,"",
IF(OFFSET(UNJC1030_REPORT_SHIYAKU_IF_TEKIYO,J6,0)="","",
OFFSET(UNJC1030_REPORT_SHIYAKU_IF_TEKIYO,J6,0)))</f>
        <v/>
      </c>
      <c r="J6" s="536">
        <f>1+MOD(ROW(),ROWS(UNJC1030_REPORT_SHIYAKU_IF_COPY_MOTO))-ROW(UNJC1030_REPORT_SHIYAKU_TOP_START)+
ROUNDDOWN(ROW()/ROWS(UNJC1030_REPORT_SHIYAKU_IF_COPY_MOTO),0)*UNJC1030_REPORT_SHIYAKU_IF_HYOJI_GYO_SU</f>
        <v>2</v>
      </c>
    </row>
    <row r="7" spans="1:10" ht="63.75" customHeight="1">
      <c r="A7" s="1007" t="str">
        <f ca="1">IF(J7&gt;UNJC1030_REPORT_SHIYAKU_IF_KENSU,"",
IF(OFFSET(UNJC1030_REPORT_SHIYAKU_IF_SEIKYUSAKI_MEI,J7,0)="","",
OFFSET(UNJC1030_REPORT_SHIYAKU_IF_SEIKYUSAKI_MEI,J7,0))&amp;"　"&amp;
IF(OFFSET(UNJC1030_REPORT_SHIYAKU_IF_TANTO_MEI,J7,0)="","",
OFFSET(UNJC1030_REPORT_SHIYAKU_IF_TANTO_MEI,J7,0)))</f>
        <v/>
      </c>
      <c r="B7" s="1882" t="str">
        <f ca="1">IF(J7&gt;UNJC1030_REPORT_SHIYAKU_IF_KENSU,"",
IF(OFFSET(UNJC1030_REPORT_SHIYAKU_IF_SHIYAKU_MEI,J7,0)="","",
OFFSET(UNJC1030_REPORT_SHIYAKU_IF_SHIYAKU_MEI,J7,0)))</f>
        <v/>
      </c>
      <c r="C7" s="1883"/>
      <c r="D7" s="1884"/>
      <c r="E7" s="1008" t="str">
        <f ca="1">IF(J7&gt;UNJC1030_REPORT_SHIYAKU_IF_KENSU,"",
IF(OFFSET(UNJC1030_REPORT_SHIYAKU_IF_DOKU,J7,0)="","",
OFFSET(UNJC1030_REPORT_SHIYAKU_IF_DOKU,J7,0)))</f>
        <v/>
      </c>
      <c r="F7" s="1009" t="str">
        <f ca="1">IF(J7&gt;UNJC1030_REPORT_SHIYAKU_IF_KENSU,"",
IF(OFFSET(UNJC1030_REPORT_SHIYAKU_IF_SURYO,J7,0)="","",
OFFSET(UNJC1030_REPORT_SHIYAKU_IF_SURYO,J7,0))&amp;
IF(OFFSET(UNJC1030_REPORT_SHIYAKU_IF_TANI,J7,0)="","",
OFFSET(UNJC1030_REPORT_SHIYAKU_IF_TANI,J7,0)))</f>
        <v/>
      </c>
      <c r="G7" s="1009" t="str">
        <f ca="1">IF(J7&gt;UNJC1030_REPORT_SHIYAKU_IF_KENSU,"",
IF(OFFSET(UNJC1030_REPORT_SHIYAKU_IF_IRISU,J7,0)="","",
OFFSET(UNJC1030_REPORT_SHIYAKU_IF_IRISU,J7,0))&amp;
IF(OFFSET(UNJC1030_REPORT_SHIYAKU_IF_BARA_TANI,J7,0)="","",
OFFSET(UNJC1030_REPORT_SHIYAKU_IF_BARA_TANI,J7,0)))</f>
        <v/>
      </c>
      <c r="H7" s="1010" t="str">
        <f ca="1">IF(J7&gt;UNJC1030_REPORT_SHIYAKU_IF_KENSU,"",
IF(OFFSET(UNJC1030_REPORT_SHIYAKU_IF_NOHIN_DATE,J7,0)="","",
OFFSET(UNJC1030_REPORT_SHIYAKU_IF_NOHIN_DATE,J7,0)))</f>
        <v/>
      </c>
      <c r="I7" s="1011" t="str">
        <f ca="1">IF(J7&gt;UNJC1030_REPORT_SHIYAKU_IF_KENSU,"",
IF(OFFSET(UNJC1030_REPORT_SHIYAKU_IF_TEKIYO,J7,0)="","",
OFFSET(UNJC1030_REPORT_SHIYAKU_IF_TEKIYO,J7,0)))</f>
        <v/>
      </c>
      <c r="J7" s="536">
        <f>1+MOD(ROW(),ROWS(UNJC1030_REPORT_SHIYAKU_IF_COPY_MOTO))-ROW(UNJC1030_REPORT_SHIYAKU_TOP_START)+
ROUNDDOWN(ROW()/ROWS(UNJC1030_REPORT_SHIYAKU_IF_COPY_MOTO),0)*UNJC1030_REPORT_SHIYAKU_IF_HYOJI_GYO_SU</f>
        <v>3</v>
      </c>
    </row>
    <row r="8" spans="1:10" ht="63.75" customHeight="1">
      <c r="A8" s="1007" t="str">
        <f ca="1">IF(J8&gt;UNJC1030_REPORT_SHIYAKU_IF_KENSU,"",
IF(OFFSET(UNJC1030_REPORT_SHIYAKU_IF_SEIKYUSAKI_MEI,J8,0)="","",
OFFSET(UNJC1030_REPORT_SHIYAKU_IF_SEIKYUSAKI_MEI,J8,0))&amp;"　"&amp;
IF(OFFSET(UNJC1030_REPORT_SHIYAKU_IF_TANTO_MEI,J8,0)="","",
OFFSET(UNJC1030_REPORT_SHIYAKU_IF_TANTO_MEI,J8,0)))</f>
        <v/>
      </c>
      <c r="B8" s="1882" t="str">
        <f ca="1">IF(J8&gt;UNJC1030_REPORT_SHIYAKU_IF_KENSU,"",
IF(OFFSET(UNJC1030_REPORT_SHIYAKU_IF_SHIYAKU_MEI,J8,0)="","",
OFFSET(UNJC1030_REPORT_SHIYAKU_IF_SHIYAKU_MEI,J8,0)))</f>
        <v/>
      </c>
      <c r="C8" s="1883"/>
      <c r="D8" s="1884"/>
      <c r="E8" s="1008" t="str">
        <f ca="1">IF(J8&gt;UNJC1030_REPORT_SHIYAKU_IF_KENSU,"",
IF(OFFSET(UNJC1030_REPORT_SHIYAKU_IF_DOKU,J8,0)="","",
OFFSET(UNJC1030_REPORT_SHIYAKU_IF_DOKU,J8,0)))</f>
        <v/>
      </c>
      <c r="F8" s="1009" t="str">
        <f ca="1">IF(J8&gt;UNJC1030_REPORT_SHIYAKU_IF_KENSU,"",
IF(OFFSET(UNJC1030_REPORT_SHIYAKU_IF_SURYO,J8,0)="","",
OFFSET(UNJC1030_REPORT_SHIYAKU_IF_SURYO,J8,0))&amp;
IF(OFFSET(UNJC1030_REPORT_SHIYAKU_IF_TANI,J8,0)="","",
OFFSET(UNJC1030_REPORT_SHIYAKU_IF_TANI,J8,0)))</f>
        <v/>
      </c>
      <c r="G8" s="1009" t="str">
        <f ca="1">IF(J8&gt;UNJC1030_REPORT_SHIYAKU_IF_KENSU,"",
IF(OFFSET(UNJC1030_REPORT_SHIYAKU_IF_IRISU,J8,0)="","",
OFFSET(UNJC1030_REPORT_SHIYAKU_IF_IRISU,J8,0))&amp;
IF(OFFSET(UNJC1030_REPORT_SHIYAKU_IF_BARA_TANI,J8,0)="","",
OFFSET(UNJC1030_REPORT_SHIYAKU_IF_BARA_TANI,J8,0)))</f>
        <v/>
      </c>
      <c r="H8" s="1010" t="str">
        <f ca="1">IF(J8&gt;UNJC1030_REPORT_SHIYAKU_IF_KENSU,"",
IF(OFFSET(UNJC1030_REPORT_SHIYAKU_IF_NOHIN_DATE,J8,0)="","",
OFFSET(UNJC1030_REPORT_SHIYAKU_IF_NOHIN_DATE,J8,0)))</f>
        <v/>
      </c>
      <c r="I8" s="1011" t="str">
        <f ca="1">IF(J8&gt;UNJC1030_REPORT_SHIYAKU_IF_KENSU,"",
IF(OFFSET(UNJC1030_REPORT_SHIYAKU_IF_TEKIYO,J8,0)="","",
OFFSET(UNJC1030_REPORT_SHIYAKU_IF_TEKIYO,J8,0)))</f>
        <v/>
      </c>
      <c r="J8" s="536">
        <f>1+MOD(ROW(),ROWS(UNJC1030_REPORT_SHIYAKU_IF_COPY_MOTO))-ROW(UNJC1030_REPORT_SHIYAKU_TOP_START)+
ROUNDDOWN(ROW()/ROWS(UNJC1030_REPORT_SHIYAKU_IF_COPY_MOTO),0)*UNJC1030_REPORT_SHIYAKU_IF_HYOJI_GYO_SU</f>
        <v>4</v>
      </c>
    </row>
    <row r="9" spans="1:10" ht="63.75" customHeight="1">
      <c r="A9" s="1007" t="str">
        <f ca="1">IF(J9&gt;UNJC1030_REPORT_SHIYAKU_IF_KENSU,"",
IF(OFFSET(UNJC1030_REPORT_SHIYAKU_IF_SEIKYUSAKI_MEI,J9,0)="","",
OFFSET(UNJC1030_REPORT_SHIYAKU_IF_SEIKYUSAKI_MEI,J9,0))&amp;"　"&amp;
IF(OFFSET(UNJC1030_REPORT_SHIYAKU_IF_TANTO_MEI,J9,0)="","",
OFFSET(UNJC1030_REPORT_SHIYAKU_IF_TANTO_MEI,J9,0)))</f>
        <v/>
      </c>
      <c r="B9" s="1882" t="str">
        <f ca="1">IF(J9&gt;UNJC1030_REPORT_SHIYAKU_IF_KENSU,"",
IF(OFFSET(UNJC1030_REPORT_SHIYAKU_IF_SHIYAKU_MEI,J9,0)="","",
OFFSET(UNJC1030_REPORT_SHIYAKU_IF_SHIYAKU_MEI,J9,0)))</f>
        <v/>
      </c>
      <c r="C9" s="1883"/>
      <c r="D9" s="1884"/>
      <c r="E9" s="1008" t="str">
        <f ca="1">IF(J9&gt;UNJC1030_REPORT_SHIYAKU_IF_KENSU,"",
IF(OFFSET(UNJC1030_REPORT_SHIYAKU_IF_DOKU,J9,0)="","",
OFFSET(UNJC1030_REPORT_SHIYAKU_IF_DOKU,J9,0)))</f>
        <v/>
      </c>
      <c r="F9" s="1009" t="str">
        <f ca="1">IF(J9&gt;UNJC1030_REPORT_SHIYAKU_IF_KENSU,"",
IF(OFFSET(UNJC1030_REPORT_SHIYAKU_IF_SURYO,J9,0)="","",
OFFSET(UNJC1030_REPORT_SHIYAKU_IF_SURYO,J9,0))&amp;
IF(OFFSET(UNJC1030_REPORT_SHIYAKU_IF_TANI,J9,0)="","",
OFFSET(UNJC1030_REPORT_SHIYAKU_IF_TANI,J9,0)))</f>
        <v/>
      </c>
      <c r="G9" s="1009" t="str">
        <f ca="1">IF(J9&gt;UNJC1030_REPORT_SHIYAKU_IF_KENSU,"",
IF(OFFSET(UNJC1030_REPORT_SHIYAKU_IF_IRISU,J9,0)="","",
OFFSET(UNJC1030_REPORT_SHIYAKU_IF_IRISU,J9,0))&amp;
IF(OFFSET(UNJC1030_REPORT_SHIYAKU_IF_BARA_TANI,J9,0)="","",
OFFSET(UNJC1030_REPORT_SHIYAKU_IF_BARA_TANI,J9,0)))</f>
        <v/>
      </c>
      <c r="H9" s="1010" t="str">
        <f ca="1">IF(J9&gt;UNJC1030_REPORT_SHIYAKU_IF_KENSU,"",
IF(OFFSET(UNJC1030_REPORT_SHIYAKU_IF_NOHIN_DATE,J9,0)="","",
OFFSET(UNJC1030_REPORT_SHIYAKU_IF_NOHIN_DATE,J9,0)))</f>
        <v/>
      </c>
      <c r="I9" s="1011" t="str">
        <f ca="1">IF(J9&gt;UNJC1030_REPORT_SHIYAKU_IF_KENSU,"",
IF(OFFSET(UNJC1030_REPORT_SHIYAKU_IF_TEKIYO,J9,0)="","",
OFFSET(UNJC1030_REPORT_SHIYAKU_IF_TEKIYO,J9,0)))</f>
        <v/>
      </c>
      <c r="J9" s="536">
        <f>1+MOD(ROW(),ROWS(UNJC1030_REPORT_SHIYAKU_IF_COPY_MOTO))-ROW(UNJC1030_REPORT_SHIYAKU_TOP_START)+
ROUNDDOWN(ROW()/ROWS(UNJC1030_REPORT_SHIYAKU_IF_COPY_MOTO),0)*UNJC1030_REPORT_SHIYAKU_IF_HYOJI_GYO_SU</f>
        <v>5</v>
      </c>
    </row>
    <row r="10" spans="1:10" ht="16.5" customHeight="1"/>
    <row r="11" spans="1:10" ht="16.5" customHeight="1"/>
    <row r="12" spans="1:10" ht="16.5" customHeight="1"/>
    <row r="13" spans="1:10" ht="16.5" customHeight="1"/>
    <row r="14" spans="1:10" ht="16.5" customHeight="1">
      <c r="A14" s="1889" t="s">
        <v>557</v>
      </c>
      <c r="B14" s="1889"/>
      <c r="H14" s="1002" t="s">
        <v>25</v>
      </c>
      <c r="I14" s="537" t="str">
        <f ca="1">IF(J18&gt;UNJC1030_REPORT_SHIYAKU_IF_KENSU,"",
IF(OFFSET(UNJC1030_REPORT_SHIYAKU_IF_JURI_NO,J18,0)="","",
OFFSET(UNJC1030_REPORT_SHIYAKU_IF_JURI_NO,J18,0)))</f>
        <v/>
      </c>
    </row>
    <row r="15" spans="1:10" ht="16.5" customHeight="1">
      <c r="A15" s="1889"/>
      <c r="B15" s="1889"/>
      <c r="H15" s="1002" t="s">
        <v>553</v>
      </c>
      <c r="I15" s="1003">
        <f ca="1">NOW()</f>
        <v>43005.636301041697</v>
      </c>
    </row>
    <row r="16" spans="1:10" ht="16.5" customHeight="1">
      <c r="B16" s="1004"/>
      <c r="H16" s="1002" t="s">
        <v>554</v>
      </c>
      <c r="I16" s="1004" t="str">
        <f>IF(UNJC1030_REPORT_SHIYAKU_IF_HAKKOSHA="","",UNJC1030_REPORT_SHIYAKU_IF_HAKKOSHA)</f>
        <v/>
      </c>
    </row>
    <row r="17" spans="1:10" ht="16.5" customHeight="1">
      <c r="A17" s="1194" t="s">
        <v>550</v>
      </c>
      <c r="B17" s="1195" t="s">
        <v>559</v>
      </c>
      <c r="C17" s="1886" t="s">
        <v>560</v>
      </c>
      <c r="D17" s="1888"/>
      <c r="E17" s="1194" t="s">
        <v>43</v>
      </c>
      <c r="F17" s="1006" t="s">
        <v>551</v>
      </c>
      <c r="G17" s="1006" t="s">
        <v>552</v>
      </c>
      <c r="H17" s="1006" t="s">
        <v>555</v>
      </c>
      <c r="I17" s="1006" t="s">
        <v>1</v>
      </c>
      <c r="J17" s="1006" t="s">
        <v>644</v>
      </c>
    </row>
    <row r="18" spans="1:10" ht="63.75" customHeight="1">
      <c r="A18" s="1007" t="str">
        <f ca="1">IF(J18&gt;UNJC1030_REPORT_SHIYAKU_IF_KENSU,"",
IF(OFFSET(UNJC1030_REPORT_SHIYAKU_IF_SEIKYUSAKI_MEI,J18,0)="","",
OFFSET(UNJC1030_REPORT_SHIYAKU_IF_SEIKYUSAKI_MEI,J18,0))&amp;"　"&amp;
IF(OFFSET(UNJC1030_REPORT_SHIYAKU_IF_TANTO_MEI,J18,0)="","",
OFFSET(UNJC1030_REPORT_SHIYAKU_IF_TANTO_MEI,J18,0)))</f>
        <v/>
      </c>
      <c r="B18" s="1196" t="str">
        <f ca="1">IF(J18&gt;UNJC1030_REPORT_SHIYAKU_IF_KENSU,"",
IF(OFFSET(UNJC1030_REPORT_SHIYAKU_IF_SHIYAKU_MEI,J18,0)="","",
OFFSET(UNJC1030_REPORT_SHIYAKU_IF_SHIYAKU_MEI,J18,0)))</f>
        <v/>
      </c>
      <c r="C18" s="1885" t="str">
        <f ca="1">IF(J18&gt;UNJC1030_REPORT_SHIYAKU_IF_KENSU,"",
IF(OFFSET(UNJC1030_REPORT_SHIYAKU_IF_SHIYAKU_NAIYO,J18,0)="","",
OFFSET(UNJC1030_REPORT_SHIYAKU_IF_SHIYAKU_NAIYO,J18,0)))</f>
        <v/>
      </c>
      <c r="D18" s="1885"/>
      <c r="E18" s="1008" t="str">
        <f ca="1">IF(J18&gt;UNJC1030_REPORT_SHIYAKU_IF_KENSU,"",
IF(OFFSET(UNJC1030_REPORT_SHIYAKU_IF_DOKU,J18,0)="","",
OFFSET(UNJC1030_REPORT_SHIYAKU_IF_DOKU,J18,0)))</f>
        <v/>
      </c>
      <c r="F18" s="1013" t="str">
        <f ca="1">IF(J18&gt;UNJC1030_REPORT_SHIYAKU_IF_KENSU,"",
IF(OFFSET(UNJC1030_REPORT_SHIYAKU_IF_SURYO,J18,0)="","",
OFFSET(UNJC1030_REPORT_SHIYAKU_IF_SURYO,J18,0))&amp;
IF(OFFSET(UNJC1030_REPORT_SHIYAKU_IF_TANI,J18,0)="","",
OFFSET(UNJC1030_REPORT_SHIYAKU_IF_TANI,J18,0)))</f>
        <v/>
      </c>
      <c r="G18" s="1009" t="str">
        <f ca="1">IF(J18&gt;UNJC1030_REPORT_SHIYAKU_IF_KENSU,"",
IF(OFFSET(UNJC1030_REPORT_SHIYAKU_IF_IRISU,J18,0)="","",
OFFSET(UNJC1030_REPORT_SHIYAKU_IF_IRISU,J18,0))&amp;
IF(OFFSET(UNJC1030_REPORT_SHIYAKU_IF_BARA_TANI,J18,0)="","",
OFFSET(UNJC1030_REPORT_SHIYAKU_IF_BARA_TANI,J18,0)))</f>
        <v/>
      </c>
      <c r="H18" s="1010"/>
      <c r="I18" s="1011" t="str">
        <f ca="1">IF(J18&gt;UNJC1030_REPORT_SHIYAKU_IF_KENSU,"",
IF(OFFSET(UNJC1030_REPORT_SHIYAKU_IF_BIKO,J18,0)="","",
OFFSET(UNJC1030_REPORT_SHIYAKU_IF_BIKO,J18,0)))</f>
        <v/>
      </c>
      <c r="J18" s="536">
        <f>1+MOD(ROW(),ROWS(UNJC1030_REPORT_SHIYAKU_IF_COPY_MOTO))-ROW(UNJC1030_REPORT_SHIYAKU_BOTTOM_START)+
ROUNDDOWN(ROW()/ROWS(UNJC1030_REPORT_SHIYAKU_IF_COPY_MOTO),0)*UNJC1030_REPORT_SHIYAKU_IF_HYOJI_GYO_SU</f>
        <v>1</v>
      </c>
    </row>
    <row r="19" spans="1:10" ht="63.75" customHeight="1">
      <c r="A19" s="1007" t="str">
        <f ca="1">IF(J19&gt;UNJC1030_REPORT_SHIYAKU_IF_KENSU,"",
IF(OFFSET(UNJC1030_REPORT_SHIYAKU_IF_SEIKYUSAKI_MEI,J19,0)="","",
OFFSET(UNJC1030_REPORT_SHIYAKU_IF_SEIKYUSAKI_MEI,J19,0))&amp;"　"&amp;
IF(OFFSET(UNJC1030_REPORT_SHIYAKU_IF_TANTO_MEI,J19,0)="","",
OFFSET(UNJC1030_REPORT_SHIYAKU_IF_TANTO_MEI,J19,0)))</f>
        <v/>
      </c>
      <c r="B19" s="1196" t="str">
        <f ca="1">IF(J19&gt;UNJC1030_REPORT_SHIYAKU_IF_KENSU,"",
IF(OFFSET(UNJC1030_REPORT_SHIYAKU_IF_SHIYAKU_MEI,J19,0)="","",
OFFSET(UNJC1030_REPORT_SHIYAKU_IF_SHIYAKU_MEI,J19,0)))</f>
        <v/>
      </c>
      <c r="C19" s="1885" t="str">
        <f ca="1">IF(J19&gt;UNJC1030_REPORT_SHIYAKU_IF_KENSU,"",
IF(OFFSET(UNJC1030_REPORT_SHIYAKU_IF_SHIYAKU_NAIYO,J19,0)="","",
OFFSET(UNJC1030_REPORT_SHIYAKU_IF_SHIYAKU_NAIYO,J19,0)))</f>
        <v/>
      </c>
      <c r="D19" s="1885"/>
      <c r="E19" s="1008" t="str">
        <f ca="1">IF(J19&gt;UNJC1030_REPORT_SHIYAKU_IF_KENSU,"",
IF(OFFSET(UNJC1030_REPORT_SHIYAKU_IF_DOKU,J19,0)="","",
OFFSET(UNJC1030_REPORT_SHIYAKU_IF_DOKU,J19,0)))</f>
        <v/>
      </c>
      <c r="F19" s="1013" t="str">
        <f ca="1">IF(J19&gt;UNJC1030_REPORT_SHIYAKU_IF_KENSU,"",
IF(OFFSET(UNJC1030_REPORT_SHIYAKU_IF_SURYO,J19,0)="","",
OFFSET(UNJC1030_REPORT_SHIYAKU_IF_SURYO,J19,0))&amp;
IF(OFFSET(UNJC1030_REPORT_SHIYAKU_IF_TANI,J19,0)="","",
OFFSET(UNJC1030_REPORT_SHIYAKU_IF_TANI,J19,0)))</f>
        <v/>
      </c>
      <c r="G19" s="1009" t="str">
        <f ca="1">IF(J19&gt;UNJC1030_REPORT_SHIYAKU_IF_KENSU,"",
IF(OFFSET(UNJC1030_REPORT_SHIYAKU_IF_IRISU,J19,0)="","",
OFFSET(UNJC1030_REPORT_SHIYAKU_IF_IRISU,J19,0))&amp;
IF(OFFSET(UNJC1030_REPORT_SHIYAKU_IF_BARA_TANI,J19,0)="","",
OFFSET(UNJC1030_REPORT_SHIYAKU_IF_BARA_TANI,J19,0)))</f>
        <v/>
      </c>
      <c r="H19" s="1010"/>
      <c r="I19" s="1011" t="str">
        <f ca="1">IF(J19&gt;UNJC1030_REPORT_SHIYAKU_IF_KENSU,"",
IF(OFFSET(UNJC1030_REPORT_SHIYAKU_IF_BIKO,J19,0)="","",
OFFSET(UNJC1030_REPORT_SHIYAKU_IF_BIKO,J19,0)))</f>
        <v/>
      </c>
      <c r="J19" s="536">
        <f>1+MOD(ROW(),ROWS(UNJC1030_REPORT_SHIYAKU_IF_COPY_MOTO))-ROW(UNJC1030_REPORT_SHIYAKU_BOTTOM_START)+
ROUNDDOWN(ROW()/ROWS(UNJC1030_REPORT_SHIYAKU_IF_COPY_MOTO),0)*UNJC1030_REPORT_SHIYAKU_IF_HYOJI_GYO_SU</f>
        <v>2</v>
      </c>
    </row>
    <row r="20" spans="1:10" ht="63.75" customHeight="1">
      <c r="A20" s="1007" t="str">
        <f ca="1">IF(J20&gt;UNJC1030_REPORT_SHIYAKU_IF_KENSU,"",
IF(OFFSET(UNJC1030_REPORT_SHIYAKU_IF_SEIKYUSAKI_MEI,J20,0)="","",
OFFSET(UNJC1030_REPORT_SHIYAKU_IF_SEIKYUSAKI_MEI,J20,0))&amp;"　"&amp;
IF(OFFSET(UNJC1030_REPORT_SHIYAKU_IF_TANTO_MEI,J20,0)="","",
OFFSET(UNJC1030_REPORT_SHIYAKU_IF_TANTO_MEI,J20,0)))</f>
        <v/>
      </c>
      <c r="B20" s="1196" t="str">
        <f ca="1">IF(J20&gt;UNJC1030_REPORT_SHIYAKU_IF_KENSU,"",
IF(OFFSET(UNJC1030_REPORT_SHIYAKU_IF_SHIYAKU_MEI,J20,0)="","",
OFFSET(UNJC1030_REPORT_SHIYAKU_IF_SHIYAKU_MEI,J20,0)))</f>
        <v/>
      </c>
      <c r="C20" s="1885" t="str">
        <f ca="1">IF(J20&gt;UNJC1030_REPORT_SHIYAKU_IF_KENSU,"",
IF(OFFSET(UNJC1030_REPORT_SHIYAKU_IF_SHIYAKU_NAIYO,J20,0)="","",
OFFSET(UNJC1030_REPORT_SHIYAKU_IF_SHIYAKU_NAIYO,J20,0)))</f>
        <v/>
      </c>
      <c r="D20" s="1885"/>
      <c r="E20" s="1008" t="str">
        <f ca="1">IF(J20&gt;UNJC1030_REPORT_SHIYAKU_IF_KENSU,"",
IF(OFFSET(UNJC1030_REPORT_SHIYAKU_IF_DOKU,J20,0)="","",
OFFSET(UNJC1030_REPORT_SHIYAKU_IF_DOKU,J20,0)))</f>
        <v/>
      </c>
      <c r="F20" s="1013" t="str">
        <f ca="1">IF(J20&gt;UNJC1030_REPORT_SHIYAKU_IF_KENSU,"",
IF(OFFSET(UNJC1030_REPORT_SHIYAKU_IF_SURYO,J20,0)="","",
OFFSET(UNJC1030_REPORT_SHIYAKU_IF_SURYO,J20,0))&amp;
IF(OFFSET(UNJC1030_REPORT_SHIYAKU_IF_TANI,J20,0)="","",
OFFSET(UNJC1030_REPORT_SHIYAKU_IF_TANI,J20,0)))</f>
        <v/>
      </c>
      <c r="G20" s="1009" t="str">
        <f ca="1">IF(J20&gt;UNJC1030_REPORT_SHIYAKU_IF_KENSU,"",
IF(OFFSET(UNJC1030_REPORT_SHIYAKU_IF_IRISU,J20,0)="","",
OFFSET(UNJC1030_REPORT_SHIYAKU_IF_IRISU,J20,0))&amp;
IF(OFFSET(UNJC1030_REPORT_SHIYAKU_IF_BARA_TANI,J20,0)="","",
OFFSET(UNJC1030_REPORT_SHIYAKU_IF_BARA_TANI,J20,0)))</f>
        <v/>
      </c>
      <c r="H20" s="1010"/>
      <c r="I20" s="1011" t="str">
        <f ca="1">IF(J20&gt;UNJC1030_REPORT_SHIYAKU_IF_KENSU,"",
IF(OFFSET(UNJC1030_REPORT_SHIYAKU_IF_BIKO,J20,0)="","",
OFFSET(UNJC1030_REPORT_SHIYAKU_IF_BIKO,J20,0)))</f>
        <v/>
      </c>
      <c r="J20" s="536">
        <f>1+MOD(ROW(),ROWS(UNJC1030_REPORT_SHIYAKU_IF_COPY_MOTO))-ROW(UNJC1030_REPORT_SHIYAKU_BOTTOM_START)+
ROUNDDOWN(ROW()/ROWS(UNJC1030_REPORT_SHIYAKU_IF_COPY_MOTO),0)*UNJC1030_REPORT_SHIYAKU_IF_HYOJI_GYO_SU</f>
        <v>3</v>
      </c>
    </row>
    <row r="21" spans="1:10" ht="63.75" customHeight="1">
      <c r="A21" s="1007" t="str">
        <f ca="1">IF(J21&gt;UNJC1030_REPORT_SHIYAKU_IF_KENSU,"",
IF(OFFSET(UNJC1030_REPORT_SHIYAKU_IF_SEIKYUSAKI_MEI,J21,0)="","",
OFFSET(UNJC1030_REPORT_SHIYAKU_IF_SEIKYUSAKI_MEI,J21,0))&amp;"　"&amp;
IF(OFFSET(UNJC1030_REPORT_SHIYAKU_IF_TANTO_MEI,J21,0)="","",
OFFSET(UNJC1030_REPORT_SHIYAKU_IF_TANTO_MEI,J21,0)))</f>
        <v/>
      </c>
      <c r="B21" s="1196" t="str">
        <f ca="1">IF(J21&gt;UNJC1030_REPORT_SHIYAKU_IF_KENSU,"",
IF(OFFSET(UNJC1030_REPORT_SHIYAKU_IF_SHIYAKU_MEI,J21,0)="","",
OFFSET(UNJC1030_REPORT_SHIYAKU_IF_SHIYAKU_MEI,J21,0)))</f>
        <v/>
      </c>
      <c r="C21" s="1885" t="str">
        <f ca="1">IF(J21&gt;UNJC1030_REPORT_SHIYAKU_IF_KENSU,"",
IF(OFFSET(UNJC1030_REPORT_SHIYAKU_IF_SHIYAKU_NAIYO,J21,0)="","",
OFFSET(UNJC1030_REPORT_SHIYAKU_IF_SHIYAKU_NAIYO,J21,0)))</f>
        <v/>
      </c>
      <c r="D21" s="1885"/>
      <c r="E21" s="1008" t="str">
        <f ca="1">IF(J21&gt;UNJC1030_REPORT_SHIYAKU_IF_KENSU,"",
IF(OFFSET(UNJC1030_REPORT_SHIYAKU_IF_DOKU,J21,0)="","",
OFFSET(UNJC1030_REPORT_SHIYAKU_IF_DOKU,J21,0)))</f>
        <v/>
      </c>
      <c r="F21" s="1013" t="str">
        <f ca="1">IF(J21&gt;UNJC1030_REPORT_SHIYAKU_IF_KENSU,"",
IF(OFFSET(UNJC1030_REPORT_SHIYAKU_IF_SURYO,J21,0)="","",
OFFSET(UNJC1030_REPORT_SHIYAKU_IF_SURYO,J21,0))&amp;
IF(OFFSET(UNJC1030_REPORT_SHIYAKU_IF_TANI,J21,0)="","",
OFFSET(UNJC1030_REPORT_SHIYAKU_IF_TANI,J21,0)))</f>
        <v/>
      </c>
      <c r="G21" s="1009" t="str">
        <f ca="1">IF(J21&gt;UNJC1030_REPORT_SHIYAKU_IF_KENSU,"",
IF(OFFSET(UNJC1030_REPORT_SHIYAKU_IF_IRISU,J21,0)="","",
OFFSET(UNJC1030_REPORT_SHIYAKU_IF_IRISU,J21,0))&amp;
IF(OFFSET(UNJC1030_REPORT_SHIYAKU_IF_BARA_TANI,J21,0)="","",
OFFSET(UNJC1030_REPORT_SHIYAKU_IF_BARA_TANI,J21,0)))</f>
        <v/>
      </c>
      <c r="H21" s="1010"/>
      <c r="I21" s="1011" t="str">
        <f ca="1">IF(J21&gt;UNJC1030_REPORT_SHIYAKU_IF_KENSU,"",
IF(OFFSET(UNJC1030_REPORT_SHIYAKU_IF_BIKO,J21,0)="","",
OFFSET(UNJC1030_REPORT_SHIYAKU_IF_BIKO,J21,0)))</f>
        <v/>
      </c>
      <c r="J21" s="536">
        <f>1+MOD(ROW(),ROWS(UNJC1030_REPORT_SHIYAKU_IF_COPY_MOTO))-ROW(UNJC1030_REPORT_SHIYAKU_BOTTOM_START)+
ROUNDDOWN(ROW()/ROWS(UNJC1030_REPORT_SHIYAKU_IF_COPY_MOTO),0)*UNJC1030_REPORT_SHIYAKU_IF_HYOJI_GYO_SU</f>
        <v>4</v>
      </c>
    </row>
    <row r="22" spans="1:10" ht="63.75" customHeight="1">
      <c r="A22" s="1007" t="str">
        <f ca="1">IF(J22&gt;UNJC1030_REPORT_SHIYAKU_IF_KENSU,"",
IF(OFFSET(UNJC1030_REPORT_SHIYAKU_IF_SEIKYUSAKI_MEI,J22,0)="","",
OFFSET(UNJC1030_REPORT_SHIYAKU_IF_SEIKYUSAKI_MEI,J22,0))&amp;"　"&amp;
IF(OFFSET(UNJC1030_REPORT_SHIYAKU_IF_TANTO_MEI,J22,0)="","",
OFFSET(UNJC1030_REPORT_SHIYAKU_IF_TANTO_MEI,J22,0)))</f>
        <v/>
      </c>
      <c r="B22" s="1196" t="str">
        <f ca="1">IF(J22&gt;UNJC1030_REPORT_SHIYAKU_IF_KENSU,"",
IF(OFFSET(UNJC1030_REPORT_SHIYAKU_IF_SHIYAKU_MEI,J22,0)="","",
OFFSET(UNJC1030_REPORT_SHIYAKU_IF_SHIYAKU_MEI,J22,0)))</f>
        <v/>
      </c>
      <c r="C22" s="1885" t="str">
        <f ca="1">IF(J22&gt;UNJC1030_REPORT_SHIYAKU_IF_KENSU,"",
IF(OFFSET(UNJC1030_REPORT_SHIYAKU_IF_SHIYAKU_NAIYO,J22,0)="","",
OFFSET(UNJC1030_REPORT_SHIYAKU_IF_SHIYAKU_NAIYO,J22,0)))</f>
        <v/>
      </c>
      <c r="D22" s="1885"/>
      <c r="E22" s="1008" t="str">
        <f ca="1">IF(J22&gt;UNJC1030_REPORT_SHIYAKU_IF_KENSU,"",
IF(OFFSET(UNJC1030_REPORT_SHIYAKU_IF_DOKU,J22,0)="","",
OFFSET(UNJC1030_REPORT_SHIYAKU_IF_DOKU,J22,0)))</f>
        <v/>
      </c>
      <c r="F22" s="1013" t="str">
        <f ca="1">IF(J22&gt;UNJC1030_REPORT_SHIYAKU_IF_KENSU,"",
IF(OFFSET(UNJC1030_REPORT_SHIYAKU_IF_SURYO,J22,0)="","",
OFFSET(UNJC1030_REPORT_SHIYAKU_IF_SURYO,J22,0))&amp;
IF(OFFSET(UNJC1030_REPORT_SHIYAKU_IF_TANI,J22,0)="","",
OFFSET(UNJC1030_REPORT_SHIYAKU_IF_TANI,J22,0)))</f>
        <v/>
      </c>
      <c r="G22" s="1009" t="str">
        <f ca="1">IF(J22&gt;UNJC1030_REPORT_SHIYAKU_IF_KENSU,"",
IF(OFFSET(UNJC1030_REPORT_SHIYAKU_IF_IRISU,J22,0)="","",
OFFSET(UNJC1030_REPORT_SHIYAKU_IF_IRISU,J22,0))&amp;
IF(OFFSET(UNJC1030_REPORT_SHIYAKU_IF_BARA_TANI,J22,0)="","",
OFFSET(UNJC1030_REPORT_SHIYAKU_IF_BARA_TANI,J22,0)))</f>
        <v/>
      </c>
      <c r="H22" s="1010"/>
      <c r="I22" s="1011" t="str">
        <f ca="1">IF(J22&gt;UNJC1030_REPORT_SHIYAKU_IF_KENSU,"",
IF(OFFSET(UNJC1030_REPORT_SHIYAKU_IF_BIKO,J22,0)="","",
OFFSET(UNJC1030_REPORT_SHIYAKU_IF_BIKO,J22,0)))</f>
        <v/>
      </c>
      <c r="J22" s="536">
        <f>1+MOD(ROW(),ROWS(UNJC1030_REPORT_SHIYAKU_IF_COPY_MOTO))-ROW(UNJC1030_REPORT_SHIYAKU_BOTTOM_START)+
ROUNDDOWN(ROW()/ROWS(UNJC1030_REPORT_SHIYAKU_IF_COPY_MOTO),0)*UNJC1030_REPORT_SHIYAKU_IF_HYOJI_GYO_SU</f>
        <v>5</v>
      </c>
    </row>
    <row r="24" spans="1:10" ht="16.5" customHeight="1">
      <c r="A24" s="1889" t="s">
        <v>556</v>
      </c>
      <c r="B24" s="1889"/>
      <c r="H24" s="1002" t="s">
        <v>25</v>
      </c>
      <c r="I24" s="537" t="str">
        <f ca="1">IF(J28&gt;UNJC1030_REPORT_SHIYAKU_IF_KENSU,"",
IF(OFFSET(UNJC1030_REPORT_SHIYAKU_IF_JURI_NO,J28,0)="","",
OFFSET(UNJC1030_REPORT_SHIYAKU_IF_JURI_NO,J28,0)))</f>
        <v/>
      </c>
    </row>
    <row r="25" spans="1:10" ht="16.5" customHeight="1">
      <c r="A25" s="1889"/>
      <c r="B25" s="1889"/>
      <c r="H25" s="1002" t="s">
        <v>553</v>
      </c>
      <c r="I25" s="1003">
        <f ca="1">NOW()</f>
        <v>43005.636301041697</v>
      </c>
    </row>
    <row r="26" spans="1:10" ht="16.5" customHeight="1">
      <c r="H26" s="1002" t="s">
        <v>554</v>
      </c>
      <c r="I26" s="1004" t="str">
        <f>IF(UNJC1030_REPORT_SHIYAKU_IF_HAKKOSHA="","",UNJC1030_REPORT_SHIYAKU_IF_HAKKOSHA)</f>
        <v/>
      </c>
    </row>
    <row r="27" spans="1:10" ht="16.5" customHeight="1">
      <c r="A27" s="1194" t="s">
        <v>550</v>
      </c>
      <c r="B27" s="1886" t="s">
        <v>558</v>
      </c>
      <c r="C27" s="1887"/>
      <c r="D27" s="1888"/>
      <c r="E27" s="1194" t="s">
        <v>43</v>
      </c>
      <c r="F27" s="1006" t="s">
        <v>551</v>
      </c>
      <c r="G27" s="1006" t="s">
        <v>552</v>
      </c>
      <c r="H27" s="1006" t="s">
        <v>3574</v>
      </c>
      <c r="I27" s="1006" t="s">
        <v>1</v>
      </c>
      <c r="J27" s="1006" t="s">
        <v>644</v>
      </c>
    </row>
    <row r="28" spans="1:10" ht="63.75" customHeight="1">
      <c r="A28" s="1007" t="str">
        <f ca="1">IF(J28&gt;UNJC1030_REPORT_SHIYAKU_IF_KENSU,"",
IF(OFFSET(UNJC1030_REPORT_SHIYAKU_IF_SEIKYUSAKI_MEI,J28,0)="","",
OFFSET(UNJC1030_REPORT_SHIYAKU_IF_SEIKYUSAKI_MEI,J28,0))&amp;"　"&amp;
IF(OFFSET(UNJC1030_REPORT_SHIYAKU_IF_TANTO_MEI,J28,0)="","",
OFFSET(UNJC1030_REPORT_SHIYAKU_IF_TANTO_MEI,J28,0)))</f>
        <v/>
      </c>
      <c r="B28" s="1882" t="str">
        <f ca="1">IF(J28&gt;UNJC1030_REPORT_SHIYAKU_IF_KENSU,"",
IF(OFFSET(UNJC1030_REPORT_SHIYAKU_IF_SHIYAKU_MEI,J28,0)="","",
OFFSET(UNJC1030_REPORT_SHIYAKU_IF_SHIYAKU_MEI,J28,0)))</f>
        <v/>
      </c>
      <c r="C28" s="1883"/>
      <c r="D28" s="1884"/>
      <c r="E28" s="1008" t="str">
        <f ca="1">IF(J28&gt;UNJC1030_REPORT_SHIYAKU_IF_KENSU,"",
IF(OFFSET(UNJC1030_REPORT_SHIYAKU_IF_DOKU,J28,0)="","",
OFFSET(UNJC1030_REPORT_SHIYAKU_IF_DOKU,J28,0)))</f>
        <v/>
      </c>
      <c r="F28" s="1009" t="str">
        <f ca="1">IF(J28&gt;UNJC1030_REPORT_SHIYAKU_IF_KENSU,"",
IF(OFFSET(UNJC1030_REPORT_SHIYAKU_IF_SURYO,J28,0)="","",
OFFSET(UNJC1030_REPORT_SHIYAKU_IF_SURYO,J28,0))&amp;
IF(OFFSET(UNJC1030_REPORT_SHIYAKU_IF_TANI,J28,0)="","",
OFFSET(UNJC1030_REPORT_SHIYAKU_IF_TANI,J28,0)))</f>
        <v/>
      </c>
      <c r="G28" s="1009" t="str">
        <f ca="1">IF(J28&gt;UNJC1030_REPORT_SHIYAKU_IF_KENSU,"",
IF(OFFSET(UNJC1030_REPORT_SHIYAKU_IF_IRISU,J28,0)="","",
OFFSET(UNJC1030_REPORT_SHIYAKU_IF_IRISU,J28,0))&amp;
IF(OFFSET(UNJC1030_REPORT_SHIYAKU_IF_BARA_TANI,J28,0)="","",
OFFSET(UNJC1030_REPORT_SHIYAKU_IF_BARA_TANI,J28,0)))</f>
        <v/>
      </c>
      <c r="H28" s="1010" t="str">
        <f ca="1">IF(J28&gt;UNJC1030_REPORT_SHIYAKU_IF_KENSU,"",
IF(OFFSET(UNJC1030_REPORT_SHIYAKU_IF_NOHIN_DATE,J28,0)="","",
OFFSET(UNJC1030_REPORT_SHIYAKU_IF_NOHIN_DATE,J28,0)))</f>
        <v/>
      </c>
      <c r="I28" s="1011" t="str">
        <f ca="1">IF(J28&gt;UNJC1030_REPORT_SHIYAKU_IF_KENSU,"",
IF(OFFSET(UNJC1030_REPORT_SHIYAKU_IF_TEKIYO,J28,0)="","",
OFFSET(UNJC1030_REPORT_SHIYAKU_IF_TEKIYO,J28,0)))</f>
        <v/>
      </c>
      <c r="J28" s="536">
        <f>1+MOD(ROW(),ROWS(UNJC1030_REPORT_SHIYAKU_IF_COPY_MOTO))-ROW(UNJC1030_REPORT_SHIYAKU_TOP_START)+
ROUNDDOWN(ROW()/ROWS(UNJC1030_REPORT_SHIYAKU_IF_COPY_MOTO),0)*UNJC1030_REPORT_SHIYAKU_IF_HYOJI_GYO_SU</f>
        <v>6</v>
      </c>
    </row>
    <row r="29" spans="1:10" ht="63.75" customHeight="1">
      <c r="A29" s="1007" t="str">
        <f ca="1">IF(J29&gt;UNJC1030_REPORT_SHIYAKU_IF_KENSU,"",
IF(OFFSET(UNJC1030_REPORT_SHIYAKU_IF_SEIKYUSAKI_MEI,J29,0)="","",
OFFSET(UNJC1030_REPORT_SHIYAKU_IF_SEIKYUSAKI_MEI,J29,0))&amp;"　"&amp;
IF(OFFSET(UNJC1030_REPORT_SHIYAKU_IF_TANTO_MEI,J29,0)="","",
OFFSET(UNJC1030_REPORT_SHIYAKU_IF_TANTO_MEI,J29,0)))</f>
        <v/>
      </c>
      <c r="B29" s="1882" t="str">
        <f ca="1">IF(J29&gt;UNJC1030_REPORT_SHIYAKU_IF_KENSU,"",
IF(OFFSET(UNJC1030_REPORT_SHIYAKU_IF_SHIYAKU_MEI,J29,0)="","",
OFFSET(UNJC1030_REPORT_SHIYAKU_IF_SHIYAKU_MEI,J29,0)))</f>
        <v/>
      </c>
      <c r="C29" s="1883"/>
      <c r="D29" s="1884"/>
      <c r="E29" s="1008" t="str">
        <f ca="1">IF(J29&gt;UNJC1030_REPORT_SHIYAKU_IF_KENSU,"",
IF(OFFSET(UNJC1030_REPORT_SHIYAKU_IF_DOKU,J29,0)="","",
OFFSET(UNJC1030_REPORT_SHIYAKU_IF_DOKU,J29,0)))</f>
        <v/>
      </c>
      <c r="F29" s="1009" t="str">
        <f ca="1">IF(J29&gt;UNJC1030_REPORT_SHIYAKU_IF_KENSU,"",
IF(OFFSET(UNJC1030_REPORT_SHIYAKU_IF_SURYO,J29,0)="","",
OFFSET(UNJC1030_REPORT_SHIYAKU_IF_SURYO,J29,0))&amp;
IF(OFFSET(UNJC1030_REPORT_SHIYAKU_IF_TANI,J29,0)="","",
OFFSET(UNJC1030_REPORT_SHIYAKU_IF_TANI,J29,0)))</f>
        <v/>
      </c>
      <c r="G29" s="1009" t="str">
        <f ca="1">IF(J29&gt;UNJC1030_REPORT_SHIYAKU_IF_KENSU,"",
IF(OFFSET(UNJC1030_REPORT_SHIYAKU_IF_IRISU,J29,0)="","",
OFFSET(UNJC1030_REPORT_SHIYAKU_IF_IRISU,J29,0))&amp;
IF(OFFSET(UNJC1030_REPORT_SHIYAKU_IF_BARA_TANI,J29,0)="","",
OFFSET(UNJC1030_REPORT_SHIYAKU_IF_BARA_TANI,J29,0)))</f>
        <v/>
      </c>
      <c r="H29" s="1010" t="str">
        <f ca="1">IF(J29&gt;UNJC1030_REPORT_SHIYAKU_IF_KENSU,"",
IF(OFFSET(UNJC1030_REPORT_SHIYAKU_IF_NOHIN_DATE,J29,0)="","",
OFFSET(UNJC1030_REPORT_SHIYAKU_IF_NOHIN_DATE,J29,0)))</f>
        <v/>
      </c>
      <c r="I29" s="1011" t="str">
        <f ca="1">IF(J29&gt;UNJC1030_REPORT_SHIYAKU_IF_KENSU,"",
IF(OFFSET(UNJC1030_REPORT_SHIYAKU_IF_TEKIYO,J29,0)="","",
OFFSET(UNJC1030_REPORT_SHIYAKU_IF_TEKIYO,J29,0)))</f>
        <v/>
      </c>
      <c r="J29" s="536">
        <f>1+MOD(ROW(),ROWS(UNJC1030_REPORT_SHIYAKU_IF_COPY_MOTO))-ROW(UNJC1030_REPORT_SHIYAKU_TOP_START)+
ROUNDDOWN(ROW()/ROWS(UNJC1030_REPORT_SHIYAKU_IF_COPY_MOTO),0)*UNJC1030_REPORT_SHIYAKU_IF_HYOJI_GYO_SU</f>
        <v>7</v>
      </c>
    </row>
    <row r="30" spans="1:10" ht="63.75" customHeight="1">
      <c r="A30" s="1007" t="str">
        <f ca="1">IF(J30&gt;UNJC1030_REPORT_SHIYAKU_IF_KENSU,"",
IF(OFFSET(UNJC1030_REPORT_SHIYAKU_IF_SEIKYUSAKI_MEI,J30,0)="","",
OFFSET(UNJC1030_REPORT_SHIYAKU_IF_SEIKYUSAKI_MEI,J30,0))&amp;"　"&amp;
IF(OFFSET(UNJC1030_REPORT_SHIYAKU_IF_TANTO_MEI,J30,0)="","",
OFFSET(UNJC1030_REPORT_SHIYAKU_IF_TANTO_MEI,J30,0)))</f>
        <v/>
      </c>
      <c r="B30" s="1882" t="str">
        <f ca="1">IF(J30&gt;UNJC1030_REPORT_SHIYAKU_IF_KENSU,"",
IF(OFFSET(UNJC1030_REPORT_SHIYAKU_IF_SHIYAKU_MEI,J30,0)="","",
OFFSET(UNJC1030_REPORT_SHIYAKU_IF_SHIYAKU_MEI,J30,0)))</f>
        <v/>
      </c>
      <c r="C30" s="1883"/>
      <c r="D30" s="1884"/>
      <c r="E30" s="1008" t="str">
        <f ca="1">IF(J30&gt;UNJC1030_REPORT_SHIYAKU_IF_KENSU,"",
IF(OFFSET(UNJC1030_REPORT_SHIYAKU_IF_DOKU,J30,0)="","",
OFFSET(UNJC1030_REPORT_SHIYAKU_IF_DOKU,J30,0)))</f>
        <v/>
      </c>
      <c r="F30" s="1009" t="str">
        <f ca="1">IF(J30&gt;UNJC1030_REPORT_SHIYAKU_IF_KENSU,"",
IF(OFFSET(UNJC1030_REPORT_SHIYAKU_IF_SURYO,J30,0)="","",
OFFSET(UNJC1030_REPORT_SHIYAKU_IF_SURYO,J30,0))&amp;
IF(OFFSET(UNJC1030_REPORT_SHIYAKU_IF_TANI,J30,0)="","",
OFFSET(UNJC1030_REPORT_SHIYAKU_IF_TANI,J30,0)))</f>
        <v/>
      </c>
      <c r="G30" s="1009" t="str">
        <f ca="1">IF(J30&gt;UNJC1030_REPORT_SHIYAKU_IF_KENSU,"",
IF(OFFSET(UNJC1030_REPORT_SHIYAKU_IF_IRISU,J30,0)="","",
OFFSET(UNJC1030_REPORT_SHIYAKU_IF_IRISU,J30,0))&amp;
IF(OFFSET(UNJC1030_REPORT_SHIYAKU_IF_BARA_TANI,J30,0)="","",
OFFSET(UNJC1030_REPORT_SHIYAKU_IF_BARA_TANI,J30,0)))</f>
        <v/>
      </c>
      <c r="H30" s="1010" t="str">
        <f ca="1">IF(J30&gt;UNJC1030_REPORT_SHIYAKU_IF_KENSU,"",
IF(OFFSET(UNJC1030_REPORT_SHIYAKU_IF_NOHIN_DATE,J30,0)="","",
OFFSET(UNJC1030_REPORT_SHIYAKU_IF_NOHIN_DATE,J30,0)))</f>
        <v/>
      </c>
      <c r="I30" s="1011" t="str">
        <f ca="1">IF(J30&gt;UNJC1030_REPORT_SHIYAKU_IF_KENSU,"",
IF(OFFSET(UNJC1030_REPORT_SHIYAKU_IF_TEKIYO,J30,0)="","",
OFFSET(UNJC1030_REPORT_SHIYAKU_IF_TEKIYO,J30,0)))</f>
        <v/>
      </c>
      <c r="J30" s="536">
        <f>1+MOD(ROW(),ROWS(UNJC1030_REPORT_SHIYAKU_IF_COPY_MOTO))-ROW(UNJC1030_REPORT_SHIYAKU_TOP_START)+
ROUNDDOWN(ROW()/ROWS(UNJC1030_REPORT_SHIYAKU_IF_COPY_MOTO),0)*UNJC1030_REPORT_SHIYAKU_IF_HYOJI_GYO_SU</f>
        <v>8</v>
      </c>
    </row>
    <row r="31" spans="1:10" ht="63.75" customHeight="1">
      <c r="A31" s="1007" t="str">
        <f ca="1">IF(J31&gt;UNJC1030_REPORT_SHIYAKU_IF_KENSU,"",
IF(OFFSET(UNJC1030_REPORT_SHIYAKU_IF_SEIKYUSAKI_MEI,J31,0)="","",
OFFSET(UNJC1030_REPORT_SHIYAKU_IF_SEIKYUSAKI_MEI,J31,0))&amp;"　"&amp;
IF(OFFSET(UNJC1030_REPORT_SHIYAKU_IF_TANTO_MEI,J31,0)="","",
OFFSET(UNJC1030_REPORT_SHIYAKU_IF_TANTO_MEI,J31,0)))</f>
        <v/>
      </c>
      <c r="B31" s="1882" t="str">
        <f ca="1">IF(J31&gt;UNJC1030_REPORT_SHIYAKU_IF_KENSU,"",
IF(OFFSET(UNJC1030_REPORT_SHIYAKU_IF_SHIYAKU_MEI,J31,0)="","",
OFFSET(UNJC1030_REPORT_SHIYAKU_IF_SHIYAKU_MEI,J31,0)))</f>
        <v/>
      </c>
      <c r="C31" s="1883"/>
      <c r="D31" s="1884"/>
      <c r="E31" s="1008" t="str">
        <f ca="1">IF(J31&gt;UNJC1030_REPORT_SHIYAKU_IF_KENSU,"",
IF(OFFSET(UNJC1030_REPORT_SHIYAKU_IF_DOKU,J31,0)="","",
OFFSET(UNJC1030_REPORT_SHIYAKU_IF_DOKU,J31,0)))</f>
        <v/>
      </c>
      <c r="F31" s="1009" t="str">
        <f ca="1">IF(J31&gt;UNJC1030_REPORT_SHIYAKU_IF_KENSU,"",
IF(OFFSET(UNJC1030_REPORT_SHIYAKU_IF_SURYO,J31,0)="","",
OFFSET(UNJC1030_REPORT_SHIYAKU_IF_SURYO,J31,0))&amp;
IF(OFFSET(UNJC1030_REPORT_SHIYAKU_IF_TANI,J31,0)="","",
OFFSET(UNJC1030_REPORT_SHIYAKU_IF_TANI,J31,0)))</f>
        <v/>
      </c>
      <c r="G31" s="1009" t="str">
        <f ca="1">IF(J31&gt;UNJC1030_REPORT_SHIYAKU_IF_KENSU,"",
IF(OFFSET(UNJC1030_REPORT_SHIYAKU_IF_IRISU,J31,0)="","",
OFFSET(UNJC1030_REPORT_SHIYAKU_IF_IRISU,J31,0))&amp;
IF(OFFSET(UNJC1030_REPORT_SHIYAKU_IF_BARA_TANI,J31,0)="","",
OFFSET(UNJC1030_REPORT_SHIYAKU_IF_BARA_TANI,J31,0)))</f>
        <v/>
      </c>
      <c r="H31" s="1010" t="str">
        <f ca="1">IF(J31&gt;UNJC1030_REPORT_SHIYAKU_IF_KENSU,"",
IF(OFFSET(UNJC1030_REPORT_SHIYAKU_IF_NOHIN_DATE,J31,0)="","",
OFFSET(UNJC1030_REPORT_SHIYAKU_IF_NOHIN_DATE,J31,0)))</f>
        <v/>
      </c>
      <c r="I31" s="1011" t="str">
        <f ca="1">IF(J31&gt;UNJC1030_REPORT_SHIYAKU_IF_KENSU,"",
IF(OFFSET(UNJC1030_REPORT_SHIYAKU_IF_TEKIYO,J31,0)="","",
OFFSET(UNJC1030_REPORT_SHIYAKU_IF_TEKIYO,J31,0)))</f>
        <v/>
      </c>
      <c r="J31" s="536">
        <f>1+MOD(ROW(),ROWS(UNJC1030_REPORT_SHIYAKU_IF_COPY_MOTO))-ROW(UNJC1030_REPORT_SHIYAKU_TOP_START)+
ROUNDDOWN(ROW()/ROWS(UNJC1030_REPORT_SHIYAKU_IF_COPY_MOTO),0)*UNJC1030_REPORT_SHIYAKU_IF_HYOJI_GYO_SU</f>
        <v>9</v>
      </c>
    </row>
    <row r="32" spans="1:10" ht="63.75" customHeight="1">
      <c r="A32" s="1007" t="str">
        <f ca="1">IF(J32&gt;UNJC1030_REPORT_SHIYAKU_IF_KENSU,"",
IF(OFFSET(UNJC1030_REPORT_SHIYAKU_IF_SEIKYUSAKI_MEI,J32,0)="","",
OFFSET(UNJC1030_REPORT_SHIYAKU_IF_SEIKYUSAKI_MEI,J32,0))&amp;"　"&amp;
IF(OFFSET(UNJC1030_REPORT_SHIYAKU_IF_TANTO_MEI,J32,0)="","",
OFFSET(UNJC1030_REPORT_SHIYAKU_IF_TANTO_MEI,J32,0)))</f>
        <v/>
      </c>
      <c r="B32" s="1882" t="str">
        <f ca="1">IF(J32&gt;UNJC1030_REPORT_SHIYAKU_IF_KENSU,"",
IF(OFFSET(UNJC1030_REPORT_SHIYAKU_IF_SHIYAKU_MEI,J32,0)="","",
OFFSET(UNJC1030_REPORT_SHIYAKU_IF_SHIYAKU_MEI,J32,0)))</f>
        <v/>
      </c>
      <c r="C32" s="1883"/>
      <c r="D32" s="1884"/>
      <c r="E32" s="1008" t="str">
        <f ca="1">IF(J32&gt;UNJC1030_REPORT_SHIYAKU_IF_KENSU,"",
IF(OFFSET(UNJC1030_REPORT_SHIYAKU_IF_DOKU,J32,0)="","",
OFFSET(UNJC1030_REPORT_SHIYAKU_IF_DOKU,J32,0)))</f>
        <v/>
      </c>
      <c r="F32" s="1009" t="str">
        <f ca="1">IF(J32&gt;UNJC1030_REPORT_SHIYAKU_IF_KENSU,"",
IF(OFFSET(UNJC1030_REPORT_SHIYAKU_IF_SURYO,J32,0)="","",
OFFSET(UNJC1030_REPORT_SHIYAKU_IF_SURYO,J32,0))&amp;
IF(OFFSET(UNJC1030_REPORT_SHIYAKU_IF_TANI,J32,0)="","",
OFFSET(UNJC1030_REPORT_SHIYAKU_IF_TANI,J32,0)))</f>
        <v/>
      </c>
      <c r="G32" s="1009" t="str">
        <f ca="1">IF(J32&gt;UNJC1030_REPORT_SHIYAKU_IF_KENSU,"",
IF(OFFSET(UNJC1030_REPORT_SHIYAKU_IF_IRISU,J32,0)="","",
OFFSET(UNJC1030_REPORT_SHIYAKU_IF_IRISU,J32,0))&amp;
IF(OFFSET(UNJC1030_REPORT_SHIYAKU_IF_BARA_TANI,J32,0)="","",
OFFSET(UNJC1030_REPORT_SHIYAKU_IF_BARA_TANI,J32,0)))</f>
        <v/>
      </c>
      <c r="H32" s="1010" t="str">
        <f ca="1">IF(J32&gt;UNJC1030_REPORT_SHIYAKU_IF_KENSU,"",
IF(OFFSET(UNJC1030_REPORT_SHIYAKU_IF_NOHIN_DATE,J32,0)="","",
OFFSET(UNJC1030_REPORT_SHIYAKU_IF_NOHIN_DATE,J32,0)))</f>
        <v/>
      </c>
      <c r="I32" s="1011" t="str">
        <f ca="1">IF(J32&gt;UNJC1030_REPORT_SHIYAKU_IF_KENSU,"",
IF(OFFSET(UNJC1030_REPORT_SHIYAKU_IF_TEKIYO,J32,0)="","",
OFFSET(UNJC1030_REPORT_SHIYAKU_IF_TEKIYO,J32,0)))</f>
        <v/>
      </c>
      <c r="J32" s="536">
        <f>1+MOD(ROW(),ROWS(UNJC1030_REPORT_SHIYAKU_IF_COPY_MOTO))-ROW(UNJC1030_REPORT_SHIYAKU_TOP_START)+
ROUNDDOWN(ROW()/ROWS(UNJC1030_REPORT_SHIYAKU_IF_COPY_MOTO),0)*UNJC1030_REPORT_SHIYAKU_IF_HYOJI_GYO_SU</f>
        <v>10</v>
      </c>
    </row>
    <row r="33" spans="1:10" ht="16.5" customHeight="1"/>
    <row r="34" spans="1:10" ht="16.5" customHeight="1"/>
    <row r="35" spans="1:10" ht="16.5" customHeight="1"/>
    <row r="36" spans="1:10" ht="16.5" customHeight="1"/>
    <row r="37" spans="1:10" ht="16.5" customHeight="1">
      <c r="A37" s="1889" t="s">
        <v>557</v>
      </c>
      <c r="B37" s="1889"/>
      <c r="H37" s="1002" t="s">
        <v>25</v>
      </c>
      <c r="I37" s="537" t="str">
        <f ca="1">IF(J41&gt;UNJC1030_REPORT_SHIYAKU_IF_KENSU,"",
IF(OFFSET(UNJC1030_REPORT_SHIYAKU_IF_JURI_NO,J41,0)="","",
OFFSET(UNJC1030_REPORT_SHIYAKU_IF_JURI_NO,J41,0)))</f>
        <v/>
      </c>
    </row>
    <row r="38" spans="1:10" ht="16.5" customHeight="1">
      <c r="A38" s="1889"/>
      <c r="B38" s="1889"/>
      <c r="H38" s="1002" t="s">
        <v>553</v>
      </c>
      <c r="I38" s="1003">
        <f ca="1">NOW()</f>
        <v>43005.636301041697</v>
      </c>
    </row>
    <row r="39" spans="1:10" ht="16.5" customHeight="1">
      <c r="B39" s="1004"/>
      <c r="H39" s="1002" t="s">
        <v>554</v>
      </c>
      <c r="I39" s="1004" t="str">
        <f>IF(UNJC1030_REPORT_SHIYAKU_IF_HAKKOSHA="","",UNJC1030_REPORT_SHIYAKU_IF_HAKKOSHA)</f>
        <v/>
      </c>
    </row>
    <row r="40" spans="1:10" ht="16.5" customHeight="1">
      <c r="A40" s="1194" t="s">
        <v>550</v>
      </c>
      <c r="B40" s="1195" t="s">
        <v>559</v>
      </c>
      <c r="C40" s="1886" t="s">
        <v>560</v>
      </c>
      <c r="D40" s="1888"/>
      <c r="E40" s="1194" t="s">
        <v>43</v>
      </c>
      <c r="F40" s="1006" t="s">
        <v>551</v>
      </c>
      <c r="G40" s="1006" t="s">
        <v>552</v>
      </c>
      <c r="H40" s="1006" t="s">
        <v>555</v>
      </c>
      <c r="I40" s="1006" t="s">
        <v>1</v>
      </c>
      <c r="J40" s="1006" t="s">
        <v>644</v>
      </c>
    </row>
    <row r="41" spans="1:10" ht="63.75" customHeight="1">
      <c r="A41" s="1007" t="str">
        <f ca="1">IF(J41&gt;UNJC1030_REPORT_SHIYAKU_IF_KENSU,"",
IF(OFFSET(UNJC1030_REPORT_SHIYAKU_IF_SEIKYUSAKI_MEI,J41,0)="","",
OFFSET(UNJC1030_REPORT_SHIYAKU_IF_SEIKYUSAKI_MEI,J41,0))&amp;"　"&amp;
IF(OFFSET(UNJC1030_REPORT_SHIYAKU_IF_TANTO_MEI,J41,0)="","",
OFFSET(UNJC1030_REPORT_SHIYAKU_IF_TANTO_MEI,J41,0)))</f>
        <v/>
      </c>
      <c r="B41" s="1196" t="str">
        <f ca="1">IF(J41&gt;UNJC1030_REPORT_SHIYAKU_IF_KENSU,"",
IF(OFFSET(UNJC1030_REPORT_SHIYAKU_IF_SHIYAKU_MEI,J41,0)="","",
OFFSET(UNJC1030_REPORT_SHIYAKU_IF_SHIYAKU_MEI,J41,0)))</f>
        <v/>
      </c>
      <c r="C41" s="1885" t="str">
        <f ca="1">IF(J41&gt;UNJC1030_REPORT_SHIYAKU_IF_KENSU,"",
IF(OFFSET(UNJC1030_REPORT_SHIYAKU_IF_SHIYAKU_NAIYO,J41,0)="","",
OFFSET(UNJC1030_REPORT_SHIYAKU_IF_SHIYAKU_NAIYO,J41,0)))</f>
        <v/>
      </c>
      <c r="D41" s="1885"/>
      <c r="E41" s="1008" t="str">
        <f ca="1">IF(J41&gt;UNJC1030_REPORT_SHIYAKU_IF_KENSU,"",
IF(OFFSET(UNJC1030_REPORT_SHIYAKU_IF_DOKU,J41,0)="","",
OFFSET(UNJC1030_REPORT_SHIYAKU_IF_DOKU,J41,0)))</f>
        <v/>
      </c>
      <c r="F41" s="1013" t="str">
        <f ca="1">IF(J41&gt;UNJC1030_REPORT_SHIYAKU_IF_KENSU,"",
IF(OFFSET(UNJC1030_REPORT_SHIYAKU_IF_SURYO,J41,0)="","",
OFFSET(UNJC1030_REPORT_SHIYAKU_IF_SURYO,J41,0))&amp;
IF(OFFSET(UNJC1030_REPORT_SHIYAKU_IF_TANI,J41,0)="","",
OFFSET(UNJC1030_REPORT_SHIYAKU_IF_TANI,J41,0)))</f>
        <v/>
      </c>
      <c r="G41" s="1009" t="str">
        <f ca="1">IF(J41&gt;UNJC1030_REPORT_SHIYAKU_IF_KENSU,"",
IF(OFFSET(UNJC1030_REPORT_SHIYAKU_IF_IRISU,J41,0)="","",
OFFSET(UNJC1030_REPORT_SHIYAKU_IF_IRISU,J41,0))&amp;
IF(OFFSET(UNJC1030_REPORT_SHIYAKU_IF_BARA_TANI,J41,0)="","",
OFFSET(UNJC1030_REPORT_SHIYAKU_IF_BARA_TANI,J41,0)))</f>
        <v/>
      </c>
      <c r="H41" s="1010"/>
      <c r="I41" s="1011" t="str">
        <f ca="1">IF(J41&gt;UNJC1030_REPORT_SHIYAKU_IF_KENSU,"",
IF(OFFSET(UNJC1030_REPORT_SHIYAKU_IF_BIKO,J41,0)="","",
OFFSET(UNJC1030_REPORT_SHIYAKU_IF_BIKO,J41,0)))</f>
        <v/>
      </c>
      <c r="J41" s="536">
        <f>1+MOD(ROW(),ROWS(UNJC1030_REPORT_SHIYAKU_IF_COPY_MOTO))-ROW(UNJC1030_REPORT_SHIYAKU_BOTTOM_START)+
ROUNDDOWN(ROW()/ROWS(UNJC1030_REPORT_SHIYAKU_IF_COPY_MOTO),0)*UNJC1030_REPORT_SHIYAKU_IF_HYOJI_GYO_SU</f>
        <v>6</v>
      </c>
    </row>
    <row r="42" spans="1:10" ht="63.75" customHeight="1">
      <c r="A42" s="1007" t="str">
        <f ca="1">IF(J42&gt;UNJC1030_REPORT_SHIYAKU_IF_KENSU,"",
IF(OFFSET(UNJC1030_REPORT_SHIYAKU_IF_SEIKYUSAKI_MEI,J42,0)="","",
OFFSET(UNJC1030_REPORT_SHIYAKU_IF_SEIKYUSAKI_MEI,J42,0))&amp;"　"&amp;
IF(OFFSET(UNJC1030_REPORT_SHIYAKU_IF_TANTO_MEI,J42,0)="","",
OFFSET(UNJC1030_REPORT_SHIYAKU_IF_TANTO_MEI,J42,0)))</f>
        <v/>
      </c>
      <c r="B42" s="1196" t="str">
        <f ca="1">IF(J42&gt;UNJC1030_REPORT_SHIYAKU_IF_KENSU,"",
IF(OFFSET(UNJC1030_REPORT_SHIYAKU_IF_SHIYAKU_MEI,J42,0)="","",
OFFSET(UNJC1030_REPORT_SHIYAKU_IF_SHIYAKU_MEI,J42,0)))</f>
        <v/>
      </c>
      <c r="C42" s="1885" t="str">
        <f ca="1">IF(J42&gt;UNJC1030_REPORT_SHIYAKU_IF_KENSU,"",
IF(OFFSET(UNJC1030_REPORT_SHIYAKU_IF_SHIYAKU_NAIYO,J42,0)="","",
OFFSET(UNJC1030_REPORT_SHIYAKU_IF_SHIYAKU_NAIYO,J42,0)))</f>
        <v/>
      </c>
      <c r="D42" s="1885"/>
      <c r="E42" s="1008" t="str">
        <f ca="1">IF(J42&gt;UNJC1030_REPORT_SHIYAKU_IF_KENSU,"",
IF(OFFSET(UNJC1030_REPORT_SHIYAKU_IF_DOKU,J42,0)="","",
OFFSET(UNJC1030_REPORT_SHIYAKU_IF_DOKU,J42,0)))</f>
        <v/>
      </c>
      <c r="F42" s="1013" t="str">
        <f ca="1">IF(J42&gt;UNJC1030_REPORT_SHIYAKU_IF_KENSU,"",
IF(OFFSET(UNJC1030_REPORT_SHIYAKU_IF_SURYO,J42,0)="","",
OFFSET(UNJC1030_REPORT_SHIYAKU_IF_SURYO,J42,0))&amp;
IF(OFFSET(UNJC1030_REPORT_SHIYAKU_IF_TANI,J42,0)="","",
OFFSET(UNJC1030_REPORT_SHIYAKU_IF_TANI,J42,0)))</f>
        <v/>
      </c>
      <c r="G42" s="1009" t="str">
        <f ca="1">IF(J42&gt;UNJC1030_REPORT_SHIYAKU_IF_KENSU,"",
IF(OFFSET(UNJC1030_REPORT_SHIYAKU_IF_IRISU,J42,0)="","",
OFFSET(UNJC1030_REPORT_SHIYAKU_IF_IRISU,J42,0))&amp;
IF(OFFSET(UNJC1030_REPORT_SHIYAKU_IF_BARA_TANI,J42,0)="","",
OFFSET(UNJC1030_REPORT_SHIYAKU_IF_BARA_TANI,J42,0)))</f>
        <v/>
      </c>
      <c r="H42" s="1010"/>
      <c r="I42" s="1011" t="str">
        <f ca="1">IF(J42&gt;UNJC1030_REPORT_SHIYAKU_IF_KENSU,"",
IF(OFFSET(UNJC1030_REPORT_SHIYAKU_IF_BIKO,J42,0)="","",
OFFSET(UNJC1030_REPORT_SHIYAKU_IF_BIKO,J42,0)))</f>
        <v/>
      </c>
      <c r="J42" s="536">
        <f>1+MOD(ROW(),ROWS(UNJC1030_REPORT_SHIYAKU_IF_COPY_MOTO))-ROW(UNJC1030_REPORT_SHIYAKU_BOTTOM_START)+
ROUNDDOWN(ROW()/ROWS(UNJC1030_REPORT_SHIYAKU_IF_COPY_MOTO),0)*UNJC1030_REPORT_SHIYAKU_IF_HYOJI_GYO_SU</f>
        <v>7</v>
      </c>
    </row>
    <row r="43" spans="1:10" ht="63.75" customHeight="1">
      <c r="A43" s="1007" t="str">
        <f ca="1">IF(J43&gt;UNJC1030_REPORT_SHIYAKU_IF_KENSU,"",
IF(OFFSET(UNJC1030_REPORT_SHIYAKU_IF_SEIKYUSAKI_MEI,J43,0)="","",
OFFSET(UNJC1030_REPORT_SHIYAKU_IF_SEIKYUSAKI_MEI,J43,0))&amp;"　"&amp;
IF(OFFSET(UNJC1030_REPORT_SHIYAKU_IF_TANTO_MEI,J43,0)="","",
OFFSET(UNJC1030_REPORT_SHIYAKU_IF_TANTO_MEI,J43,0)))</f>
        <v/>
      </c>
      <c r="B43" s="1196" t="str">
        <f ca="1">IF(J43&gt;UNJC1030_REPORT_SHIYAKU_IF_KENSU,"",
IF(OFFSET(UNJC1030_REPORT_SHIYAKU_IF_SHIYAKU_MEI,J43,0)="","",
OFFSET(UNJC1030_REPORT_SHIYAKU_IF_SHIYAKU_MEI,J43,0)))</f>
        <v/>
      </c>
      <c r="C43" s="1885" t="str">
        <f ca="1">IF(J43&gt;UNJC1030_REPORT_SHIYAKU_IF_KENSU,"",
IF(OFFSET(UNJC1030_REPORT_SHIYAKU_IF_SHIYAKU_NAIYO,J43,0)="","",
OFFSET(UNJC1030_REPORT_SHIYAKU_IF_SHIYAKU_NAIYO,J43,0)))</f>
        <v/>
      </c>
      <c r="D43" s="1885"/>
      <c r="E43" s="1008" t="str">
        <f ca="1">IF(J43&gt;UNJC1030_REPORT_SHIYAKU_IF_KENSU,"",
IF(OFFSET(UNJC1030_REPORT_SHIYAKU_IF_DOKU,J43,0)="","",
OFFSET(UNJC1030_REPORT_SHIYAKU_IF_DOKU,J43,0)))</f>
        <v/>
      </c>
      <c r="F43" s="1013" t="str">
        <f ca="1">IF(J43&gt;UNJC1030_REPORT_SHIYAKU_IF_KENSU,"",
IF(OFFSET(UNJC1030_REPORT_SHIYAKU_IF_SURYO,J43,0)="","",
OFFSET(UNJC1030_REPORT_SHIYAKU_IF_SURYO,J43,0))&amp;
IF(OFFSET(UNJC1030_REPORT_SHIYAKU_IF_TANI,J43,0)="","",
OFFSET(UNJC1030_REPORT_SHIYAKU_IF_TANI,J43,0)))</f>
        <v/>
      </c>
      <c r="G43" s="1009" t="str">
        <f ca="1">IF(J43&gt;UNJC1030_REPORT_SHIYAKU_IF_KENSU,"",
IF(OFFSET(UNJC1030_REPORT_SHIYAKU_IF_IRISU,J43,0)="","",
OFFSET(UNJC1030_REPORT_SHIYAKU_IF_IRISU,J43,0))&amp;
IF(OFFSET(UNJC1030_REPORT_SHIYAKU_IF_BARA_TANI,J43,0)="","",
OFFSET(UNJC1030_REPORT_SHIYAKU_IF_BARA_TANI,J43,0)))</f>
        <v/>
      </c>
      <c r="H43" s="1010"/>
      <c r="I43" s="1011" t="str">
        <f ca="1">IF(J43&gt;UNJC1030_REPORT_SHIYAKU_IF_KENSU,"",
IF(OFFSET(UNJC1030_REPORT_SHIYAKU_IF_BIKO,J43,0)="","",
OFFSET(UNJC1030_REPORT_SHIYAKU_IF_BIKO,J43,0)))</f>
        <v/>
      </c>
      <c r="J43" s="536">
        <f>1+MOD(ROW(),ROWS(UNJC1030_REPORT_SHIYAKU_IF_COPY_MOTO))-ROW(UNJC1030_REPORT_SHIYAKU_BOTTOM_START)+
ROUNDDOWN(ROW()/ROWS(UNJC1030_REPORT_SHIYAKU_IF_COPY_MOTO),0)*UNJC1030_REPORT_SHIYAKU_IF_HYOJI_GYO_SU</f>
        <v>8</v>
      </c>
    </row>
    <row r="44" spans="1:10" ht="63.75" customHeight="1">
      <c r="A44" s="1007" t="str">
        <f ca="1">IF(J44&gt;UNJC1030_REPORT_SHIYAKU_IF_KENSU,"",
IF(OFFSET(UNJC1030_REPORT_SHIYAKU_IF_SEIKYUSAKI_MEI,J44,0)="","",
OFFSET(UNJC1030_REPORT_SHIYAKU_IF_SEIKYUSAKI_MEI,J44,0))&amp;"　"&amp;
IF(OFFSET(UNJC1030_REPORT_SHIYAKU_IF_TANTO_MEI,J44,0)="","",
OFFSET(UNJC1030_REPORT_SHIYAKU_IF_TANTO_MEI,J44,0)))</f>
        <v/>
      </c>
      <c r="B44" s="1196" t="str">
        <f ca="1">IF(J44&gt;UNJC1030_REPORT_SHIYAKU_IF_KENSU,"",
IF(OFFSET(UNJC1030_REPORT_SHIYAKU_IF_SHIYAKU_MEI,J44,0)="","",
OFFSET(UNJC1030_REPORT_SHIYAKU_IF_SHIYAKU_MEI,J44,0)))</f>
        <v/>
      </c>
      <c r="C44" s="1885" t="str">
        <f ca="1">IF(J44&gt;UNJC1030_REPORT_SHIYAKU_IF_KENSU,"",
IF(OFFSET(UNJC1030_REPORT_SHIYAKU_IF_SHIYAKU_NAIYO,J44,0)="","",
OFFSET(UNJC1030_REPORT_SHIYAKU_IF_SHIYAKU_NAIYO,J44,0)))</f>
        <v/>
      </c>
      <c r="D44" s="1885"/>
      <c r="E44" s="1008" t="str">
        <f ca="1">IF(J44&gt;UNJC1030_REPORT_SHIYAKU_IF_KENSU,"",
IF(OFFSET(UNJC1030_REPORT_SHIYAKU_IF_DOKU,J44,0)="","",
OFFSET(UNJC1030_REPORT_SHIYAKU_IF_DOKU,J44,0)))</f>
        <v/>
      </c>
      <c r="F44" s="1013" t="str">
        <f ca="1">IF(J44&gt;UNJC1030_REPORT_SHIYAKU_IF_KENSU,"",
IF(OFFSET(UNJC1030_REPORT_SHIYAKU_IF_SURYO,J44,0)="","",
OFFSET(UNJC1030_REPORT_SHIYAKU_IF_SURYO,J44,0))&amp;
IF(OFFSET(UNJC1030_REPORT_SHIYAKU_IF_TANI,J44,0)="","",
OFFSET(UNJC1030_REPORT_SHIYAKU_IF_TANI,J44,0)))</f>
        <v/>
      </c>
      <c r="G44" s="1009" t="str">
        <f ca="1">IF(J44&gt;UNJC1030_REPORT_SHIYAKU_IF_KENSU,"",
IF(OFFSET(UNJC1030_REPORT_SHIYAKU_IF_IRISU,J44,0)="","",
OFFSET(UNJC1030_REPORT_SHIYAKU_IF_IRISU,J44,0))&amp;
IF(OFFSET(UNJC1030_REPORT_SHIYAKU_IF_BARA_TANI,J44,0)="","",
OFFSET(UNJC1030_REPORT_SHIYAKU_IF_BARA_TANI,J44,0)))</f>
        <v/>
      </c>
      <c r="H44" s="1010"/>
      <c r="I44" s="1011" t="str">
        <f ca="1">IF(J44&gt;UNJC1030_REPORT_SHIYAKU_IF_KENSU,"",
IF(OFFSET(UNJC1030_REPORT_SHIYAKU_IF_BIKO,J44,0)="","",
OFFSET(UNJC1030_REPORT_SHIYAKU_IF_BIKO,J44,0)))</f>
        <v/>
      </c>
      <c r="J44" s="536">
        <f>1+MOD(ROW(),ROWS(UNJC1030_REPORT_SHIYAKU_IF_COPY_MOTO))-ROW(UNJC1030_REPORT_SHIYAKU_BOTTOM_START)+
ROUNDDOWN(ROW()/ROWS(UNJC1030_REPORT_SHIYAKU_IF_COPY_MOTO),0)*UNJC1030_REPORT_SHIYAKU_IF_HYOJI_GYO_SU</f>
        <v>9</v>
      </c>
    </row>
    <row r="45" spans="1:10" ht="63.75" customHeight="1">
      <c r="A45" s="1007" t="str">
        <f ca="1">IF(J45&gt;UNJC1030_REPORT_SHIYAKU_IF_KENSU,"",
IF(OFFSET(UNJC1030_REPORT_SHIYAKU_IF_SEIKYUSAKI_MEI,J45,0)="","",
OFFSET(UNJC1030_REPORT_SHIYAKU_IF_SEIKYUSAKI_MEI,J45,0))&amp;"　"&amp;
IF(OFFSET(UNJC1030_REPORT_SHIYAKU_IF_TANTO_MEI,J45,0)="","",
OFFSET(UNJC1030_REPORT_SHIYAKU_IF_TANTO_MEI,J45,0)))</f>
        <v/>
      </c>
      <c r="B45" s="1196" t="str">
        <f ca="1">IF(J45&gt;UNJC1030_REPORT_SHIYAKU_IF_KENSU,"",
IF(OFFSET(UNJC1030_REPORT_SHIYAKU_IF_SHIYAKU_MEI,J45,0)="","",
OFFSET(UNJC1030_REPORT_SHIYAKU_IF_SHIYAKU_MEI,J45,0)))</f>
        <v/>
      </c>
      <c r="C45" s="1885" t="str">
        <f ca="1">IF(J45&gt;UNJC1030_REPORT_SHIYAKU_IF_KENSU,"",
IF(OFFSET(UNJC1030_REPORT_SHIYAKU_IF_SHIYAKU_NAIYO,J45,0)="","",
OFFSET(UNJC1030_REPORT_SHIYAKU_IF_SHIYAKU_NAIYO,J45,0)))</f>
        <v/>
      </c>
      <c r="D45" s="1885"/>
      <c r="E45" s="1008" t="str">
        <f ca="1">IF(J45&gt;UNJC1030_REPORT_SHIYAKU_IF_KENSU,"",
IF(OFFSET(UNJC1030_REPORT_SHIYAKU_IF_DOKU,J45,0)="","",
OFFSET(UNJC1030_REPORT_SHIYAKU_IF_DOKU,J45,0)))</f>
        <v/>
      </c>
      <c r="F45" s="1013" t="str">
        <f ca="1">IF(J45&gt;UNJC1030_REPORT_SHIYAKU_IF_KENSU,"",
IF(OFFSET(UNJC1030_REPORT_SHIYAKU_IF_SURYO,J45,0)="","",
OFFSET(UNJC1030_REPORT_SHIYAKU_IF_SURYO,J45,0))&amp;
IF(OFFSET(UNJC1030_REPORT_SHIYAKU_IF_TANI,J45,0)="","",
OFFSET(UNJC1030_REPORT_SHIYAKU_IF_TANI,J45,0)))</f>
        <v/>
      </c>
      <c r="G45" s="1009" t="str">
        <f ca="1">IF(J45&gt;UNJC1030_REPORT_SHIYAKU_IF_KENSU,"",
IF(OFFSET(UNJC1030_REPORT_SHIYAKU_IF_IRISU,J45,0)="","",
OFFSET(UNJC1030_REPORT_SHIYAKU_IF_IRISU,J45,0))&amp;
IF(OFFSET(UNJC1030_REPORT_SHIYAKU_IF_BARA_TANI,J45,0)="","",
OFFSET(UNJC1030_REPORT_SHIYAKU_IF_BARA_TANI,J45,0)))</f>
        <v/>
      </c>
      <c r="H45" s="1010"/>
      <c r="I45" s="1011" t="str">
        <f ca="1">IF(J45&gt;UNJC1030_REPORT_SHIYAKU_IF_KENSU,"",
IF(OFFSET(UNJC1030_REPORT_SHIYAKU_IF_BIKO,J45,0)="","",
OFFSET(UNJC1030_REPORT_SHIYAKU_IF_BIKO,J45,0)))</f>
        <v/>
      </c>
      <c r="J45" s="536">
        <f>1+MOD(ROW(),ROWS(UNJC1030_REPORT_SHIYAKU_IF_COPY_MOTO))-ROW(UNJC1030_REPORT_SHIYAKU_BOTTOM_START)+
ROUNDDOWN(ROW()/ROWS(UNJC1030_REPORT_SHIYAKU_IF_COPY_MOTO),0)*UNJC1030_REPORT_SHIYAKU_IF_HYOJI_GYO_SU</f>
        <v>10</v>
      </c>
    </row>
    <row r="47" spans="1:10" ht="16.5" customHeight="1">
      <c r="A47" s="1889" t="s">
        <v>556</v>
      </c>
      <c r="B47" s="1889"/>
      <c r="H47" s="1002" t="s">
        <v>25</v>
      </c>
      <c r="I47" s="537" t="str">
        <f ca="1">IF(J51&gt;UNJC1030_REPORT_SHIYAKU_IF_KENSU,"",
IF(OFFSET(UNJC1030_REPORT_SHIYAKU_IF_JURI_NO,J51,0)="","",
OFFSET(UNJC1030_REPORT_SHIYAKU_IF_JURI_NO,J51,0)))</f>
        <v/>
      </c>
    </row>
    <row r="48" spans="1:10" ht="16.5" customHeight="1">
      <c r="A48" s="1889"/>
      <c r="B48" s="1889"/>
      <c r="H48" s="1002" t="s">
        <v>553</v>
      </c>
      <c r="I48" s="1003">
        <f ca="1">NOW()</f>
        <v>43005.636301041697</v>
      </c>
    </row>
    <row r="49" spans="1:10" ht="16.5" customHeight="1">
      <c r="H49" s="1002" t="s">
        <v>554</v>
      </c>
      <c r="I49" s="1004" t="str">
        <f>IF(UNJC1030_REPORT_SHIYAKU_IF_HAKKOSHA="","",UNJC1030_REPORT_SHIYAKU_IF_HAKKOSHA)</f>
        <v/>
      </c>
    </row>
    <row r="50" spans="1:10" ht="16.5" customHeight="1">
      <c r="A50" s="1194" t="s">
        <v>550</v>
      </c>
      <c r="B50" s="1886" t="s">
        <v>558</v>
      </c>
      <c r="C50" s="1887"/>
      <c r="D50" s="1888"/>
      <c r="E50" s="1194" t="s">
        <v>43</v>
      </c>
      <c r="F50" s="1006" t="s">
        <v>551</v>
      </c>
      <c r="G50" s="1006" t="s">
        <v>552</v>
      </c>
      <c r="H50" s="1006" t="s">
        <v>3574</v>
      </c>
      <c r="I50" s="1006" t="s">
        <v>1</v>
      </c>
      <c r="J50" s="1006" t="s">
        <v>644</v>
      </c>
    </row>
    <row r="51" spans="1:10" ht="63.75" customHeight="1">
      <c r="A51" s="1007" t="str">
        <f ca="1">IF(J51&gt;UNJC1030_REPORT_SHIYAKU_IF_KENSU,"",
IF(OFFSET(UNJC1030_REPORT_SHIYAKU_IF_SEIKYUSAKI_MEI,J51,0)="","",
OFFSET(UNJC1030_REPORT_SHIYAKU_IF_SEIKYUSAKI_MEI,J51,0))&amp;"　"&amp;
IF(OFFSET(UNJC1030_REPORT_SHIYAKU_IF_TANTO_MEI,J51,0)="","",
OFFSET(UNJC1030_REPORT_SHIYAKU_IF_TANTO_MEI,J51,0)))</f>
        <v/>
      </c>
      <c r="B51" s="1882" t="str">
        <f ca="1">IF(J51&gt;UNJC1030_REPORT_SHIYAKU_IF_KENSU,"",
IF(OFFSET(UNJC1030_REPORT_SHIYAKU_IF_SHIYAKU_MEI,J51,0)="","",
OFFSET(UNJC1030_REPORT_SHIYAKU_IF_SHIYAKU_MEI,J51,0)))</f>
        <v/>
      </c>
      <c r="C51" s="1883"/>
      <c r="D51" s="1884"/>
      <c r="E51" s="1008" t="str">
        <f ca="1">IF(J51&gt;UNJC1030_REPORT_SHIYAKU_IF_KENSU,"",
IF(OFFSET(UNJC1030_REPORT_SHIYAKU_IF_DOKU,J51,0)="","",
OFFSET(UNJC1030_REPORT_SHIYAKU_IF_DOKU,J51,0)))</f>
        <v/>
      </c>
      <c r="F51" s="1009" t="str">
        <f ca="1">IF(J51&gt;UNJC1030_REPORT_SHIYAKU_IF_KENSU,"",
IF(OFFSET(UNJC1030_REPORT_SHIYAKU_IF_SURYO,J51,0)="","",
OFFSET(UNJC1030_REPORT_SHIYAKU_IF_SURYO,J51,0))&amp;
IF(OFFSET(UNJC1030_REPORT_SHIYAKU_IF_TANI,J51,0)="","",
OFFSET(UNJC1030_REPORT_SHIYAKU_IF_TANI,J51,0)))</f>
        <v/>
      </c>
      <c r="G51" s="1009" t="str">
        <f ca="1">IF(J51&gt;UNJC1030_REPORT_SHIYAKU_IF_KENSU,"",
IF(OFFSET(UNJC1030_REPORT_SHIYAKU_IF_IRISU,J51,0)="","",
OFFSET(UNJC1030_REPORT_SHIYAKU_IF_IRISU,J51,0))&amp;
IF(OFFSET(UNJC1030_REPORT_SHIYAKU_IF_BARA_TANI,J51,0)="","",
OFFSET(UNJC1030_REPORT_SHIYAKU_IF_BARA_TANI,J51,0)))</f>
        <v/>
      </c>
      <c r="H51" s="1010" t="str">
        <f ca="1">IF(J51&gt;UNJC1030_REPORT_SHIYAKU_IF_KENSU,"",
IF(OFFSET(UNJC1030_REPORT_SHIYAKU_IF_NOHIN_DATE,J51,0)="","",
OFFSET(UNJC1030_REPORT_SHIYAKU_IF_NOHIN_DATE,J51,0)))</f>
        <v/>
      </c>
      <c r="I51" s="1011" t="str">
        <f ca="1">IF(J51&gt;UNJC1030_REPORT_SHIYAKU_IF_KENSU,"",
IF(OFFSET(UNJC1030_REPORT_SHIYAKU_IF_TEKIYO,J51,0)="","",
OFFSET(UNJC1030_REPORT_SHIYAKU_IF_TEKIYO,J51,0)))</f>
        <v/>
      </c>
      <c r="J51" s="536">
        <f>1+MOD(ROW(),ROWS(UNJC1030_REPORT_SHIYAKU_IF_COPY_MOTO))-ROW(UNJC1030_REPORT_SHIYAKU_TOP_START)+
ROUNDDOWN(ROW()/ROWS(UNJC1030_REPORT_SHIYAKU_IF_COPY_MOTO),0)*UNJC1030_REPORT_SHIYAKU_IF_HYOJI_GYO_SU</f>
        <v>11</v>
      </c>
    </row>
    <row r="52" spans="1:10" ht="63.75" customHeight="1">
      <c r="A52" s="1007" t="str">
        <f ca="1">IF(J52&gt;UNJC1030_REPORT_SHIYAKU_IF_KENSU,"",
IF(OFFSET(UNJC1030_REPORT_SHIYAKU_IF_SEIKYUSAKI_MEI,J52,0)="","",
OFFSET(UNJC1030_REPORT_SHIYAKU_IF_SEIKYUSAKI_MEI,J52,0))&amp;"　"&amp;
IF(OFFSET(UNJC1030_REPORT_SHIYAKU_IF_TANTO_MEI,J52,0)="","",
OFFSET(UNJC1030_REPORT_SHIYAKU_IF_TANTO_MEI,J52,0)))</f>
        <v/>
      </c>
      <c r="B52" s="1882" t="str">
        <f ca="1">IF(J52&gt;UNJC1030_REPORT_SHIYAKU_IF_KENSU,"",
IF(OFFSET(UNJC1030_REPORT_SHIYAKU_IF_SHIYAKU_MEI,J52,0)="","",
OFFSET(UNJC1030_REPORT_SHIYAKU_IF_SHIYAKU_MEI,J52,0)))</f>
        <v/>
      </c>
      <c r="C52" s="1883"/>
      <c r="D52" s="1884"/>
      <c r="E52" s="1008" t="str">
        <f ca="1">IF(J52&gt;UNJC1030_REPORT_SHIYAKU_IF_KENSU,"",
IF(OFFSET(UNJC1030_REPORT_SHIYAKU_IF_DOKU,J52,0)="","",
OFFSET(UNJC1030_REPORT_SHIYAKU_IF_DOKU,J52,0)))</f>
        <v/>
      </c>
      <c r="F52" s="1009" t="str">
        <f ca="1">IF(J52&gt;UNJC1030_REPORT_SHIYAKU_IF_KENSU,"",
IF(OFFSET(UNJC1030_REPORT_SHIYAKU_IF_SURYO,J52,0)="","",
OFFSET(UNJC1030_REPORT_SHIYAKU_IF_SURYO,J52,0))&amp;
IF(OFFSET(UNJC1030_REPORT_SHIYAKU_IF_TANI,J52,0)="","",
OFFSET(UNJC1030_REPORT_SHIYAKU_IF_TANI,J52,0)))</f>
        <v/>
      </c>
      <c r="G52" s="1009" t="str">
        <f ca="1">IF(J52&gt;UNJC1030_REPORT_SHIYAKU_IF_KENSU,"",
IF(OFFSET(UNJC1030_REPORT_SHIYAKU_IF_IRISU,J52,0)="","",
OFFSET(UNJC1030_REPORT_SHIYAKU_IF_IRISU,J52,0))&amp;
IF(OFFSET(UNJC1030_REPORT_SHIYAKU_IF_BARA_TANI,J52,0)="","",
OFFSET(UNJC1030_REPORT_SHIYAKU_IF_BARA_TANI,J52,0)))</f>
        <v/>
      </c>
      <c r="H52" s="1010" t="str">
        <f ca="1">IF(J52&gt;UNJC1030_REPORT_SHIYAKU_IF_KENSU,"",
IF(OFFSET(UNJC1030_REPORT_SHIYAKU_IF_NOHIN_DATE,J52,0)="","",
OFFSET(UNJC1030_REPORT_SHIYAKU_IF_NOHIN_DATE,J52,0)))</f>
        <v/>
      </c>
      <c r="I52" s="1011" t="str">
        <f ca="1">IF(J52&gt;UNJC1030_REPORT_SHIYAKU_IF_KENSU,"",
IF(OFFSET(UNJC1030_REPORT_SHIYAKU_IF_TEKIYO,J52,0)="","",
OFFSET(UNJC1030_REPORT_SHIYAKU_IF_TEKIYO,J52,0)))</f>
        <v/>
      </c>
      <c r="J52" s="536">
        <f>1+MOD(ROW(),ROWS(UNJC1030_REPORT_SHIYAKU_IF_COPY_MOTO))-ROW(UNJC1030_REPORT_SHIYAKU_TOP_START)+
ROUNDDOWN(ROW()/ROWS(UNJC1030_REPORT_SHIYAKU_IF_COPY_MOTO),0)*UNJC1030_REPORT_SHIYAKU_IF_HYOJI_GYO_SU</f>
        <v>12</v>
      </c>
    </row>
    <row r="53" spans="1:10" ht="63.75" customHeight="1">
      <c r="A53" s="1007" t="str">
        <f ca="1">IF(J53&gt;UNJC1030_REPORT_SHIYAKU_IF_KENSU,"",
IF(OFFSET(UNJC1030_REPORT_SHIYAKU_IF_SEIKYUSAKI_MEI,J53,0)="","",
OFFSET(UNJC1030_REPORT_SHIYAKU_IF_SEIKYUSAKI_MEI,J53,0))&amp;"　"&amp;
IF(OFFSET(UNJC1030_REPORT_SHIYAKU_IF_TANTO_MEI,J53,0)="","",
OFFSET(UNJC1030_REPORT_SHIYAKU_IF_TANTO_MEI,J53,0)))</f>
        <v/>
      </c>
      <c r="B53" s="1882" t="str">
        <f ca="1">IF(J53&gt;UNJC1030_REPORT_SHIYAKU_IF_KENSU,"",
IF(OFFSET(UNJC1030_REPORT_SHIYAKU_IF_SHIYAKU_MEI,J53,0)="","",
OFFSET(UNJC1030_REPORT_SHIYAKU_IF_SHIYAKU_MEI,J53,0)))</f>
        <v/>
      </c>
      <c r="C53" s="1883"/>
      <c r="D53" s="1884"/>
      <c r="E53" s="1008" t="str">
        <f ca="1">IF(J53&gt;UNJC1030_REPORT_SHIYAKU_IF_KENSU,"",
IF(OFFSET(UNJC1030_REPORT_SHIYAKU_IF_DOKU,J53,0)="","",
OFFSET(UNJC1030_REPORT_SHIYAKU_IF_DOKU,J53,0)))</f>
        <v/>
      </c>
      <c r="F53" s="1009" t="str">
        <f ca="1">IF(J53&gt;UNJC1030_REPORT_SHIYAKU_IF_KENSU,"",
IF(OFFSET(UNJC1030_REPORT_SHIYAKU_IF_SURYO,J53,0)="","",
OFFSET(UNJC1030_REPORT_SHIYAKU_IF_SURYO,J53,0))&amp;
IF(OFFSET(UNJC1030_REPORT_SHIYAKU_IF_TANI,J53,0)="","",
OFFSET(UNJC1030_REPORT_SHIYAKU_IF_TANI,J53,0)))</f>
        <v/>
      </c>
      <c r="G53" s="1009" t="str">
        <f ca="1">IF(J53&gt;UNJC1030_REPORT_SHIYAKU_IF_KENSU,"",
IF(OFFSET(UNJC1030_REPORT_SHIYAKU_IF_IRISU,J53,0)="","",
OFFSET(UNJC1030_REPORT_SHIYAKU_IF_IRISU,J53,0))&amp;
IF(OFFSET(UNJC1030_REPORT_SHIYAKU_IF_BARA_TANI,J53,0)="","",
OFFSET(UNJC1030_REPORT_SHIYAKU_IF_BARA_TANI,J53,0)))</f>
        <v/>
      </c>
      <c r="H53" s="1010" t="str">
        <f ca="1">IF(J53&gt;UNJC1030_REPORT_SHIYAKU_IF_KENSU,"",
IF(OFFSET(UNJC1030_REPORT_SHIYAKU_IF_NOHIN_DATE,J53,0)="","",
OFFSET(UNJC1030_REPORT_SHIYAKU_IF_NOHIN_DATE,J53,0)))</f>
        <v/>
      </c>
      <c r="I53" s="1011" t="str">
        <f ca="1">IF(J53&gt;UNJC1030_REPORT_SHIYAKU_IF_KENSU,"",
IF(OFFSET(UNJC1030_REPORT_SHIYAKU_IF_TEKIYO,J53,0)="","",
OFFSET(UNJC1030_REPORT_SHIYAKU_IF_TEKIYO,J53,0)))</f>
        <v/>
      </c>
      <c r="J53" s="536">
        <f>1+MOD(ROW(),ROWS(UNJC1030_REPORT_SHIYAKU_IF_COPY_MOTO))-ROW(UNJC1030_REPORT_SHIYAKU_TOP_START)+
ROUNDDOWN(ROW()/ROWS(UNJC1030_REPORT_SHIYAKU_IF_COPY_MOTO),0)*UNJC1030_REPORT_SHIYAKU_IF_HYOJI_GYO_SU</f>
        <v>13</v>
      </c>
    </row>
    <row r="54" spans="1:10" ht="63.75" customHeight="1">
      <c r="A54" s="1007" t="str">
        <f ca="1">IF(J54&gt;UNJC1030_REPORT_SHIYAKU_IF_KENSU,"",
IF(OFFSET(UNJC1030_REPORT_SHIYAKU_IF_SEIKYUSAKI_MEI,J54,0)="","",
OFFSET(UNJC1030_REPORT_SHIYAKU_IF_SEIKYUSAKI_MEI,J54,0))&amp;"　"&amp;
IF(OFFSET(UNJC1030_REPORT_SHIYAKU_IF_TANTO_MEI,J54,0)="","",
OFFSET(UNJC1030_REPORT_SHIYAKU_IF_TANTO_MEI,J54,0)))</f>
        <v/>
      </c>
      <c r="B54" s="1882" t="str">
        <f ca="1">IF(J54&gt;UNJC1030_REPORT_SHIYAKU_IF_KENSU,"",
IF(OFFSET(UNJC1030_REPORT_SHIYAKU_IF_SHIYAKU_MEI,J54,0)="","",
OFFSET(UNJC1030_REPORT_SHIYAKU_IF_SHIYAKU_MEI,J54,0)))</f>
        <v/>
      </c>
      <c r="C54" s="1883"/>
      <c r="D54" s="1884"/>
      <c r="E54" s="1008" t="str">
        <f ca="1">IF(J54&gt;UNJC1030_REPORT_SHIYAKU_IF_KENSU,"",
IF(OFFSET(UNJC1030_REPORT_SHIYAKU_IF_DOKU,J54,0)="","",
OFFSET(UNJC1030_REPORT_SHIYAKU_IF_DOKU,J54,0)))</f>
        <v/>
      </c>
      <c r="F54" s="1009" t="str">
        <f ca="1">IF(J54&gt;UNJC1030_REPORT_SHIYAKU_IF_KENSU,"",
IF(OFFSET(UNJC1030_REPORT_SHIYAKU_IF_SURYO,J54,0)="","",
OFFSET(UNJC1030_REPORT_SHIYAKU_IF_SURYO,J54,0))&amp;
IF(OFFSET(UNJC1030_REPORT_SHIYAKU_IF_TANI,J54,0)="","",
OFFSET(UNJC1030_REPORT_SHIYAKU_IF_TANI,J54,0)))</f>
        <v/>
      </c>
      <c r="G54" s="1009" t="str">
        <f ca="1">IF(J54&gt;UNJC1030_REPORT_SHIYAKU_IF_KENSU,"",
IF(OFFSET(UNJC1030_REPORT_SHIYAKU_IF_IRISU,J54,0)="","",
OFFSET(UNJC1030_REPORT_SHIYAKU_IF_IRISU,J54,0))&amp;
IF(OFFSET(UNJC1030_REPORT_SHIYAKU_IF_BARA_TANI,J54,0)="","",
OFFSET(UNJC1030_REPORT_SHIYAKU_IF_BARA_TANI,J54,0)))</f>
        <v/>
      </c>
      <c r="H54" s="1010" t="str">
        <f ca="1">IF(J54&gt;UNJC1030_REPORT_SHIYAKU_IF_KENSU,"",
IF(OFFSET(UNJC1030_REPORT_SHIYAKU_IF_NOHIN_DATE,J54,0)="","",
OFFSET(UNJC1030_REPORT_SHIYAKU_IF_NOHIN_DATE,J54,0)))</f>
        <v/>
      </c>
      <c r="I54" s="1011" t="str">
        <f ca="1">IF(J54&gt;UNJC1030_REPORT_SHIYAKU_IF_KENSU,"",
IF(OFFSET(UNJC1030_REPORT_SHIYAKU_IF_TEKIYO,J54,0)="","",
OFFSET(UNJC1030_REPORT_SHIYAKU_IF_TEKIYO,J54,0)))</f>
        <v/>
      </c>
      <c r="J54" s="536">
        <f>1+MOD(ROW(),ROWS(UNJC1030_REPORT_SHIYAKU_IF_COPY_MOTO))-ROW(UNJC1030_REPORT_SHIYAKU_TOP_START)+
ROUNDDOWN(ROW()/ROWS(UNJC1030_REPORT_SHIYAKU_IF_COPY_MOTO),0)*UNJC1030_REPORT_SHIYAKU_IF_HYOJI_GYO_SU</f>
        <v>14</v>
      </c>
    </row>
    <row r="55" spans="1:10" ht="63.75" customHeight="1">
      <c r="A55" s="1007" t="str">
        <f ca="1">IF(J55&gt;UNJC1030_REPORT_SHIYAKU_IF_KENSU,"",
IF(OFFSET(UNJC1030_REPORT_SHIYAKU_IF_SEIKYUSAKI_MEI,J55,0)="","",
OFFSET(UNJC1030_REPORT_SHIYAKU_IF_SEIKYUSAKI_MEI,J55,0))&amp;"　"&amp;
IF(OFFSET(UNJC1030_REPORT_SHIYAKU_IF_TANTO_MEI,J55,0)="","",
OFFSET(UNJC1030_REPORT_SHIYAKU_IF_TANTO_MEI,J55,0)))</f>
        <v/>
      </c>
      <c r="B55" s="1882" t="str">
        <f ca="1">IF(J55&gt;UNJC1030_REPORT_SHIYAKU_IF_KENSU,"",
IF(OFFSET(UNJC1030_REPORT_SHIYAKU_IF_SHIYAKU_MEI,J55,0)="","",
OFFSET(UNJC1030_REPORT_SHIYAKU_IF_SHIYAKU_MEI,J55,0)))</f>
        <v/>
      </c>
      <c r="C55" s="1883"/>
      <c r="D55" s="1884"/>
      <c r="E55" s="1008" t="str">
        <f ca="1">IF(J55&gt;UNJC1030_REPORT_SHIYAKU_IF_KENSU,"",
IF(OFFSET(UNJC1030_REPORT_SHIYAKU_IF_DOKU,J55,0)="","",
OFFSET(UNJC1030_REPORT_SHIYAKU_IF_DOKU,J55,0)))</f>
        <v/>
      </c>
      <c r="F55" s="1009" t="str">
        <f ca="1">IF(J55&gt;UNJC1030_REPORT_SHIYAKU_IF_KENSU,"",
IF(OFFSET(UNJC1030_REPORT_SHIYAKU_IF_SURYO,J55,0)="","",
OFFSET(UNJC1030_REPORT_SHIYAKU_IF_SURYO,J55,0))&amp;
IF(OFFSET(UNJC1030_REPORT_SHIYAKU_IF_TANI,J55,0)="","",
OFFSET(UNJC1030_REPORT_SHIYAKU_IF_TANI,J55,0)))</f>
        <v/>
      </c>
      <c r="G55" s="1009" t="str">
        <f ca="1">IF(J55&gt;UNJC1030_REPORT_SHIYAKU_IF_KENSU,"",
IF(OFFSET(UNJC1030_REPORT_SHIYAKU_IF_IRISU,J55,0)="","",
OFFSET(UNJC1030_REPORT_SHIYAKU_IF_IRISU,J55,0))&amp;
IF(OFFSET(UNJC1030_REPORT_SHIYAKU_IF_BARA_TANI,J55,0)="","",
OFFSET(UNJC1030_REPORT_SHIYAKU_IF_BARA_TANI,J55,0)))</f>
        <v/>
      </c>
      <c r="H55" s="1010" t="str">
        <f ca="1">IF(J55&gt;UNJC1030_REPORT_SHIYAKU_IF_KENSU,"",
IF(OFFSET(UNJC1030_REPORT_SHIYAKU_IF_NOHIN_DATE,J55,0)="","",
OFFSET(UNJC1030_REPORT_SHIYAKU_IF_NOHIN_DATE,J55,0)))</f>
        <v/>
      </c>
      <c r="I55" s="1011" t="str">
        <f ca="1">IF(J55&gt;UNJC1030_REPORT_SHIYAKU_IF_KENSU,"",
IF(OFFSET(UNJC1030_REPORT_SHIYAKU_IF_TEKIYO,J55,0)="","",
OFFSET(UNJC1030_REPORT_SHIYAKU_IF_TEKIYO,J55,0)))</f>
        <v/>
      </c>
      <c r="J55" s="536">
        <f>1+MOD(ROW(),ROWS(UNJC1030_REPORT_SHIYAKU_IF_COPY_MOTO))-ROW(UNJC1030_REPORT_SHIYAKU_TOP_START)+
ROUNDDOWN(ROW()/ROWS(UNJC1030_REPORT_SHIYAKU_IF_COPY_MOTO),0)*UNJC1030_REPORT_SHIYAKU_IF_HYOJI_GYO_SU</f>
        <v>15</v>
      </c>
    </row>
    <row r="56" spans="1:10" ht="16.5" customHeight="1"/>
    <row r="57" spans="1:10" ht="16.5" customHeight="1"/>
    <row r="58" spans="1:10" ht="16.5" customHeight="1"/>
    <row r="59" spans="1:10" ht="16.5" customHeight="1"/>
    <row r="60" spans="1:10" ht="16.5" customHeight="1">
      <c r="A60" s="1889" t="s">
        <v>557</v>
      </c>
      <c r="B60" s="1889"/>
      <c r="H60" s="1002" t="s">
        <v>25</v>
      </c>
      <c r="I60" s="537" t="str">
        <f ca="1">IF(J64&gt;UNJC1030_REPORT_SHIYAKU_IF_KENSU,"",
IF(OFFSET(UNJC1030_REPORT_SHIYAKU_IF_JURI_NO,J64,0)="","",
OFFSET(UNJC1030_REPORT_SHIYAKU_IF_JURI_NO,J64,0)))</f>
        <v/>
      </c>
    </row>
    <row r="61" spans="1:10" ht="16.5" customHeight="1">
      <c r="A61" s="1889"/>
      <c r="B61" s="1889"/>
      <c r="H61" s="1002" t="s">
        <v>553</v>
      </c>
      <c r="I61" s="1003">
        <f ca="1">NOW()</f>
        <v>43005.636301041697</v>
      </c>
    </row>
    <row r="62" spans="1:10" ht="16.5" customHeight="1">
      <c r="B62" s="1004"/>
      <c r="H62" s="1002" t="s">
        <v>554</v>
      </c>
      <c r="I62" s="1004" t="str">
        <f>IF(UNJC1030_REPORT_SHIYAKU_IF_HAKKOSHA="","",UNJC1030_REPORT_SHIYAKU_IF_HAKKOSHA)</f>
        <v/>
      </c>
    </row>
    <row r="63" spans="1:10" ht="16.5" customHeight="1">
      <c r="A63" s="1194" t="s">
        <v>550</v>
      </c>
      <c r="B63" s="1195" t="s">
        <v>559</v>
      </c>
      <c r="C63" s="1886" t="s">
        <v>560</v>
      </c>
      <c r="D63" s="1888"/>
      <c r="E63" s="1194" t="s">
        <v>43</v>
      </c>
      <c r="F63" s="1006" t="s">
        <v>551</v>
      </c>
      <c r="G63" s="1006" t="s">
        <v>552</v>
      </c>
      <c r="H63" s="1006" t="s">
        <v>555</v>
      </c>
      <c r="I63" s="1006" t="s">
        <v>1</v>
      </c>
      <c r="J63" s="1006" t="s">
        <v>644</v>
      </c>
    </row>
    <row r="64" spans="1:10" ht="63.75" customHeight="1">
      <c r="A64" s="1007" t="str">
        <f ca="1">IF(J64&gt;UNJC1030_REPORT_SHIYAKU_IF_KENSU,"",
IF(OFFSET(UNJC1030_REPORT_SHIYAKU_IF_SEIKYUSAKI_MEI,J64,0)="","",
OFFSET(UNJC1030_REPORT_SHIYAKU_IF_SEIKYUSAKI_MEI,J64,0))&amp;"　"&amp;
IF(OFFSET(UNJC1030_REPORT_SHIYAKU_IF_TANTO_MEI,J64,0)="","",
OFFSET(UNJC1030_REPORT_SHIYAKU_IF_TANTO_MEI,J64,0)))</f>
        <v/>
      </c>
      <c r="B64" s="1196" t="str">
        <f ca="1">IF(J64&gt;UNJC1030_REPORT_SHIYAKU_IF_KENSU,"",
IF(OFFSET(UNJC1030_REPORT_SHIYAKU_IF_SHIYAKU_MEI,J64,0)="","",
OFFSET(UNJC1030_REPORT_SHIYAKU_IF_SHIYAKU_MEI,J64,0)))</f>
        <v/>
      </c>
      <c r="C64" s="1885" t="str">
        <f ca="1">IF(J64&gt;UNJC1030_REPORT_SHIYAKU_IF_KENSU,"",
IF(OFFSET(UNJC1030_REPORT_SHIYAKU_IF_SHIYAKU_NAIYO,J64,0)="","",
OFFSET(UNJC1030_REPORT_SHIYAKU_IF_SHIYAKU_NAIYO,J64,0)))</f>
        <v/>
      </c>
      <c r="D64" s="1885"/>
      <c r="E64" s="1008" t="str">
        <f ca="1">IF(J64&gt;UNJC1030_REPORT_SHIYAKU_IF_KENSU,"",
IF(OFFSET(UNJC1030_REPORT_SHIYAKU_IF_DOKU,J64,0)="","",
OFFSET(UNJC1030_REPORT_SHIYAKU_IF_DOKU,J64,0)))</f>
        <v/>
      </c>
      <c r="F64" s="1013" t="str">
        <f ca="1">IF(J64&gt;UNJC1030_REPORT_SHIYAKU_IF_KENSU,"",
IF(OFFSET(UNJC1030_REPORT_SHIYAKU_IF_SURYO,J64,0)="","",
OFFSET(UNJC1030_REPORT_SHIYAKU_IF_SURYO,J64,0))&amp;
IF(OFFSET(UNJC1030_REPORT_SHIYAKU_IF_TANI,J64,0)="","",
OFFSET(UNJC1030_REPORT_SHIYAKU_IF_TANI,J64,0)))</f>
        <v/>
      </c>
      <c r="G64" s="1009" t="str">
        <f ca="1">IF(J64&gt;UNJC1030_REPORT_SHIYAKU_IF_KENSU,"",
IF(OFFSET(UNJC1030_REPORT_SHIYAKU_IF_IRISU,J64,0)="","",
OFFSET(UNJC1030_REPORT_SHIYAKU_IF_IRISU,J64,0))&amp;
IF(OFFSET(UNJC1030_REPORT_SHIYAKU_IF_BARA_TANI,J64,0)="","",
OFFSET(UNJC1030_REPORT_SHIYAKU_IF_BARA_TANI,J64,0)))</f>
        <v/>
      </c>
      <c r="H64" s="1010"/>
      <c r="I64" s="1011" t="str">
        <f ca="1">IF(J64&gt;UNJC1030_REPORT_SHIYAKU_IF_KENSU,"",
IF(OFFSET(UNJC1030_REPORT_SHIYAKU_IF_BIKO,J64,0)="","",
OFFSET(UNJC1030_REPORT_SHIYAKU_IF_BIKO,J64,0)))</f>
        <v/>
      </c>
      <c r="J64" s="536">
        <f>1+MOD(ROW(),ROWS(UNJC1030_REPORT_SHIYAKU_IF_COPY_MOTO))-ROW(UNJC1030_REPORT_SHIYAKU_BOTTOM_START)+
ROUNDDOWN(ROW()/ROWS(UNJC1030_REPORT_SHIYAKU_IF_COPY_MOTO),0)*UNJC1030_REPORT_SHIYAKU_IF_HYOJI_GYO_SU</f>
        <v>11</v>
      </c>
    </row>
    <row r="65" spans="1:10" ht="63.75" customHeight="1">
      <c r="A65" s="1007" t="str">
        <f ca="1">IF(J65&gt;UNJC1030_REPORT_SHIYAKU_IF_KENSU,"",
IF(OFFSET(UNJC1030_REPORT_SHIYAKU_IF_SEIKYUSAKI_MEI,J65,0)="","",
OFFSET(UNJC1030_REPORT_SHIYAKU_IF_SEIKYUSAKI_MEI,J65,0))&amp;"　"&amp;
IF(OFFSET(UNJC1030_REPORT_SHIYAKU_IF_TANTO_MEI,J65,0)="","",
OFFSET(UNJC1030_REPORT_SHIYAKU_IF_TANTO_MEI,J65,0)))</f>
        <v/>
      </c>
      <c r="B65" s="1196" t="str">
        <f ca="1">IF(J65&gt;UNJC1030_REPORT_SHIYAKU_IF_KENSU,"",
IF(OFFSET(UNJC1030_REPORT_SHIYAKU_IF_SHIYAKU_MEI,J65,0)="","",
OFFSET(UNJC1030_REPORT_SHIYAKU_IF_SHIYAKU_MEI,J65,0)))</f>
        <v/>
      </c>
      <c r="C65" s="1885" t="str">
        <f ca="1">IF(J65&gt;UNJC1030_REPORT_SHIYAKU_IF_KENSU,"",
IF(OFFSET(UNJC1030_REPORT_SHIYAKU_IF_SHIYAKU_NAIYO,J65,0)="","",
OFFSET(UNJC1030_REPORT_SHIYAKU_IF_SHIYAKU_NAIYO,J65,0)))</f>
        <v/>
      </c>
      <c r="D65" s="1885"/>
      <c r="E65" s="1008" t="str">
        <f ca="1">IF(J65&gt;UNJC1030_REPORT_SHIYAKU_IF_KENSU,"",
IF(OFFSET(UNJC1030_REPORT_SHIYAKU_IF_DOKU,J65,0)="","",
OFFSET(UNJC1030_REPORT_SHIYAKU_IF_DOKU,J65,0)))</f>
        <v/>
      </c>
      <c r="F65" s="1013" t="str">
        <f ca="1">IF(J65&gt;UNJC1030_REPORT_SHIYAKU_IF_KENSU,"",
IF(OFFSET(UNJC1030_REPORT_SHIYAKU_IF_SURYO,J65,0)="","",
OFFSET(UNJC1030_REPORT_SHIYAKU_IF_SURYO,J65,0))&amp;
IF(OFFSET(UNJC1030_REPORT_SHIYAKU_IF_TANI,J65,0)="","",
OFFSET(UNJC1030_REPORT_SHIYAKU_IF_TANI,J65,0)))</f>
        <v/>
      </c>
      <c r="G65" s="1009" t="str">
        <f ca="1">IF(J65&gt;UNJC1030_REPORT_SHIYAKU_IF_KENSU,"",
IF(OFFSET(UNJC1030_REPORT_SHIYAKU_IF_IRISU,J65,0)="","",
OFFSET(UNJC1030_REPORT_SHIYAKU_IF_IRISU,J65,0))&amp;
IF(OFFSET(UNJC1030_REPORT_SHIYAKU_IF_BARA_TANI,J65,0)="","",
OFFSET(UNJC1030_REPORT_SHIYAKU_IF_BARA_TANI,J65,0)))</f>
        <v/>
      </c>
      <c r="H65" s="1010"/>
      <c r="I65" s="1011" t="str">
        <f ca="1">IF(J65&gt;UNJC1030_REPORT_SHIYAKU_IF_KENSU,"",
IF(OFFSET(UNJC1030_REPORT_SHIYAKU_IF_BIKO,J65,0)="","",
OFFSET(UNJC1030_REPORT_SHIYAKU_IF_BIKO,J65,0)))</f>
        <v/>
      </c>
      <c r="J65" s="536">
        <f>1+MOD(ROW(),ROWS(UNJC1030_REPORT_SHIYAKU_IF_COPY_MOTO))-ROW(UNJC1030_REPORT_SHIYAKU_BOTTOM_START)+
ROUNDDOWN(ROW()/ROWS(UNJC1030_REPORT_SHIYAKU_IF_COPY_MOTO),0)*UNJC1030_REPORT_SHIYAKU_IF_HYOJI_GYO_SU</f>
        <v>12</v>
      </c>
    </row>
    <row r="66" spans="1:10" ht="63.75" customHeight="1">
      <c r="A66" s="1007" t="str">
        <f ca="1">IF(J66&gt;UNJC1030_REPORT_SHIYAKU_IF_KENSU,"",
IF(OFFSET(UNJC1030_REPORT_SHIYAKU_IF_SEIKYUSAKI_MEI,J66,0)="","",
OFFSET(UNJC1030_REPORT_SHIYAKU_IF_SEIKYUSAKI_MEI,J66,0))&amp;"　"&amp;
IF(OFFSET(UNJC1030_REPORT_SHIYAKU_IF_TANTO_MEI,J66,0)="","",
OFFSET(UNJC1030_REPORT_SHIYAKU_IF_TANTO_MEI,J66,0)))</f>
        <v/>
      </c>
      <c r="B66" s="1196" t="str">
        <f ca="1">IF(J66&gt;UNJC1030_REPORT_SHIYAKU_IF_KENSU,"",
IF(OFFSET(UNJC1030_REPORT_SHIYAKU_IF_SHIYAKU_MEI,J66,0)="","",
OFFSET(UNJC1030_REPORT_SHIYAKU_IF_SHIYAKU_MEI,J66,0)))</f>
        <v/>
      </c>
      <c r="C66" s="1885" t="str">
        <f ca="1">IF(J66&gt;UNJC1030_REPORT_SHIYAKU_IF_KENSU,"",
IF(OFFSET(UNJC1030_REPORT_SHIYAKU_IF_SHIYAKU_NAIYO,J66,0)="","",
OFFSET(UNJC1030_REPORT_SHIYAKU_IF_SHIYAKU_NAIYO,J66,0)))</f>
        <v/>
      </c>
      <c r="D66" s="1885"/>
      <c r="E66" s="1008" t="str">
        <f ca="1">IF(J66&gt;UNJC1030_REPORT_SHIYAKU_IF_KENSU,"",
IF(OFFSET(UNJC1030_REPORT_SHIYAKU_IF_DOKU,J66,0)="","",
OFFSET(UNJC1030_REPORT_SHIYAKU_IF_DOKU,J66,0)))</f>
        <v/>
      </c>
      <c r="F66" s="1013" t="str">
        <f ca="1">IF(J66&gt;UNJC1030_REPORT_SHIYAKU_IF_KENSU,"",
IF(OFFSET(UNJC1030_REPORT_SHIYAKU_IF_SURYO,J66,0)="","",
OFFSET(UNJC1030_REPORT_SHIYAKU_IF_SURYO,J66,0))&amp;
IF(OFFSET(UNJC1030_REPORT_SHIYAKU_IF_TANI,J66,0)="","",
OFFSET(UNJC1030_REPORT_SHIYAKU_IF_TANI,J66,0)))</f>
        <v/>
      </c>
      <c r="G66" s="1009" t="str">
        <f ca="1">IF(J66&gt;UNJC1030_REPORT_SHIYAKU_IF_KENSU,"",
IF(OFFSET(UNJC1030_REPORT_SHIYAKU_IF_IRISU,J66,0)="","",
OFFSET(UNJC1030_REPORT_SHIYAKU_IF_IRISU,J66,0))&amp;
IF(OFFSET(UNJC1030_REPORT_SHIYAKU_IF_BARA_TANI,J66,0)="","",
OFFSET(UNJC1030_REPORT_SHIYAKU_IF_BARA_TANI,J66,0)))</f>
        <v/>
      </c>
      <c r="H66" s="1010"/>
      <c r="I66" s="1011" t="str">
        <f ca="1">IF(J66&gt;UNJC1030_REPORT_SHIYAKU_IF_KENSU,"",
IF(OFFSET(UNJC1030_REPORT_SHIYAKU_IF_BIKO,J66,0)="","",
OFFSET(UNJC1030_REPORT_SHIYAKU_IF_BIKO,J66,0)))</f>
        <v/>
      </c>
      <c r="J66" s="536">
        <f>1+MOD(ROW(),ROWS(UNJC1030_REPORT_SHIYAKU_IF_COPY_MOTO))-ROW(UNJC1030_REPORT_SHIYAKU_BOTTOM_START)+
ROUNDDOWN(ROW()/ROWS(UNJC1030_REPORT_SHIYAKU_IF_COPY_MOTO),0)*UNJC1030_REPORT_SHIYAKU_IF_HYOJI_GYO_SU</f>
        <v>13</v>
      </c>
    </row>
    <row r="67" spans="1:10" ht="63.75" customHeight="1">
      <c r="A67" s="1007" t="str">
        <f ca="1">IF(J67&gt;UNJC1030_REPORT_SHIYAKU_IF_KENSU,"",
IF(OFFSET(UNJC1030_REPORT_SHIYAKU_IF_SEIKYUSAKI_MEI,J67,0)="","",
OFFSET(UNJC1030_REPORT_SHIYAKU_IF_SEIKYUSAKI_MEI,J67,0))&amp;"　"&amp;
IF(OFFSET(UNJC1030_REPORT_SHIYAKU_IF_TANTO_MEI,J67,0)="","",
OFFSET(UNJC1030_REPORT_SHIYAKU_IF_TANTO_MEI,J67,0)))</f>
        <v/>
      </c>
      <c r="B67" s="1196" t="str">
        <f ca="1">IF(J67&gt;UNJC1030_REPORT_SHIYAKU_IF_KENSU,"",
IF(OFFSET(UNJC1030_REPORT_SHIYAKU_IF_SHIYAKU_MEI,J67,0)="","",
OFFSET(UNJC1030_REPORT_SHIYAKU_IF_SHIYAKU_MEI,J67,0)))</f>
        <v/>
      </c>
      <c r="C67" s="1885" t="str">
        <f ca="1">IF(J67&gt;UNJC1030_REPORT_SHIYAKU_IF_KENSU,"",
IF(OFFSET(UNJC1030_REPORT_SHIYAKU_IF_SHIYAKU_NAIYO,J67,0)="","",
OFFSET(UNJC1030_REPORT_SHIYAKU_IF_SHIYAKU_NAIYO,J67,0)))</f>
        <v/>
      </c>
      <c r="D67" s="1885"/>
      <c r="E67" s="1008" t="str">
        <f ca="1">IF(J67&gt;UNJC1030_REPORT_SHIYAKU_IF_KENSU,"",
IF(OFFSET(UNJC1030_REPORT_SHIYAKU_IF_DOKU,J67,0)="","",
OFFSET(UNJC1030_REPORT_SHIYAKU_IF_DOKU,J67,0)))</f>
        <v/>
      </c>
      <c r="F67" s="1013" t="str">
        <f ca="1">IF(J67&gt;UNJC1030_REPORT_SHIYAKU_IF_KENSU,"",
IF(OFFSET(UNJC1030_REPORT_SHIYAKU_IF_SURYO,J67,0)="","",
OFFSET(UNJC1030_REPORT_SHIYAKU_IF_SURYO,J67,0))&amp;
IF(OFFSET(UNJC1030_REPORT_SHIYAKU_IF_TANI,J67,0)="","",
OFFSET(UNJC1030_REPORT_SHIYAKU_IF_TANI,J67,0)))</f>
        <v/>
      </c>
      <c r="G67" s="1009" t="str">
        <f ca="1">IF(J67&gt;UNJC1030_REPORT_SHIYAKU_IF_KENSU,"",
IF(OFFSET(UNJC1030_REPORT_SHIYAKU_IF_IRISU,J67,0)="","",
OFFSET(UNJC1030_REPORT_SHIYAKU_IF_IRISU,J67,0))&amp;
IF(OFFSET(UNJC1030_REPORT_SHIYAKU_IF_BARA_TANI,J67,0)="","",
OFFSET(UNJC1030_REPORT_SHIYAKU_IF_BARA_TANI,J67,0)))</f>
        <v/>
      </c>
      <c r="H67" s="1010"/>
      <c r="I67" s="1011" t="str">
        <f ca="1">IF(J67&gt;UNJC1030_REPORT_SHIYAKU_IF_KENSU,"",
IF(OFFSET(UNJC1030_REPORT_SHIYAKU_IF_BIKO,J67,0)="","",
OFFSET(UNJC1030_REPORT_SHIYAKU_IF_BIKO,J67,0)))</f>
        <v/>
      </c>
      <c r="J67" s="536">
        <f>1+MOD(ROW(),ROWS(UNJC1030_REPORT_SHIYAKU_IF_COPY_MOTO))-ROW(UNJC1030_REPORT_SHIYAKU_BOTTOM_START)+
ROUNDDOWN(ROW()/ROWS(UNJC1030_REPORT_SHIYAKU_IF_COPY_MOTO),0)*UNJC1030_REPORT_SHIYAKU_IF_HYOJI_GYO_SU</f>
        <v>14</v>
      </c>
    </row>
    <row r="68" spans="1:10" ht="63.75" customHeight="1">
      <c r="A68" s="1007" t="str">
        <f ca="1">IF(J68&gt;UNJC1030_REPORT_SHIYAKU_IF_KENSU,"",
IF(OFFSET(UNJC1030_REPORT_SHIYAKU_IF_SEIKYUSAKI_MEI,J68,0)="","",
OFFSET(UNJC1030_REPORT_SHIYAKU_IF_SEIKYUSAKI_MEI,J68,0))&amp;"　"&amp;
IF(OFFSET(UNJC1030_REPORT_SHIYAKU_IF_TANTO_MEI,J68,0)="","",
OFFSET(UNJC1030_REPORT_SHIYAKU_IF_TANTO_MEI,J68,0)))</f>
        <v/>
      </c>
      <c r="B68" s="1196" t="str">
        <f ca="1">IF(J68&gt;UNJC1030_REPORT_SHIYAKU_IF_KENSU,"",
IF(OFFSET(UNJC1030_REPORT_SHIYAKU_IF_SHIYAKU_MEI,J68,0)="","",
OFFSET(UNJC1030_REPORT_SHIYAKU_IF_SHIYAKU_MEI,J68,0)))</f>
        <v/>
      </c>
      <c r="C68" s="1885" t="str">
        <f ca="1">IF(J68&gt;UNJC1030_REPORT_SHIYAKU_IF_KENSU,"",
IF(OFFSET(UNJC1030_REPORT_SHIYAKU_IF_SHIYAKU_NAIYO,J68,0)="","",
OFFSET(UNJC1030_REPORT_SHIYAKU_IF_SHIYAKU_NAIYO,J68,0)))</f>
        <v/>
      </c>
      <c r="D68" s="1885"/>
      <c r="E68" s="1008" t="str">
        <f ca="1">IF(J68&gt;UNJC1030_REPORT_SHIYAKU_IF_KENSU,"",
IF(OFFSET(UNJC1030_REPORT_SHIYAKU_IF_DOKU,J68,0)="","",
OFFSET(UNJC1030_REPORT_SHIYAKU_IF_DOKU,J68,0)))</f>
        <v/>
      </c>
      <c r="F68" s="1013" t="str">
        <f ca="1">IF(J68&gt;UNJC1030_REPORT_SHIYAKU_IF_KENSU,"",
IF(OFFSET(UNJC1030_REPORT_SHIYAKU_IF_SURYO,J68,0)="","",
OFFSET(UNJC1030_REPORT_SHIYAKU_IF_SURYO,J68,0))&amp;
IF(OFFSET(UNJC1030_REPORT_SHIYAKU_IF_TANI,J68,0)="","",
OFFSET(UNJC1030_REPORT_SHIYAKU_IF_TANI,J68,0)))</f>
        <v/>
      </c>
      <c r="G68" s="1009" t="str">
        <f ca="1">IF(J68&gt;UNJC1030_REPORT_SHIYAKU_IF_KENSU,"",
IF(OFFSET(UNJC1030_REPORT_SHIYAKU_IF_IRISU,J68,0)="","",
OFFSET(UNJC1030_REPORT_SHIYAKU_IF_IRISU,J68,0))&amp;
IF(OFFSET(UNJC1030_REPORT_SHIYAKU_IF_BARA_TANI,J68,0)="","",
OFFSET(UNJC1030_REPORT_SHIYAKU_IF_BARA_TANI,J68,0)))</f>
        <v/>
      </c>
      <c r="H68" s="1010"/>
      <c r="I68" s="1011" t="str">
        <f ca="1">IF(J68&gt;UNJC1030_REPORT_SHIYAKU_IF_KENSU,"",
IF(OFFSET(UNJC1030_REPORT_SHIYAKU_IF_BIKO,J68,0)="","",
OFFSET(UNJC1030_REPORT_SHIYAKU_IF_BIKO,J68,0)))</f>
        <v/>
      </c>
      <c r="J68" s="536">
        <f>1+MOD(ROW(),ROWS(UNJC1030_REPORT_SHIYAKU_IF_COPY_MOTO))-ROW(UNJC1030_REPORT_SHIYAKU_BOTTOM_START)+
ROUNDDOWN(ROW()/ROWS(UNJC1030_REPORT_SHIYAKU_IF_COPY_MOTO),0)*UNJC1030_REPORT_SHIYAKU_IF_HYOJI_GYO_SU</f>
        <v>15</v>
      </c>
    </row>
  </sheetData>
  <mergeCells count="42">
    <mergeCell ref="B54:D54"/>
    <mergeCell ref="B55:D55"/>
    <mergeCell ref="A24:B25"/>
    <mergeCell ref="A47:B48"/>
    <mergeCell ref="C40:D40"/>
    <mergeCell ref="A37:B38"/>
    <mergeCell ref="C45:D45"/>
    <mergeCell ref="C41:D41"/>
    <mergeCell ref="C42:D42"/>
    <mergeCell ref="C43:D43"/>
    <mergeCell ref="C44:D44"/>
    <mergeCell ref="B31:D31"/>
    <mergeCell ref="B27:D27"/>
    <mergeCell ref="B28:D28"/>
    <mergeCell ref="B29:D29"/>
    <mergeCell ref="B30:D30"/>
    <mergeCell ref="C67:D67"/>
    <mergeCell ref="C68:D68"/>
    <mergeCell ref="A60:B61"/>
    <mergeCell ref="C63:D63"/>
    <mergeCell ref="C64:D64"/>
    <mergeCell ref="C65:D65"/>
    <mergeCell ref="C66:D66"/>
    <mergeCell ref="A1:B2"/>
    <mergeCell ref="C19:D19"/>
    <mergeCell ref="C18:D18"/>
    <mergeCell ref="C20:D20"/>
    <mergeCell ref="C21:D21"/>
    <mergeCell ref="A14:B15"/>
    <mergeCell ref="C17:D17"/>
    <mergeCell ref="B4:D4"/>
    <mergeCell ref="B5:D5"/>
    <mergeCell ref="B6:D6"/>
    <mergeCell ref="B7:D7"/>
    <mergeCell ref="B8:D8"/>
    <mergeCell ref="B9:D9"/>
    <mergeCell ref="B53:D53"/>
    <mergeCell ref="C22:D22"/>
    <mergeCell ref="B32:D32"/>
    <mergeCell ref="B50:D50"/>
    <mergeCell ref="B51:D51"/>
    <mergeCell ref="B52:D52"/>
  </mergeCells>
  <phoneticPr fontId="2"/>
  <pageMargins left="0.59055118110236227" right="0.23622047244094491" top="0.39370078740157483" bottom="0.39370078740157483" header="0.31496062992125984" footer="0.31496062992125984"/>
  <pageSetup paperSize="9" scale="97" fitToHeight="0" orientation="portrait" verticalDpi="0" r:id="rId1"/>
  <rowBreaks count="2" manualBreakCount="2">
    <brk id="23" max="7" man="1"/>
    <brk id="46" max="7" man="1"/>
  </rowBreak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2:AC39"/>
  <sheetViews>
    <sheetView zoomScaleNormal="100" workbookViewId="0">
      <selection activeCell="N22" sqref="N22"/>
    </sheetView>
  </sheetViews>
  <sheetFormatPr defaultRowHeight="13.5"/>
  <cols>
    <col min="1" max="1" width="9" style="537"/>
    <col min="2" max="2" width="12.375" style="537" bestFit="1" customWidth="1"/>
    <col min="3" max="3" width="20.125" style="537" customWidth="1"/>
    <col min="4" max="18" width="9" style="537"/>
    <col min="19" max="19" width="11" style="537" bestFit="1" customWidth="1"/>
    <col min="20" max="20" width="13" style="537" bestFit="1" customWidth="1"/>
    <col min="21" max="21" width="9.875" style="537" bestFit="1" customWidth="1"/>
    <col min="22" max="23" width="9" style="537"/>
    <col min="24" max="24" width="5.25" style="537" bestFit="1" customWidth="1"/>
    <col min="25" max="25" width="8.5" style="537" bestFit="1" customWidth="1"/>
    <col min="26" max="26" width="7.125" style="537" bestFit="1" customWidth="1"/>
    <col min="27" max="27" width="11" style="537" bestFit="1" customWidth="1"/>
    <col min="28" max="28" width="5.25" style="537" bestFit="1" customWidth="1"/>
    <col min="29" max="29" width="9" style="537"/>
    <col min="30" max="30" width="16.375" style="537" bestFit="1" customWidth="1"/>
    <col min="31" max="31" width="23" style="537" customWidth="1"/>
    <col min="32" max="16384" width="9" style="537"/>
  </cols>
  <sheetData>
    <row r="2" spans="1:29" ht="13.5" customHeight="1">
      <c r="B2" s="537" t="s">
        <v>642</v>
      </c>
      <c r="C2" s="1000" t="s">
        <v>643</v>
      </c>
      <c r="D2" s="1001">
        <v>5</v>
      </c>
    </row>
    <row r="3" spans="1:29" ht="16.5" customHeight="1">
      <c r="B3" s="537" t="s">
        <v>635</v>
      </c>
      <c r="C3" s="1000" t="s">
        <v>634</v>
      </c>
      <c r="D3" s="1001"/>
    </row>
    <row r="4" spans="1:29">
      <c r="B4" s="537" t="s">
        <v>638</v>
      </c>
      <c r="C4" s="1000" t="s">
        <v>636</v>
      </c>
      <c r="D4" s="1001" t="str">
        <f>"SELECT M_SHAIN.SHIMEI
  FROM M_SHAIN
 WHERE M_SHAIN.SHAIN_CD = '"&amp;UNJC1030_REPORT_SHIYAKU_IF_USER_ID&amp;"'
"</f>
        <v xml:space="preserve">SELECT M_SHAIN.SHIMEI
  FROM M_SHAIN
 WHERE M_SHAIN.SHAIN_CD = ''
</v>
      </c>
    </row>
    <row r="5" spans="1:29">
      <c r="B5" s="537" t="s">
        <v>633</v>
      </c>
      <c r="C5" s="1000" t="s">
        <v>637</v>
      </c>
      <c r="D5" s="1001"/>
      <c r="O5" s="536" t="s">
        <v>28</v>
      </c>
      <c r="P5" s="536" t="s">
        <v>445</v>
      </c>
      <c r="Q5" s="536" t="s">
        <v>620</v>
      </c>
      <c r="R5" s="536" t="s">
        <v>623</v>
      </c>
      <c r="S5" s="536" t="s">
        <v>624</v>
      </c>
      <c r="T5" s="536" t="s">
        <v>627</v>
      </c>
      <c r="U5" s="536" t="s">
        <v>625</v>
      </c>
      <c r="V5" s="536" t="s">
        <v>615</v>
      </c>
      <c r="W5" s="536" t="s">
        <v>19</v>
      </c>
      <c r="X5" s="536" t="s">
        <v>614</v>
      </c>
      <c r="Y5" s="536" t="s">
        <v>3824</v>
      </c>
      <c r="Z5" s="536" t="s">
        <v>618</v>
      </c>
      <c r="AA5" s="536" t="s">
        <v>626</v>
      </c>
      <c r="AB5" s="536" t="s">
        <v>622</v>
      </c>
      <c r="AC5" s="536" t="s">
        <v>20</v>
      </c>
    </row>
    <row r="6" spans="1:29">
      <c r="M6" s="537" t="s">
        <v>125</v>
      </c>
      <c r="N6" s="537" t="s">
        <v>641</v>
      </c>
      <c r="O6" s="1001"/>
    </row>
    <row r="9" spans="1:29">
      <c r="B9" s="537" t="s">
        <v>645</v>
      </c>
      <c r="C9" s="1000" t="s">
        <v>646</v>
      </c>
      <c r="D9" s="1001"/>
    </row>
    <row r="10" spans="1:29">
      <c r="B10" s="537" t="s">
        <v>647</v>
      </c>
      <c r="C10" s="1000" t="s">
        <v>648</v>
      </c>
      <c r="D10" s="1001">
        <f>ROUNDUP(UNJC1030_REPORT_SHIYAKU_IF_KENSU/UNJC1030_REPORT_SHIYAKU_IF_HYOJI_GYO_SU,0)</f>
        <v>0</v>
      </c>
    </row>
    <row r="12" spans="1:29">
      <c r="B12" s="537" t="s">
        <v>650</v>
      </c>
      <c r="C12" s="1000" t="s">
        <v>649</v>
      </c>
      <c r="D12" s="1001" t="str">
        <f>"UNJC1030_REPORT_SHIYAKU_IF!"&amp;ROW(UNJC1030_REPORT_SHIYAKU_IF_COPY_MOTO)&amp;":"&amp;ROW(UNJC1030_REPORT_SHIYAKU_IF_COPY_MOTO)+ROWS(UNJC1030_REPORT_SHIYAKU_IF_COPY_MOTO)-1</f>
        <v>UNJC1030_REPORT_SHIYAKU_IF!18:40</v>
      </c>
    </row>
    <row r="13" spans="1:29">
      <c r="B13" s="537" t="s">
        <v>652</v>
      </c>
      <c r="C13" s="1000" t="s">
        <v>651</v>
      </c>
      <c r="D13" s="1001" t="e">
        <f>"UNJC1030_REPORT_SHIYAKU!"&amp;ADDRESS(ROW(UNJC1030_REPORT_SHIYAKU_START),COLUMN(UNJC1030_REPORT_SHIYAKU_START))&amp;":"&amp;
ADDRESS(ROWS(UNJC1030_REPORT_SHIYAKU_IF_COPY_MOTO)*UNJC1030_REPORT_SHIYAKU_IF_PAGE_SU,COLUMN(UNJC1030_REPORT_SHIYAKU_START)+COLUMNS(UNJC1030_REPORT_SHIYAKU_IF_COPY_MOTO)-2)</f>
        <v>#VALUE!</v>
      </c>
    </row>
    <row r="14" spans="1:29">
      <c r="B14" s="537" t="s">
        <v>653</v>
      </c>
      <c r="C14" s="1000" t="s">
        <v>654</v>
      </c>
      <c r="D14" s="1001">
        <f>IF(UNJC1030_REPORT_SHIYAKU_IF_PAGE_SU&gt;=1,1,2)</f>
        <v>2</v>
      </c>
      <c r="E14" s="537" t="s">
        <v>2753</v>
      </c>
    </row>
    <row r="15" spans="1:29" ht="13.5" customHeight="1"/>
    <row r="16" spans="1:29" ht="16.5" customHeight="1">
      <c r="A16" s="537" t="s">
        <v>632</v>
      </c>
    </row>
    <row r="17" spans="1:10">
      <c r="A17" s="537" t="s">
        <v>640</v>
      </c>
      <c r="B17" s="1000" t="s">
        <v>639</v>
      </c>
    </row>
    <row r="18" spans="1:10" ht="16.5" customHeight="1">
      <c r="A18" s="1889" t="s">
        <v>556</v>
      </c>
      <c r="B18" s="1889"/>
      <c r="H18" s="1002" t="s">
        <v>25</v>
      </c>
      <c r="I18" s="537" t="str">
        <f ca="1">IF(J22&gt;UNJC1030_REPORT_SHIYAKU_IF_KENSU,"",
IF(OFFSET(UNJC1030_REPORT_SHIYAKU_IF_JURI_NO,J22,0)="","",
OFFSET(UNJC1030_REPORT_SHIYAKU_IF_JURI_NO,J22,0)))</f>
        <v/>
      </c>
    </row>
    <row r="19" spans="1:10" ht="16.5" customHeight="1">
      <c r="A19" s="1889"/>
      <c r="B19" s="1889"/>
      <c r="H19" s="1002" t="s">
        <v>553</v>
      </c>
      <c r="I19" s="1003">
        <f ca="1">NOW()</f>
        <v>43005.636301273102</v>
      </c>
    </row>
    <row r="20" spans="1:10" ht="16.5" customHeight="1">
      <c r="H20" s="1002" t="s">
        <v>554</v>
      </c>
      <c r="I20" s="1004" t="str">
        <f>IF(UNJC1030_REPORT_SHIYAKU_IF_HAKKOSHA="","",UNJC1030_REPORT_SHIYAKU_IF_HAKKOSHA)</f>
        <v/>
      </c>
    </row>
    <row r="21" spans="1:10" ht="16.5" customHeight="1">
      <c r="A21" s="1005" t="s">
        <v>550</v>
      </c>
      <c r="B21" s="1886" t="s">
        <v>558</v>
      </c>
      <c r="C21" s="1887"/>
      <c r="D21" s="1888"/>
      <c r="E21" s="1194" t="s">
        <v>43</v>
      </c>
      <c r="F21" s="1006" t="s">
        <v>551</v>
      </c>
      <c r="G21" s="1006" t="s">
        <v>552</v>
      </c>
      <c r="H21" s="1006" t="s">
        <v>3574</v>
      </c>
      <c r="I21" s="1006" t="s">
        <v>1</v>
      </c>
      <c r="J21" s="1006" t="s">
        <v>644</v>
      </c>
    </row>
    <row r="22" spans="1:10" ht="63.75" customHeight="1">
      <c r="A22" s="1007" t="str">
        <f ca="1">IF(J22&gt;UNJC1030_REPORT_SHIYAKU_IF_KENSU,"",
IF(OFFSET(UNJC1030_REPORT_SHIYAKU_IF_SEIKYUSAKI_MEI,J22,0)="","",
OFFSET(UNJC1030_REPORT_SHIYAKU_IF_SEIKYUSAKI_MEI,J22,0))&amp;"　"&amp;
IF(OFFSET(UNJC1030_REPORT_SHIYAKU_IF_TANTO_MEI,J22,0)="","",
OFFSET(UNJC1030_REPORT_SHIYAKU_IF_TANTO_MEI,J22,0)))</f>
        <v/>
      </c>
      <c r="B22" s="1882" t="str">
        <f ca="1">IF(J22&gt;UNJC1030_REPORT_SHIYAKU_IF_KENSU,"",
IF(OFFSET(UNJC1030_REPORT_SHIYAKU_IF_SHIYAKU_MEI,J22,0)="","",
OFFSET(UNJC1030_REPORT_SHIYAKU_IF_SHIYAKU_MEI,J22,0)))</f>
        <v/>
      </c>
      <c r="C22" s="1883"/>
      <c r="D22" s="1884"/>
      <c r="E22" s="1008" t="str">
        <f ca="1">IF(J22&gt;UNJC1030_REPORT_SHIYAKU_IF_KENSU,"",
IF(OFFSET(UNJC1030_REPORT_SHIYAKU_IF_DOKU,J22,0)="","",
OFFSET(UNJC1030_REPORT_SHIYAKU_IF_DOKU,J22,0)))</f>
        <v/>
      </c>
      <c r="F22" s="1009" t="str">
        <f ca="1">IF(J22&gt;UNJC1030_REPORT_SHIYAKU_IF_KENSU,"",
IF(OFFSET(UNJC1030_REPORT_SHIYAKU_IF_SURYO,J22,0)="","",
OFFSET(UNJC1030_REPORT_SHIYAKU_IF_SURYO,J22,0))&amp;
IF(OFFSET(UNJC1030_REPORT_SHIYAKU_IF_TANI,J22,0)="","",
OFFSET(UNJC1030_REPORT_SHIYAKU_IF_TANI,J22,0)))</f>
        <v/>
      </c>
      <c r="G22" s="1009" t="str">
        <f ca="1">IF(J22&gt;UNJC1030_REPORT_SHIYAKU_IF_KENSU,"",
IF(OFFSET(UNJC1030_REPORT_SHIYAKU_IF_IRISU,J22,0)="","",
OFFSET(UNJC1030_REPORT_SHIYAKU_IF_IRISU,J22,0))&amp;
IF(OFFSET(UNJC1030_REPORT_SHIYAKU_IF_BARA_TANI,J22,0)="","",
OFFSET(UNJC1030_REPORT_SHIYAKU_IF_BARA_TANI,J22,0)))</f>
        <v/>
      </c>
      <c r="H22" s="1010" t="str">
        <f ca="1">IF(J22&gt;UNJC1030_REPORT_SHIYAKU_IF_KENSU,"",
IF(OFFSET(UNJC1030_REPORT_SHIYAKU_IF_NOHIN_DATE,J22,0)="","",
OFFSET(UNJC1030_REPORT_SHIYAKU_IF_NOHIN_DATE,J22,0)))</f>
        <v/>
      </c>
      <c r="I22" s="1011" t="str">
        <f ca="1">IF(J22&gt;UNJC1030_REPORT_SHIYAKU_IF_KENSU,"",
IF(OFFSET(UNJC1030_REPORT_SHIYAKU_IF_TEKIYO,J22,0)="","",
OFFSET(UNJC1030_REPORT_SHIYAKU_IF_TEKIYO,J22,0)))</f>
        <v/>
      </c>
      <c r="J22" s="536">
        <f>1+MOD(ROW(),ROWS(UNJC1030_REPORT_SHIYAKU_IF_COPY_MOTO))-ROW(UNJC1030_REPORT_SHIYAKU_TOP_START)+
ROUNDDOWN(ROW()/ROWS(UNJC1030_REPORT_SHIYAKU_IF_COPY_MOTO),0)*UNJC1030_REPORT_SHIYAKU_IF_HYOJI_GYO_SU</f>
        <v>18</v>
      </c>
    </row>
    <row r="23" spans="1:10" ht="63.75" customHeight="1">
      <c r="A23" s="1007" t="str">
        <f ca="1">IF(J23&gt;UNJC1030_REPORT_SHIYAKU_IF_KENSU,"",
IF(OFFSET(UNJC1030_REPORT_SHIYAKU_IF_SEIKYUSAKI_MEI,J23,0)="","",
OFFSET(UNJC1030_REPORT_SHIYAKU_IF_SEIKYUSAKI_MEI,J23,0))&amp;"　"&amp;
IF(OFFSET(UNJC1030_REPORT_SHIYAKU_IF_TANTO_MEI,J23,0)="","",
OFFSET(UNJC1030_REPORT_SHIYAKU_IF_TANTO_MEI,J23,0)))</f>
        <v/>
      </c>
      <c r="B23" s="1882" t="str">
        <f ca="1">IF(J23&gt;UNJC1030_REPORT_SHIYAKU_IF_KENSU,"",
IF(OFFSET(UNJC1030_REPORT_SHIYAKU_IF_SHIYAKU_MEI,J23,0)="","",
OFFSET(UNJC1030_REPORT_SHIYAKU_IF_SHIYAKU_MEI,J23,0)))</f>
        <v/>
      </c>
      <c r="C23" s="1883"/>
      <c r="D23" s="1884"/>
      <c r="E23" s="1008" t="str">
        <f ca="1">IF(J23&gt;UNJC1030_REPORT_SHIYAKU_IF_KENSU,"",
IF(OFFSET(UNJC1030_REPORT_SHIYAKU_IF_DOKU,J23,0)="","",
OFFSET(UNJC1030_REPORT_SHIYAKU_IF_DOKU,J23,0)))</f>
        <v/>
      </c>
      <c r="F23" s="1009" t="str">
        <f ca="1">IF(J23&gt;UNJC1030_REPORT_SHIYAKU_IF_KENSU,"",
IF(OFFSET(UNJC1030_REPORT_SHIYAKU_IF_SURYO,J23,0)="","",
OFFSET(UNJC1030_REPORT_SHIYAKU_IF_SURYO,J23,0))&amp;
IF(OFFSET(UNJC1030_REPORT_SHIYAKU_IF_TANI,J23,0)="","",
OFFSET(UNJC1030_REPORT_SHIYAKU_IF_TANI,J23,0)))</f>
        <v/>
      </c>
      <c r="G23" s="1009" t="str">
        <f ca="1">IF(J23&gt;UNJC1030_REPORT_SHIYAKU_IF_KENSU,"",
IF(OFFSET(UNJC1030_REPORT_SHIYAKU_IF_IRISU,J23,0)="","",
OFFSET(UNJC1030_REPORT_SHIYAKU_IF_IRISU,J23,0))&amp;
IF(OFFSET(UNJC1030_REPORT_SHIYAKU_IF_BARA_TANI,J23,0)="","",
OFFSET(UNJC1030_REPORT_SHIYAKU_IF_BARA_TANI,J23,0)))</f>
        <v/>
      </c>
      <c r="H23" s="1010" t="str">
        <f ca="1">IF(J23&gt;UNJC1030_REPORT_SHIYAKU_IF_KENSU,"",
IF(OFFSET(UNJC1030_REPORT_SHIYAKU_IF_NOHIN_DATE,J23,0)="","",
OFFSET(UNJC1030_REPORT_SHIYAKU_IF_NOHIN_DATE,J23,0)))</f>
        <v/>
      </c>
      <c r="I23" s="1011" t="str">
        <f ca="1">IF(J23&gt;UNJC1030_REPORT_SHIYAKU_IF_KENSU,"",
IF(OFFSET(UNJC1030_REPORT_SHIYAKU_IF_TEKIYO,J23,0)="","",
OFFSET(UNJC1030_REPORT_SHIYAKU_IF_TEKIYO,J23,0)))</f>
        <v/>
      </c>
      <c r="J23" s="536">
        <f>1+MOD(ROW(),ROWS(UNJC1030_REPORT_SHIYAKU_IF_COPY_MOTO))-ROW(UNJC1030_REPORT_SHIYAKU_TOP_START)+
ROUNDDOWN(ROW()/ROWS(UNJC1030_REPORT_SHIYAKU_IF_COPY_MOTO),0)*UNJC1030_REPORT_SHIYAKU_IF_HYOJI_GYO_SU</f>
        <v>1</v>
      </c>
    </row>
    <row r="24" spans="1:10" ht="63.75" customHeight="1">
      <c r="A24" s="1007" t="str">
        <f ca="1">IF(J24&gt;UNJC1030_REPORT_SHIYAKU_IF_KENSU,"",
IF(OFFSET(UNJC1030_REPORT_SHIYAKU_IF_SEIKYUSAKI_MEI,J24,0)="","",
OFFSET(UNJC1030_REPORT_SHIYAKU_IF_SEIKYUSAKI_MEI,J24,0))&amp;"　"&amp;
IF(OFFSET(UNJC1030_REPORT_SHIYAKU_IF_TANTO_MEI,J24,0)="","",
OFFSET(UNJC1030_REPORT_SHIYAKU_IF_TANTO_MEI,J24,0)))</f>
        <v/>
      </c>
      <c r="B24" s="1882" t="str">
        <f ca="1">IF(J24&gt;UNJC1030_REPORT_SHIYAKU_IF_KENSU,"",
IF(OFFSET(UNJC1030_REPORT_SHIYAKU_IF_SHIYAKU_MEI,J24,0)="","",
OFFSET(UNJC1030_REPORT_SHIYAKU_IF_SHIYAKU_MEI,J24,0)))</f>
        <v/>
      </c>
      <c r="C24" s="1883"/>
      <c r="D24" s="1884"/>
      <c r="E24" s="1008" t="str">
        <f ca="1">IF(J24&gt;UNJC1030_REPORT_SHIYAKU_IF_KENSU,"",
IF(OFFSET(UNJC1030_REPORT_SHIYAKU_IF_DOKU,J24,0)="","",
OFFSET(UNJC1030_REPORT_SHIYAKU_IF_DOKU,J24,0)))</f>
        <v/>
      </c>
      <c r="F24" s="1009" t="str">
        <f ca="1">IF(J24&gt;UNJC1030_REPORT_SHIYAKU_IF_KENSU,"",
IF(OFFSET(UNJC1030_REPORT_SHIYAKU_IF_SURYO,J24,0)="","",
OFFSET(UNJC1030_REPORT_SHIYAKU_IF_SURYO,J24,0))&amp;
IF(OFFSET(UNJC1030_REPORT_SHIYAKU_IF_TANI,J24,0)="","",
OFFSET(UNJC1030_REPORT_SHIYAKU_IF_TANI,J24,0)))</f>
        <v/>
      </c>
      <c r="G24" s="1009" t="str">
        <f ca="1">IF(J24&gt;UNJC1030_REPORT_SHIYAKU_IF_KENSU,"",
IF(OFFSET(UNJC1030_REPORT_SHIYAKU_IF_IRISU,J24,0)="","",
OFFSET(UNJC1030_REPORT_SHIYAKU_IF_IRISU,J24,0))&amp;
IF(OFFSET(UNJC1030_REPORT_SHIYAKU_IF_BARA_TANI,J24,0)="","",
OFFSET(UNJC1030_REPORT_SHIYAKU_IF_BARA_TANI,J24,0)))</f>
        <v/>
      </c>
      <c r="H24" s="1010" t="str">
        <f ca="1">IF(J24&gt;UNJC1030_REPORT_SHIYAKU_IF_KENSU,"",
IF(OFFSET(UNJC1030_REPORT_SHIYAKU_IF_NOHIN_DATE,J24,0)="","",
OFFSET(UNJC1030_REPORT_SHIYAKU_IF_NOHIN_DATE,J24,0)))</f>
        <v/>
      </c>
      <c r="I24" s="1011" t="str">
        <f ca="1">IF(J24&gt;UNJC1030_REPORT_SHIYAKU_IF_KENSU,"",
IF(OFFSET(UNJC1030_REPORT_SHIYAKU_IF_TEKIYO,J24,0)="","",
OFFSET(UNJC1030_REPORT_SHIYAKU_IF_TEKIYO,J24,0)))</f>
        <v/>
      </c>
      <c r="J24" s="536">
        <f>1+MOD(ROW(),ROWS(UNJC1030_REPORT_SHIYAKU_IF_COPY_MOTO))-ROW(UNJC1030_REPORT_SHIYAKU_TOP_START)+
ROUNDDOWN(ROW()/ROWS(UNJC1030_REPORT_SHIYAKU_IF_COPY_MOTO),0)*UNJC1030_REPORT_SHIYAKU_IF_HYOJI_GYO_SU</f>
        <v>2</v>
      </c>
    </row>
    <row r="25" spans="1:10" ht="63.75" customHeight="1">
      <c r="A25" s="1007" t="str">
        <f ca="1">IF(J25&gt;UNJC1030_REPORT_SHIYAKU_IF_KENSU,"",
IF(OFFSET(UNJC1030_REPORT_SHIYAKU_IF_SEIKYUSAKI_MEI,J25,0)="","",
OFFSET(UNJC1030_REPORT_SHIYAKU_IF_SEIKYUSAKI_MEI,J25,0))&amp;"　"&amp;
IF(OFFSET(UNJC1030_REPORT_SHIYAKU_IF_TANTO_MEI,J25,0)="","",
OFFSET(UNJC1030_REPORT_SHIYAKU_IF_TANTO_MEI,J25,0)))</f>
        <v/>
      </c>
      <c r="B25" s="1882" t="str">
        <f ca="1">IF(J25&gt;UNJC1030_REPORT_SHIYAKU_IF_KENSU,"",
IF(OFFSET(UNJC1030_REPORT_SHIYAKU_IF_SHIYAKU_MEI,J25,0)="","",
OFFSET(UNJC1030_REPORT_SHIYAKU_IF_SHIYAKU_MEI,J25,0)))</f>
        <v/>
      </c>
      <c r="C25" s="1883"/>
      <c r="D25" s="1884"/>
      <c r="E25" s="1008" t="str">
        <f ca="1">IF(J25&gt;UNJC1030_REPORT_SHIYAKU_IF_KENSU,"",
IF(OFFSET(UNJC1030_REPORT_SHIYAKU_IF_DOKU,J25,0)="","",
OFFSET(UNJC1030_REPORT_SHIYAKU_IF_DOKU,J25,0)))</f>
        <v/>
      </c>
      <c r="F25" s="1009" t="str">
        <f ca="1">IF(J25&gt;UNJC1030_REPORT_SHIYAKU_IF_KENSU,"",
IF(OFFSET(UNJC1030_REPORT_SHIYAKU_IF_SURYO,J25,0)="","",
OFFSET(UNJC1030_REPORT_SHIYAKU_IF_SURYO,J25,0))&amp;
IF(OFFSET(UNJC1030_REPORT_SHIYAKU_IF_TANI,J25,0)="","",
OFFSET(UNJC1030_REPORT_SHIYAKU_IF_TANI,J25,0)))</f>
        <v/>
      </c>
      <c r="G25" s="1009" t="str">
        <f ca="1">IF(J25&gt;UNJC1030_REPORT_SHIYAKU_IF_KENSU,"",
IF(OFFSET(UNJC1030_REPORT_SHIYAKU_IF_IRISU,J25,0)="","",
OFFSET(UNJC1030_REPORT_SHIYAKU_IF_IRISU,J25,0))&amp;
IF(OFFSET(UNJC1030_REPORT_SHIYAKU_IF_BARA_TANI,J25,0)="","",
OFFSET(UNJC1030_REPORT_SHIYAKU_IF_BARA_TANI,J25,0)))</f>
        <v/>
      </c>
      <c r="H25" s="1010" t="str">
        <f ca="1">IF(J25&gt;UNJC1030_REPORT_SHIYAKU_IF_KENSU,"",
IF(OFFSET(UNJC1030_REPORT_SHIYAKU_IF_NOHIN_DATE,J25,0)="","",
OFFSET(UNJC1030_REPORT_SHIYAKU_IF_NOHIN_DATE,J25,0)))</f>
        <v/>
      </c>
      <c r="I25" s="1011" t="str">
        <f ca="1">IF(J25&gt;UNJC1030_REPORT_SHIYAKU_IF_KENSU,"",
IF(OFFSET(UNJC1030_REPORT_SHIYAKU_IF_TEKIYO,J25,0)="","",
OFFSET(UNJC1030_REPORT_SHIYAKU_IF_TEKIYO,J25,0)))</f>
        <v/>
      </c>
      <c r="J25" s="536">
        <f>1+MOD(ROW(),ROWS(UNJC1030_REPORT_SHIYAKU_IF_COPY_MOTO))-ROW(UNJC1030_REPORT_SHIYAKU_TOP_START)+
ROUNDDOWN(ROW()/ROWS(UNJC1030_REPORT_SHIYAKU_IF_COPY_MOTO),0)*UNJC1030_REPORT_SHIYAKU_IF_HYOJI_GYO_SU</f>
        <v>3</v>
      </c>
    </row>
    <row r="26" spans="1:10" ht="63.75" customHeight="1">
      <c r="A26" s="1007" t="str">
        <f ca="1">IF(J26&gt;UNJC1030_REPORT_SHIYAKU_IF_KENSU,"",
IF(OFFSET(UNJC1030_REPORT_SHIYAKU_IF_SEIKYUSAKI_MEI,J26,0)="","",
OFFSET(UNJC1030_REPORT_SHIYAKU_IF_SEIKYUSAKI_MEI,J26,0))&amp;"　"&amp;
IF(OFFSET(UNJC1030_REPORT_SHIYAKU_IF_TANTO_MEI,J26,0)="","",
OFFSET(UNJC1030_REPORT_SHIYAKU_IF_TANTO_MEI,J26,0)))</f>
        <v/>
      </c>
      <c r="B26" s="1882" t="str">
        <f ca="1">IF(J26&gt;UNJC1030_REPORT_SHIYAKU_IF_KENSU,"",
IF(OFFSET(UNJC1030_REPORT_SHIYAKU_IF_SHIYAKU_MEI,J26,0)="","",
OFFSET(UNJC1030_REPORT_SHIYAKU_IF_SHIYAKU_MEI,J26,0)))</f>
        <v/>
      </c>
      <c r="C26" s="1883"/>
      <c r="D26" s="1884"/>
      <c r="E26" s="1008" t="str">
        <f ca="1">IF(J26&gt;UNJC1030_REPORT_SHIYAKU_IF_KENSU,"",
IF(OFFSET(UNJC1030_REPORT_SHIYAKU_IF_DOKU,J26,0)="","",
OFFSET(UNJC1030_REPORT_SHIYAKU_IF_DOKU,J26,0)))</f>
        <v/>
      </c>
      <c r="F26" s="1009" t="str">
        <f ca="1">IF(J26&gt;UNJC1030_REPORT_SHIYAKU_IF_KENSU,"",
IF(OFFSET(UNJC1030_REPORT_SHIYAKU_IF_SURYO,J26,0)="","",
OFFSET(UNJC1030_REPORT_SHIYAKU_IF_SURYO,J26,0))&amp;
IF(OFFSET(UNJC1030_REPORT_SHIYAKU_IF_TANI,J26,0)="","",
OFFSET(UNJC1030_REPORT_SHIYAKU_IF_TANI,J26,0)))</f>
        <v/>
      </c>
      <c r="G26" s="1009" t="str">
        <f ca="1">IF(J26&gt;UNJC1030_REPORT_SHIYAKU_IF_KENSU,"",
IF(OFFSET(UNJC1030_REPORT_SHIYAKU_IF_IRISU,J26,0)="","",
OFFSET(UNJC1030_REPORT_SHIYAKU_IF_IRISU,J26,0))&amp;
IF(OFFSET(UNJC1030_REPORT_SHIYAKU_IF_BARA_TANI,J26,0)="","",
OFFSET(UNJC1030_REPORT_SHIYAKU_IF_BARA_TANI,J26,0)))</f>
        <v/>
      </c>
      <c r="H26" s="1010" t="str">
        <f ca="1">IF(J26&gt;UNJC1030_REPORT_SHIYAKU_IF_KENSU,"",
IF(OFFSET(UNJC1030_REPORT_SHIYAKU_IF_NOHIN_DATE,J26,0)="","",
OFFSET(UNJC1030_REPORT_SHIYAKU_IF_NOHIN_DATE,J26,0)))</f>
        <v/>
      </c>
      <c r="I26" s="1011" t="str">
        <f ca="1">IF(J26&gt;UNJC1030_REPORT_SHIYAKU_IF_KENSU,"",
IF(OFFSET(UNJC1030_REPORT_SHIYAKU_IF_TEKIYO,J26,0)="","",
OFFSET(UNJC1030_REPORT_SHIYAKU_IF_TEKIYO,J26,0)))</f>
        <v/>
      </c>
      <c r="J26" s="536">
        <f>1+MOD(ROW(),ROWS(UNJC1030_REPORT_SHIYAKU_IF_COPY_MOTO))-ROW(UNJC1030_REPORT_SHIYAKU_TOP_START)+
ROUNDDOWN(ROW()/ROWS(UNJC1030_REPORT_SHIYAKU_IF_COPY_MOTO),0)*UNJC1030_REPORT_SHIYAKU_IF_HYOJI_GYO_SU</f>
        <v>4</v>
      </c>
    </row>
    <row r="27" spans="1:10" ht="24" customHeight="1"/>
    <row r="28" spans="1:10" ht="24" customHeight="1"/>
    <row r="29" spans="1:10" ht="24" customHeight="1"/>
    <row r="30" spans="1:10" ht="24" customHeight="1"/>
    <row r="31" spans="1:10" ht="16.5" customHeight="1">
      <c r="A31" s="1889" t="s">
        <v>557</v>
      </c>
      <c r="B31" s="1889"/>
      <c r="H31" s="1002" t="s">
        <v>25</v>
      </c>
      <c r="I31" s="537" t="str">
        <f ca="1">IF(J35&gt;UNJC1030_REPORT_SHIYAKU_IF_KENSU,"",
IF(OFFSET(UNJC1030_REPORT_SHIYAKU_IF_JURI_NO,J35,0)="","",
OFFSET(UNJC1030_REPORT_SHIYAKU_IF_JURI_NO,J35,0)))</f>
        <v>受理No.</v>
      </c>
    </row>
    <row r="32" spans="1:10" ht="16.5" customHeight="1">
      <c r="A32" s="1889"/>
      <c r="B32" s="1889"/>
      <c r="H32" s="1002" t="s">
        <v>553</v>
      </c>
      <c r="I32" s="1003">
        <f ca="1">NOW()</f>
        <v>43005.636301273102</v>
      </c>
    </row>
    <row r="33" spans="1:10" ht="16.5" customHeight="1">
      <c r="B33" s="1004"/>
      <c r="H33" s="1002" t="s">
        <v>554</v>
      </c>
      <c r="I33" s="1004" t="str">
        <f>IF(UNJC1030_REPORT_SHIYAKU_IF_HAKKOSHA="","",UNJC1030_REPORT_SHIYAKU_IF_HAKKOSHA)</f>
        <v/>
      </c>
    </row>
    <row r="34" spans="1:10" ht="16.5" customHeight="1">
      <c r="A34" s="1005" t="s">
        <v>550</v>
      </c>
      <c r="B34" s="1012" t="s">
        <v>559</v>
      </c>
      <c r="C34" s="1886" t="s">
        <v>560</v>
      </c>
      <c r="D34" s="1888"/>
      <c r="E34" s="1194" t="s">
        <v>43</v>
      </c>
      <c r="F34" s="1006" t="s">
        <v>551</v>
      </c>
      <c r="G34" s="1006" t="s">
        <v>552</v>
      </c>
      <c r="H34" s="1006" t="s">
        <v>555</v>
      </c>
      <c r="I34" s="1006" t="s">
        <v>1</v>
      </c>
      <c r="J34" s="1006" t="s">
        <v>644</v>
      </c>
    </row>
    <row r="35" spans="1:10" ht="63.75" customHeight="1">
      <c r="A35" s="1007" t="str">
        <f ca="1">IF(J35&gt;UNJC1030_REPORT_SHIYAKU_IF_KENSU,"",
IF(OFFSET(UNJC1030_REPORT_SHIYAKU_IF_SEIKYUSAKI_MEI,J35,0)="","",
OFFSET(UNJC1030_REPORT_SHIYAKU_IF_SEIKYUSAKI_MEI,J35,0))&amp;"　"&amp;
IF(OFFSET(UNJC1030_REPORT_SHIYAKU_IF_TANTO_MEI,J35,0)="","",
OFFSET(UNJC1030_REPORT_SHIYAKU_IF_TANTO_MEI,J35,0)))</f>
        <v>請求先名　担当者名</v>
      </c>
      <c r="B35" s="1196" t="str">
        <f ca="1">IF(J35&gt;UNJC1030_REPORT_SHIYAKU_IF_KENSU,"",
IF(OFFSET(UNJC1030_REPORT_SHIYAKU_IF_SHIYAKU_MEI,J35,0)="","",
OFFSET(UNJC1030_REPORT_SHIYAKU_IF_SHIYAKU_MEI,J35,0)))</f>
        <v>調製試薬名</v>
      </c>
      <c r="C35" s="1885" t="str">
        <f ca="1">IF(J35&gt;UNJC1030_REPORT_SHIYAKU_IF_KENSU,"",
IF(OFFSET(UNJC1030_REPORT_SHIYAKU_IF_SHIYAKU_NAIYO,J35,0)="","",
OFFSET(UNJC1030_REPORT_SHIYAKU_IF_SHIYAKU_NAIYO,J35,0)))</f>
        <v>調製試薬内容</v>
      </c>
      <c r="D35" s="1885"/>
      <c r="E35" s="1008" t="str">
        <f ca="1">IF(J35&gt;UNJC1030_REPORT_SHIYAKU_IF_KENSU,"",
IF(OFFSET(UNJC1030_REPORT_SHIYAKU_IF_DOKU,J35,0)="","",
OFFSET(UNJC1030_REPORT_SHIYAKU_IF_DOKU,J35,0)))</f>
        <v>毒劇フラグ</v>
      </c>
      <c r="F35" s="1013" t="str">
        <f ca="1">IF(J35&gt;UNJC1030_REPORT_SHIYAKU_IF_KENSU,"",
IF(OFFSET(UNJC1030_REPORT_SHIYAKU_IF_SURYO,J35,0)="","",
OFFSET(UNJC1030_REPORT_SHIYAKU_IF_SURYO,J35,0))&amp;
IF(OFFSET(UNJC1030_REPORT_SHIYAKU_IF_TANI,J35,0)="","",
OFFSET(UNJC1030_REPORT_SHIYAKU_IF_TANI,J35,0)))</f>
        <v>受注数量単位</v>
      </c>
      <c r="G35" s="1009" t="str">
        <f ca="1">IF(J35&gt;UNJC1030_REPORT_SHIYAKU_IF_KENSU,"",
IF(OFFSET(UNJC1030_REPORT_SHIYAKU_IF_IRISU,J35,0)="","",
OFFSET(UNJC1030_REPORT_SHIYAKU_IF_IRISU,J35,0))&amp;
IF(OFFSET(UNJC1030_REPORT_SHIYAKU_IF_BARA_TANI,J35,0)="","",
OFFSET(UNJC1030_REPORT_SHIYAKU_IF_BARA_TANI,J35,0)))</f>
        <v>入数バラ単位</v>
      </c>
      <c r="H35" s="1010"/>
      <c r="I35" s="1011" t="str">
        <f ca="1">IF(J35&gt;UNJC1030_REPORT_SHIYAKU_IF_KENSU,"",
IF(OFFSET(UNJC1030_REPORT_SHIYAKU_IF_BIKO,J35,0)="","",
OFFSET(UNJC1030_REPORT_SHIYAKU_IF_BIKO,J35,0)))</f>
        <v>備考</v>
      </c>
      <c r="J35" s="536">
        <f>1+MOD(ROW(),ROWS(UNJC1030_REPORT_SHIYAKU_IF_COPY_MOTO))-ROW(UNJC1030_REPORT_SHIYAKU_BOTTOM_START)+
ROUNDDOWN(ROW()/ROWS(UNJC1030_REPORT_SHIYAKU_IF_COPY_MOTO),0)*UNJC1030_REPORT_SHIYAKU_IF_HYOJI_GYO_SU</f>
        <v>0</v>
      </c>
    </row>
    <row r="36" spans="1:10" ht="63.75" customHeight="1">
      <c r="A36" s="1007" t="str">
        <f ca="1">IF(J36&gt;UNJC1030_REPORT_SHIYAKU_IF_KENSU,"",
IF(OFFSET(UNJC1030_REPORT_SHIYAKU_IF_SEIKYUSAKI_MEI,J36,0)="","",
OFFSET(UNJC1030_REPORT_SHIYAKU_IF_SEIKYUSAKI_MEI,J36,0))&amp;"　"&amp;
IF(OFFSET(UNJC1030_REPORT_SHIYAKU_IF_TANTO_MEI,J36,0)="","",
OFFSET(UNJC1030_REPORT_SHIYAKU_IF_TANTO_MEI,J36,0)))</f>
        <v/>
      </c>
      <c r="B36" s="1196" t="str">
        <f ca="1">IF(J36&gt;UNJC1030_REPORT_SHIYAKU_IF_KENSU,"",
IF(OFFSET(UNJC1030_REPORT_SHIYAKU_IF_SHIYAKU_MEI,J36,0)="","",
OFFSET(UNJC1030_REPORT_SHIYAKU_IF_SHIYAKU_MEI,J36,0)))</f>
        <v/>
      </c>
      <c r="C36" s="1885" t="str">
        <f ca="1">IF(J36&gt;UNJC1030_REPORT_SHIYAKU_IF_KENSU,"",
IF(OFFSET(UNJC1030_REPORT_SHIYAKU_IF_SHIYAKU_NAIYO,J36,0)="","",
OFFSET(UNJC1030_REPORT_SHIYAKU_IF_SHIYAKU_NAIYO,J36,0)))</f>
        <v/>
      </c>
      <c r="D36" s="1885"/>
      <c r="E36" s="1008" t="str">
        <f ca="1">IF(J36&gt;UNJC1030_REPORT_SHIYAKU_IF_KENSU,"",
IF(OFFSET(UNJC1030_REPORT_SHIYAKU_IF_DOKU,J36,0)="","",
OFFSET(UNJC1030_REPORT_SHIYAKU_IF_DOKU,J36,0)))</f>
        <v/>
      </c>
      <c r="F36" s="1013" t="str">
        <f ca="1">IF(J36&gt;UNJC1030_REPORT_SHIYAKU_IF_KENSU,"",
IF(OFFSET(UNJC1030_REPORT_SHIYAKU_IF_SURYO,J36,0)="","",
OFFSET(UNJC1030_REPORT_SHIYAKU_IF_SURYO,J36,0))&amp;
IF(OFFSET(UNJC1030_REPORT_SHIYAKU_IF_TANI,J36,0)="","",
OFFSET(UNJC1030_REPORT_SHIYAKU_IF_TANI,J36,0)))</f>
        <v/>
      </c>
      <c r="G36" s="1009" t="str">
        <f ca="1">IF(J36&gt;UNJC1030_REPORT_SHIYAKU_IF_KENSU,"",
IF(OFFSET(UNJC1030_REPORT_SHIYAKU_IF_IRISU,J36,0)="","",
OFFSET(UNJC1030_REPORT_SHIYAKU_IF_IRISU,J36,0))&amp;
IF(OFFSET(UNJC1030_REPORT_SHIYAKU_IF_BARA_TANI,J36,0)="","",
OFFSET(UNJC1030_REPORT_SHIYAKU_IF_BARA_TANI,J36,0)))</f>
        <v/>
      </c>
      <c r="H36" s="1010"/>
      <c r="I36" s="1011" t="str">
        <f ca="1">IF(J36&gt;UNJC1030_REPORT_SHIYAKU_IF_KENSU,"",
IF(OFFSET(UNJC1030_REPORT_SHIYAKU_IF_BIKO,J36,0)="","",
OFFSET(UNJC1030_REPORT_SHIYAKU_IF_BIKO,J36,0)))</f>
        <v/>
      </c>
      <c r="J36" s="536">
        <f>1+MOD(ROW(),ROWS(UNJC1030_REPORT_SHIYAKU_IF_COPY_MOTO))-ROW(UNJC1030_REPORT_SHIYAKU_BOTTOM_START)+
ROUNDDOWN(ROW()/ROWS(UNJC1030_REPORT_SHIYAKU_IF_COPY_MOTO),0)*UNJC1030_REPORT_SHIYAKU_IF_HYOJI_GYO_SU</f>
        <v>1</v>
      </c>
    </row>
    <row r="37" spans="1:10" ht="63.75" customHeight="1">
      <c r="A37" s="1007" t="str">
        <f ca="1">IF(J37&gt;UNJC1030_REPORT_SHIYAKU_IF_KENSU,"",
IF(OFFSET(UNJC1030_REPORT_SHIYAKU_IF_SEIKYUSAKI_MEI,J37,0)="","",
OFFSET(UNJC1030_REPORT_SHIYAKU_IF_SEIKYUSAKI_MEI,J37,0))&amp;"　"&amp;
IF(OFFSET(UNJC1030_REPORT_SHIYAKU_IF_TANTO_MEI,J37,0)="","",
OFFSET(UNJC1030_REPORT_SHIYAKU_IF_TANTO_MEI,J37,0)))</f>
        <v/>
      </c>
      <c r="B37" s="1196" t="str">
        <f ca="1">IF(J37&gt;UNJC1030_REPORT_SHIYAKU_IF_KENSU,"",
IF(OFFSET(UNJC1030_REPORT_SHIYAKU_IF_SHIYAKU_MEI,J37,0)="","",
OFFSET(UNJC1030_REPORT_SHIYAKU_IF_SHIYAKU_MEI,J37,0)))</f>
        <v/>
      </c>
      <c r="C37" s="1885" t="str">
        <f ca="1">IF(J37&gt;UNJC1030_REPORT_SHIYAKU_IF_KENSU,"",
IF(OFFSET(UNJC1030_REPORT_SHIYAKU_IF_SHIYAKU_NAIYO,J37,0)="","",
OFFSET(UNJC1030_REPORT_SHIYAKU_IF_SHIYAKU_NAIYO,J37,0)))</f>
        <v/>
      </c>
      <c r="D37" s="1885"/>
      <c r="E37" s="1008" t="str">
        <f ca="1">IF(J37&gt;UNJC1030_REPORT_SHIYAKU_IF_KENSU,"",
IF(OFFSET(UNJC1030_REPORT_SHIYAKU_IF_DOKU,J37,0)="","",
OFFSET(UNJC1030_REPORT_SHIYAKU_IF_DOKU,J37,0)))</f>
        <v/>
      </c>
      <c r="F37" s="1013" t="str">
        <f ca="1">IF(J37&gt;UNJC1030_REPORT_SHIYAKU_IF_KENSU,"",
IF(OFFSET(UNJC1030_REPORT_SHIYAKU_IF_SURYO,J37,0)="","",
OFFSET(UNJC1030_REPORT_SHIYAKU_IF_SURYO,J37,0))&amp;
IF(OFFSET(UNJC1030_REPORT_SHIYAKU_IF_TANI,J37,0)="","",
OFFSET(UNJC1030_REPORT_SHIYAKU_IF_TANI,J37,0)))</f>
        <v/>
      </c>
      <c r="G37" s="1009" t="str">
        <f ca="1">IF(J37&gt;UNJC1030_REPORT_SHIYAKU_IF_KENSU,"",
IF(OFFSET(UNJC1030_REPORT_SHIYAKU_IF_IRISU,J37,0)="","",
OFFSET(UNJC1030_REPORT_SHIYAKU_IF_IRISU,J37,0))&amp;
IF(OFFSET(UNJC1030_REPORT_SHIYAKU_IF_BARA_TANI,J37,0)="","",
OFFSET(UNJC1030_REPORT_SHIYAKU_IF_BARA_TANI,J37,0)))</f>
        <v/>
      </c>
      <c r="H37" s="1010"/>
      <c r="I37" s="1011" t="str">
        <f ca="1">IF(J37&gt;UNJC1030_REPORT_SHIYAKU_IF_KENSU,"",
IF(OFFSET(UNJC1030_REPORT_SHIYAKU_IF_BIKO,J37,0)="","",
OFFSET(UNJC1030_REPORT_SHIYAKU_IF_BIKO,J37,0)))</f>
        <v/>
      </c>
      <c r="J37" s="536">
        <f>1+MOD(ROW(),ROWS(UNJC1030_REPORT_SHIYAKU_IF_COPY_MOTO))-ROW(UNJC1030_REPORT_SHIYAKU_BOTTOM_START)+
ROUNDDOWN(ROW()/ROWS(UNJC1030_REPORT_SHIYAKU_IF_COPY_MOTO),0)*UNJC1030_REPORT_SHIYAKU_IF_HYOJI_GYO_SU</f>
        <v>2</v>
      </c>
    </row>
    <row r="38" spans="1:10" ht="63.75" customHeight="1">
      <c r="A38" s="1007" t="str">
        <f ca="1">IF(J38&gt;UNJC1030_REPORT_SHIYAKU_IF_KENSU,"",
IF(OFFSET(UNJC1030_REPORT_SHIYAKU_IF_SEIKYUSAKI_MEI,J38,0)="","",
OFFSET(UNJC1030_REPORT_SHIYAKU_IF_SEIKYUSAKI_MEI,J38,0))&amp;"　"&amp;
IF(OFFSET(UNJC1030_REPORT_SHIYAKU_IF_TANTO_MEI,J38,0)="","",
OFFSET(UNJC1030_REPORT_SHIYAKU_IF_TANTO_MEI,J38,0)))</f>
        <v/>
      </c>
      <c r="B38" s="1196" t="str">
        <f ca="1">IF(J38&gt;UNJC1030_REPORT_SHIYAKU_IF_KENSU,"",
IF(OFFSET(UNJC1030_REPORT_SHIYAKU_IF_SHIYAKU_MEI,J38,0)="","",
OFFSET(UNJC1030_REPORT_SHIYAKU_IF_SHIYAKU_MEI,J38,0)))</f>
        <v/>
      </c>
      <c r="C38" s="1885" t="str">
        <f ca="1">IF(J38&gt;UNJC1030_REPORT_SHIYAKU_IF_KENSU,"",
IF(OFFSET(UNJC1030_REPORT_SHIYAKU_IF_SHIYAKU_NAIYO,J38,0)="","",
OFFSET(UNJC1030_REPORT_SHIYAKU_IF_SHIYAKU_NAIYO,J38,0)))</f>
        <v/>
      </c>
      <c r="D38" s="1885"/>
      <c r="E38" s="1008" t="str">
        <f ca="1">IF(J38&gt;UNJC1030_REPORT_SHIYAKU_IF_KENSU,"",
IF(OFFSET(UNJC1030_REPORT_SHIYAKU_IF_DOKU,J38,0)="","",
OFFSET(UNJC1030_REPORT_SHIYAKU_IF_DOKU,J38,0)))</f>
        <v/>
      </c>
      <c r="F38" s="1013" t="str">
        <f ca="1">IF(J38&gt;UNJC1030_REPORT_SHIYAKU_IF_KENSU,"",
IF(OFFSET(UNJC1030_REPORT_SHIYAKU_IF_SURYO,J38,0)="","",
OFFSET(UNJC1030_REPORT_SHIYAKU_IF_SURYO,J38,0))&amp;
IF(OFFSET(UNJC1030_REPORT_SHIYAKU_IF_TANI,J38,0)="","",
OFFSET(UNJC1030_REPORT_SHIYAKU_IF_TANI,J38,0)))</f>
        <v/>
      </c>
      <c r="G38" s="1009" t="str">
        <f ca="1">IF(J38&gt;UNJC1030_REPORT_SHIYAKU_IF_KENSU,"",
IF(OFFSET(UNJC1030_REPORT_SHIYAKU_IF_IRISU,J38,0)="","",
OFFSET(UNJC1030_REPORT_SHIYAKU_IF_IRISU,J38,0))&amp;
IF(OFFSET(UNJC1030_REPORT_SHIYAKU_IF_BARA_TANI,J38,0)="","",
OFFSET(UNJC1030_REPORT_SHIYAKU_IF_BARA_TANI,J38,0)))</f>
        <v/>
      </c>
      <c r="H38" s="1010"/>
      <c r="I38" s="1011" t="str">
        <f ca="1">IF(J38&gt;UNJC1030_REPORT_SHIYAKU_IF_KENSU,"",
IF(OFFSET(UNJC1030_REPORT_SHIYAKU_IF_BIKO,J38,0)="","",
OFFSET(UNJC1030_REPORT_SHIYAKU_IF_BIKO,J38,0)))</f>
        <v/>
      </c>
      <c r="J38" s="536">
        <f>1+MOD(ROW(),ROWS(UNJC1030_REPORT_SHIYAKU_IF_COPY_MOTO))-ROW(UNJC1030_REPORT_SHIYAKU_BOTTOM_START)+
ROUNDDOWN(ROW()/ROWS(UNJC1030_REPORT_SHIYAKU_IF_COPY_MOTO),0)*UNJC1030_REPORT_SHIYAKU_IF_HYOJI_GYO_SU</f>
        <v>3</v>
      </c>
    </row>
    <row r="39" spans="1:10" ht="63.75" customHeight="1">
      <c r="A39" s="1007" t="str">
        <f ca="1">IF(J39&gt;UNJC1030_REPORT_SHIYAKU_IF_KENSU,"",
IF(OFFSET(UNJC1030_REPORT_SHIYAKU_IF_SEIKYUSAKI_MEI,J39,0)="","",
OFFSET(UNJC1030_REPORT_SHIYAKU_IF_SEIKYUSAKI_MEI,J39,0))&amp;"　"&amp;
IF(OFFSET(UNJC1030_REPORT_SHIYAKU_IF_TANTO_MEI,J39,0)="","",
OFFSET(UNJC1030_REPORT_SHIYAKU_IF_TANTO_MEI,J39,0)))</f>
        <v/>
      </c>
      <c r="B39" s="1196" t="str">
        <f ca="1">IF(J39&gt;UNJC1030_REPORT_SHIYAKU_IF_KENSU,"",
IF(OFFSET(UNJC1030_REPORT_SHIYAKU_IF_SHIYAKU_MEI,J39,0)="","",
OFFSET(UNJC1030_REPORT_SHIYAKU_IF_SHIYAKU_MEI,J39,0)))</f>
        <v/>
      </c>
      <c r="C39" s="1885" t="str">
        <f ca="1">IF(J39&gt;UNJC1030_REPORT_SHIYAKU_IF_KENSU,"",
IF(OFFSET(UNJC1030_REPORT_SHIYAKU_IF_SHIYAKU_NAIYO,J39,0)="","",
OFFSET(UNJC1030_REPORT_SHIYAKU_IF_SHIYAKU_NAIYO,J39,0)))</f>
        <v/>
      </c>
      <c r="D39" s="1885"/>
      <c r="E39" s="1008" t="str">
        <f ca="1">IF(J39&gt;UNJC1030_REPORT_SHIYAKU_IF_KENSU,"",
IF(OFFSET(UNJC1030_REPORT_SHIYAKU_IF_DOKU,J39,0)="","",
OFFSET(UNJC1030_REPORT_SHIYAKU_IF_DOKU,J39,0)))</f>
        <v/>
      </c>
      <c r="F39" s="1013" t="str">
        <f ca="1">IF(J39&gt;UNJC1030_REPORT_SHIYAKU_IF_KENSU,"",
IF(OFFSET(UNJC1030_REPORT_SHIYAKU_IF_SURYO,J39,0)="","",
OFFSET(UNJC1030_REPORT_SHIYAKU_IF_SURYO,J39,0))&amp;
IF(OFFSET(UNJC1030_REPORT_SHIYAKU_IF_TANI,J39,0)="","",
OFFSET(UNJC1030_REPORT_SHIYAKU_IF_TANI,J39,0)))</f>
        <v/>
      </c>
      <c r="G39" s="1009" t="str">
        <f ca="1">IF(J39&gt;UNJC1030_REPORT_SHIYAKU_IF_KENSU,"",
IF(OFFSET(UNJC1030_REPORT_SHIYAKU_IF_IRISU,J39,0)="","",
OFFSET(UNJC1030_REPORT_SHIYAKU_IF_IRISU,J39,0))&amp;
IF(OFFSET(UNJC1030_REPORT_SHIYAKU_IF_BARA_TANI,J39,0)="","",
OFFSET(UNJC1030_REPORT_SHIYAKU_IF_BARA_TANI,J39,0)))</f>
        <v/>
      </c>
      <c r="H39" s="1010"/>
      <c r="I39" s="1011" t="str">
        <f ca="1">IF(J39&gt;UNJC1030_REPORT_SHIYAKU_IF_KENSU,"",
IF(OFFSET(UNJC1030_REPORT_SHIYAKU_IF_BIKO,J39,0)="","",
OFFSET(UNJC1030_REPORT_SHIYAKU_IF_BIKO,J39,0)))</f>
        <v/>
      </c>
      <c r="J39" s="536">
        <f>1+MOD(ROW(),ROWS(UNJC1030_REPORT_SHIYAKU_IF_COPY_MOTO))-ROW(UNJC1030_REPORT_SHIYAKU_BOTTOM_START)+
ROUNDDOWN(ROW()/ROWS(UNJC1030_REPORT_SHIYAKU_IF_COPY_MOTO),0)*UNJC1030_REPORT_SHIYAKU_IF_HYOJI_GYO_SU</f>
        <v>4</v>
      </c>
    </row>
  </sheetData>
  <mergeCells count="14">
    <mergeCell ref="C37:D37"/>
    <mergeCell ref="C38:D38"/>
    <mergeCell ref="C39:D39"/>
    <mergeCell ref="A31:B32"/>
    <mergeCell ref="C34:D34"/>
    <mergeCell ref="C35:D35"/>
    <mergeCell ref="A18:B19"/>
    <mergeCell ref="C36:D36"/>
    <mergeCell ref="B26:D26"/>
    <mergeCell ref="B25:D25"/>
    <mergeCell ref="B24:D24"/>
    <mergeCell ref="B23:D23"/>
    <mergeCell ref="B22:D22"/>
    <mergeCell ref="B21:D21"/>
  </mergeCells>
  <phoneticPr fontId="2"/>
  <pageMargins left="0.7" right="0.7" top="0.75" bottom="0.75" header="0.3" footer="0.3"/>
  <pageSetup paperSize="9" orientation="portrait" verticalDpi="0"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pageSetUpPr fitToPage="1"/>
  </sheetPr>
  <dimension ref="A1:N62"/>
  <sheetViews>
    <sheetView zoomScale="70" zoomScaleNormal="70" zoomScaleSheetLayoutView="85" zoomScalePageLayoutView="70" workbookViewId="0">
      <selection activeCell="G20" sqref="G20"/>
    </sheetView>
  </sheetViews>
  <sheetFormatPr defaultRowHeight="16.5"/>
  <cols>
    <col min="1" max="1" width="17.75" style="2" customWidth="1"/>
    <col min="2" max="2" width="7.75" style="2" customWidth="1"/>
    <col min="3" max="3" width="62.625" style="2" customWidth="1"/>
    <col min="4" max="4" width="7.75" style="2" customWidth="1"/>
    <col min="5" max="7" width="9" style="190"/>
  </cols>
  <sheetData>
    <row r="1" spans="1:14" s="278" customFormat="1" ht="33">
      <c r="A1" s="1907" t="s">
        <v>561</v>
      </c>
      <c r="B1" s="1907"/>
      <c r="C1" s="1907"/>
      <c r="D1" s="1907"/>
      <c r="E1" s="231"/>
      <c r="F1" s="231"/>
      <c r="G1" s="231"/>
      <c r="H1" s="231"/>
      <c r="I1" s="231"/>
      <c r="J1" s="231"/>
      <c r="K1" s="231"/>
      <c r="L1" s="231"/>
      <c r="M1" s="231"/>
      <c r="N1" s="231"/>
    </row>
    <row r="2" spans="1:14" s="278" customFormat="1" ht="33">
      <c r="A2" s="230"/>
      <c r="B2" s="247"/>
      <c r="C2" s="230"/>
      <c r="D2" s="248"/>
      <c r="E2" s="231"/>
      <c r="F2" s="231"/>
      <c r="G2" s="231"/>
      <c r="H2" s="231"/>
      <c r="I2" s="231"/>
      <c r="J2" s="231"/>
      <c r="K2" s="231"/>
      <c r="L2" s="231"/>
      <c r="M2" s="231"/>
      <c r="N2" s="231"/>
    </row>
    <row r="3" spans="1:14" s="278" customFormat="1" ht="19.5">
      <c r="A3" s="231"/>
      <c r="B3" s="249"/>
      <c r="C3" s="249"/>
      <c r="D3" s="230"/>
      <c r="E3" s="231"/>
      <c r="F3" s="231"/>
      <c r="G3" s="231"/>
      <c r="H3" s="231"/>
      <c r="I3" s="231"/>
      <c r="J3" s="231"/>
      <c r="K3" s="231"/>
      <c r="L3" s="231"/>
      <c r="M3" s="231"/>
      <c r="N3" s="231"/>
    </row>
    <row r="4" spans="1:14" s="278" customFormat="1">
      <c r="A4" s="230"/>
      <c r="B4" s="230"/>
      <c r="C4" s="230"/>
      <c r="D4" s="230"/>
      <c r="E4" s="231"/>
      <c r="F4" s="231"/>
      <c r="G4" s="231"/>
      <c r="H4" s="231"/>
      <c r="I4" s="231"/>
      <c r="J4" s="231"/>
      <c r="K4" s="231"/>
      <c r="L4" s="231"/>
      <c r="M4" s="231"/>
      <c r="N4" s="231"/>
    </row>
    <row r="5" spans="1:14" s="278" customFormat="1">
      <c r="A5" s="231"/>
      <c r="B5" s="230"/>
      <c r="C5" s="230"/>
      <c r="D5" s="230"/>
      <c r="E5" s="231"/>
      <c r="F5" s="231"/>
      <c r="G5" s="231"/>
      <c r="H5" s="231"/>
      <c r="I5" s="231"/>
      <c r="J5" s="231"/>
      <c r="K5" s="231"/>
      <c r="L5" s="231"/>
      <c r="M5" s="231"/>
      <c r="N5" s="231"/>
    </row>
    <row r="6" spans="1:14" s="278" customFormat="1">
      <c r="A6" s="230"/>
      <c r="B6" s="230"/>
      <c r="C6" s="230"/>
      <c r="D6" s="230"/>
      <c r="E6" s="231"/>
      <c r="F6" s="231"/>
      <c r="G6" s="231"/>
      <c r="H6" s="231"/>
      <c r="I6" s="231"/>
      <c r="J6" s="231"/>
      <c r="K6" s="231"/>
      <c r="L6" s="231"/>
      <c r="M6" s="231"/>
      <c r="N6" s="231"/>
    </row>
    <row r="7" spans="1:14" s="278" customFormat="1" ht="17.25" thickBot="1">
      <c r="A7" s="230"/>
      <c r="B7" s="230"/>
      <c r="C7" s="230"/>
      <c r="D7" s="230"/>
      <c r="E7" s="231"/>
      <c r="F7" s="231"/>
      <c r="G7" s="231"/>
      <c r="H7" s="231"/>
      <c r="I7" s="231"/>
      <c r="J7" s="231"/>
      <c r="K7" s="231"/>
      <c r="L7" s="231"/>
      <c r="M7" s="231"/>
      <c r="N7" s="231"/>
    </row>
    <row r="8" spans="1:14" s="278" customFormat="1" ht="36.75" customHeight="1">
      <c r="A8" s="1919" t="s">
        <v>562</v>
      </c>
      <c r="B8" s="1022" t="s">
        <v>101</v>
      </c>
      <c r="C8" s="1921" t="str">
        <f ca="1">IF(OFFSET(UNJC1030_REPORT_DOKU_IF_DOKU_MEISHO,ROUNDUP(ROW()/ROWS(UNJC1030_REPORT_DOKU_IF_COPY_MOTO),0),0)="","",
OFFSET(UNJC1030_REPORT_DOKU_IF_DOKU_MEISHO,ROUNDUP(ROW()/ROWS(UNJC1030_REPORT_DOKU_IF_COPY_MOTO),0),0))</f>
        <v/>
      </c>
      <c r="D8" s="1922"/>
      <c r="E8" s="231"/>
      <c r="F8" s="231"/>
      <c r="G8" s="231"/>
      <c r="H8" s="231"/>
      <c r="I8" s="231"/>
      <c r="J8" s="231"/>
      <c r="K8" s="231"/>
      <c r="L8" s="231"/>
      <c r="M8" s="231"/>
      <c r="N8" s="231"/>
    </row>
    <row r="9" spans="1:14" s="278" customFormat="1" ht="36.75" customHeight="1">
      <c r="A9" s="1920"/>
      <c r="B9" s="1023" t="s">
        <v>551</v>
      </c>
      <c r="C9" s="1902" t="str">
        <f ca="1">IF(OFFSET(UNJC1030_REPORT_DOKU_IF_DOKU_SURYO,ROUNDUP(ROW()/ROWS(UNJC1030_REPORT_DOKU_IF_COPY_MOTO),0),0)="",
"",
OFFSET(UNJC1030_REPORT_DOKU_IF_DOKU_SURYO,ROUNDUP(ROW()/ROWS(UNJC1030_REPORT_DOKU_IF_COPY_MOTO),0),0)&amp;" × ")&amp;
OFFSET(UNJC1030_REPORT_DOKU_IF_JUCHU_SURYO,ROUNDUP(ROW()/ROWS(UNJC1030_REPORT_DOKU_IF_COPY_MOTO),0),0)&amp;
OFFSET(UNJC1030_REPORT_DOKU_IF_JUCHU_SURYO_TANI,ROUNDUP(ROW()/ROWS(UNJC1030_REPORT_DOKU_IF_COPY_MOTO),0),0)</f>
        <v/>
      </c>
      <c r="D9" s="1903"/>
      <c r="E9" s="231"/>
      <c r="F9" s="231"/>
      <c r="G9" s="231"/>
      <c r="H9" s="231"/>
      <c r="I9" s="231"/>
      <c r="J9" s="231"/>
      <c r="K9" s="231"/>
      <c r="L9" s="231"/>
      <c r="M9" s="231"/>
      <c r="N9" s="231"/>
    </row>
    <row r="10" spans="1:14" s="278" customFormat="1" ht="36.75" customHeight="1">
      <c r="A10" s="1024" t="s">
        <v>563</v>
      </c>
      <c r="B10" s="1904" t="str">
        <f ca="1">IF(OFFSET(UNJC1030_REPORT_DOKU_IF_NOHIN_DATE,ROUNDUP(ROW()/ROWS(UNJC1030_REPORT_DOKU_IF_COPY_MOTO),0),0)="","",
OFFSET(UNJC1030_REPORT_DOKU_IF_NOHIN_DATE,ROUNDUP(ROW()/ROWS(UNJC1030_REPORT_DOKU_IF_COPY_MOTO),0),0))</f>
        <v/>
      </c>
      <c r="C10" s="1905"/>
      <c r="D10" s="1906"/>
      <c r="E10" s="231"/>
      <c r="F10" s="231"/>
      <c r="G10" s="231"/>
      <c r="H10" s="231"/>
      <c r="I10" s="231"/>
      <c r="J10" s="231"/>
      <c r="K10" s="231"/>
      <c r="L10" s="231"/>
      <c r="M10" s="231"/>
      <c r="N10" s="231"/>
    </row>
    <row r="11" spans="1:14" s="278" customFormat="1" ht="36.75" customHeight="1">
      <c r="A11" s="1025" t="s">
        <v>564</v>
      </c>
      <c r="B11" s="1023" t="s">
        <v>565</v>
      </c>
      <c r="C11" s="1026"/>
      <c r="D11" s="1027" t="s">
        <v>566</v>
      </c>
      <c r="E11" s="231"/>
      <c r="F11" s="231"/>
      <c r="G11" s="231"/>
      <c r="H11" s="231"/>
      <c r="I11" s="231"/>
      <c r="J11" s="231"/>
      <c r="K11" s="231"/>
      <c r="L11" s="231"/>
      <c r="M11" s="231"/>
      <c r="N11" s="231"/>
    </row>
    <row r="12" spans="1:14" s="278" customFormat="1" ht="36.75" customHeight="1">
      <c r="A12" s="1912" t="s">
        <v>567</v>
      </c>
      <c r="B12" s="1023" t="s">
        <v>568</v>
      </c>
      <c r="C12" s="1914"/>
      <c r="D12" s="1915"/>
      <c r="E12" s="231"/>
      <c r="F12" s="231"/>
      <c r="G12" s="231"/>
      <c r="H12" s="231"/>
      <c r="I12" s="231"/>
      <c r="J12" s="231"/>
      <c r="K12" s="231"/>
      <c r="L12" s="231"/>
      <c r="M12" s="231"/>
      <c r="N12" s="231"/>
    </row>
    <row r="13" spans="1:14" s="278" customFormat="1" ht="36.75" customHeight="1">
      <c r="A13" s="1913"/>
      <c r="B13" s="1023" t="s">
        <v>33</v>
      </c>
      <c r="C13" s="1914"/>
      <c r="D13" s="1915"/>
      <c r="E13" s="231"/>
      <c r="F13" s="231"/>
      <c r="G13" s="231"/>
      <c r="H13" s="231"/>
      <c r="I13" s="231"/>
      <c r="J13" s="231"/>
      <c r="K13" s="231"/>
      <c r="L13" s="231"/>
      <c r="M13" s="231"/>
      <c r="N13" s="231"/>
    </row>
    <row r="14" spans="1:14" s="278" customFormat="1" ht="36.75" customHeight="1" thickBot="1">
      <c r="A14" s="1028" t="s">
        <v>1</v>
      </c>
      <c r="B14" s="1916" t="str">
        <f ca="1">IF(OFFSET(UNJC1030_REPORT_DOKU_IF_BIKO,ROUNDUP(ROW()/ROWS(UNJC1030_REPORT_DOKU_IF_COPY_MOTO),0),0)="","",
OFFSET(UNJC1030_REPORT_DOKU_IF_BIKO,ROUNDUP(ROW()/ROWS(UNJC1030_REPORT_DOKU_IF_COPY_MOTO),0),0))</f>
        <v/>
      </c>
      <c r="C14" s="1917"/>
      <c r="D14" s="1918"/>
      <c r="E14" s="231"/>
      <c r="F14" s="231"/>
      <c r="G14" s="231"/>
      <c r="H14" s="231"/>
      <c r="I14" s="231"/>
      <c r="J14" s="231"/>
      <c r="K14" s="231"/>
      <c r="L14" s="231"/>
      <c r="M14" s="231"/>
      <c r="N14" s="231"/>
    </row>
    <row r="15" spans="1:14" s="278" customFormat="1">
      <c r="A15" s="1029"/>
      <c r="B15" s="1030" t="s">
        <v>569</v>
      </c>
      <c r="C15" s="1029"/>
      <c r="D15" s="1029"/>
      <c r="E15" s="231"/>
      <c r="F15" s="231"/>
      <c r="G15" s="231"/>
      <c r="H15" s="231"/>
      <c r="I15" s="231"/>
      <c r="J15" s="231"/>
      <c r="K15" s="231"/>
      <c r="L15" s="231"/>
      <c r="M15" s="231"/>
      <c r="N15" s="231"/>
    </row>
    <row r="16" spans="1:14" s="278" customFormat="1">
      <c r="A16" s="230"/>
      <c r="B16" s="230"/>
      <c r="C16" s="230"/>
      <c r="D16" s="230"/>
      <c r="E16" s="231"/>
      <c r="F16" s="231"/>
      <c r="G16" s="231"/>
      <c r="H16" s="231"/>
      <c r="I16" s="231"/>
      <c r="J16" s="231"/>
      <c r="K16" s="231"/>
      <c r="L16" s="231"/>
      <c r="M16" s="231"/>
      <c r="N16" s="231"/>
    </row>
    <row r="17" spans="1:14" s="278" customFormat="1">
      <c r="A17" s="230"/>
      <c r="B17" s="230"/>
      <c r="C17" s="230"/>
      <c r="D17" s="230"/>
      <c r="E17" s="231"/>
      <c r="F17" s="231"/>
      <c r="G17" s="231"/>
      <c r="H17" s="231"/>
      <c r="I17" s="231"/>
      <c r="J17" s="231"/>
      <c r="K17" s="231"/>
      <c r="L17" s="231"/>
      <c r="M17" s="231"/>
      <c r="N17" s="231"/>
    </row>
    <row r="18" spans="1:14" s="278" customFormat="1" ht="33">
      <c r="A18" s="244" t="s">
        <v>561</v>
      </c>
      <c r="B18" s="246"/>
      <c r="C18" s="244"/>
      <c r="D18" s="245"/>
      <c r="E18" s="231"/>
      <c r="F18" s="231"/>
      <c r="G18" s="231"/>
      <c r="H18" s="231"/>
      <c r="I18" s="231"/>
      <c r="J18" s="231"/>
      <c r="K18" s="231"/>
      <c r="L18" s="231"/>
      <c r="M18" s="231"/>
      <c r="N18" s="231"/>
    </row>
    <row r="19" spans="1:14" s="278" customFormat="1" ht="15" customHeight="1">
      <c r="A19" s="230"/>
      <c r="B19" s="247"/>
      <c r="C19" s="230"/>
      <c r="D19" s="248"/>
      <c r="E19" s="231"/>
      <c r="F19" s="231"/>
      <c r="G19" s="231"/>
      <c r="H19" s="231"/>
      <c r="I19" s="231"/>
      <c r="J19" s="231"/>
      <c r="K19" s="231"/>
      <c r="L19" s="231"/>
      <c r="M19" s="231"/>
      <c r="N19" s="231"/>
    </row>
    <row r="20" spans="1:14" s="278" customFormat="1" ht="19.5">
      <c r="A20" s="231"/>
      <c r="B20" s="249"/>
      <c r="C20" s="249"/>
      <c r="D20" s="230"/>
      <c r="E20" s="231"/>
      <c r="F20" s="231"/>
      <c r="G20" s="231"/>
      <c r="H20" s="231"/>
      <c r="I20" s="231"/>
      <c r="J20" s="231"/>
      <c r="K20" s="231"/>
      <c r="L20" s="231"/>
      <c r="M20" s="231"/>
      <c r="N20" s="231"/>
    </row>
    <row r="21" spans="1:14" s="278" customFormat="1" ht="33">
      <c r="A21" s="196" t="s">
        <v>570</v>
      </c>
      <c r="B21" s="230"/>
      <c r="C21" s="230"/>
      <c r="D21" s="230"/>
      <c r="E21" s="231"/>
      <c r="F21" s="231"/>
      <c r="G21" s="231"/>
      <c r="H21" s="231"/>
      <c r="I21" s="231"/>
      <c r="J21" s="231"/>
      <c r="K21" s="231"/>
      <c r="L21" s="231"/>
      <c r="M21" s="231"/>
      <c r="N21" s="231"/>
    </row>
    <row r="22" spans="1:14" s="278" customFormat="1">
      <c r="A22" s="231"/>
      <c r="B22" s="230"/>
      <c r="C22" s="230"/>
      <c r="D22" s="230"/>
      <c r="E22" s="231"/>
      <c r="F22" s="231"/>
      <c r="G22" s="231"/>
      <c r="H22" s="231"/>
      <c r="I22" s="231"/>
      <c r="J22" s="231"/>
      <c r="K22" s="231"/>
      <c r="L22" s="231"/>
      <c r="M22" s="231"/>
      <c r="N22" s="231"/>
    </row>
    <row r="23" spans="1:14" s="278" customFormat="1">
      <c r="A23" s="230"/>
      <c r="B23" s="230"/>
      <c r="C23" s="230"/>
      <c r="D23" s="230"/>
      <c r="E23" s="231"/>
      <c r="F23" s="231"/>
      <c r="G23" s="231"/>
      <c r="H23" s="231"/>
      <c r="I23" s="231"/>
      <c r="J23" s="231"/>
      <c r="K23" s="231"/>
      <c r="L23" s="231"/>
      <c r="M23" s="231"/>
      <c r="N23" s="231"/>
    </row>
    <row r="24" spans="1:14" s="278" customFormat="1" ht="17.25" thickBot="1">
      <c r="A24" s="230"/>
      <c r="B24" s="230"/>
      <c r="C24" s="230"/>
      <c r="D24" s="230"/>
      <c r="E24" s="231"/>
      <c r="F24" s="231"/>
      <c r="G24" s="231"/>
      <c r="H24" s="231"/>
      <c r="I24" s="231"/>
      <c r="J24" s="231"/>
      <c r="K24" s="231"/>
      <c r="L24" s="231"/>
      <c r="M24" s="231"/>
      <c r="N24" s="231"/>
    </row>
    <row r="25" spans="1:14" s="278" customFormat="1" ht="36.75" customHeight="1">
      <c r="A25" s="1893" t="s">
        <v>562</v>
      </c>
      <c r="B25" s="1014" t="s">
        <v>101</v>
      </c>
      <c r="C25" s="1895" t="str">
        <f ca="1">IF(OFFSET(UNJC1030_REPORT_DOKU_IF_DOKU_MEISHO,ROUNDUP(ROW()/ROWS(UNJC1030_REPORT_DOKU_IF_COPY_MOTO),0),0)="","",
OFFSET(UNJC1030_REPORT_DOKU_IF_DOKU_MEISHO,ROUNDUP(ROW()/ROWS(UNJC1030_REPORT_DOKU_IF_COPY_MOTO),0),0))</f>
        <v/>
      </c>
      <c r="D25" s="1896"/>
      <c r="E25" s="231"/>
      <c r="F25" s="231"/>
      <c r="G25" s="231"/>
      <c r="H25" s="231"/>
      <c r="I25" s="231"/>
      <c r="J25" s="231"/>
      <c r="K25" s="231"/>
      <c r="L25" s="231"/>
      <c r="M25" s="231"/>
      <c r="N25" s="231"/>
    </row>
    <row r="26" spans="1:14" s="278" customFormat="1" ht="36.75" customHeight="1">
      <c r="A26" s="1894"/>
      <c r="B26" s="1015" t="s">
        <v>551</v>
      </c>
      <c r="C26" s="1897" t="str">
        <f ca="1">IF(OFFSET(UNJC1030_REPORT_DOKU_IF_DOKU_SURYO,ROUNDUP(ROW()/ROWS(UNJC1030_REPORT_DOKU_IF_COPY_MOTO),0),0)="",
"",
OFFSET(UNJC1030_REPORT_DOKU_IF_DOKU_SURYO,ROUNDUP(ROW()/ROWS(UNJC1030_REPORT_DOKU_IF_COPY_MOTO),0),0)&amp;" × ")&amp;
OFFSET(UNJC1030_REPORT_DOKU_IF_JUCHU_SURYO,ROUNDUP(ROW()/ROWS(UNJC1030_REPORT_DOKU_IF_COPY_MOTO),0),0)&amp;
OFFSET(UNJC1030_REPORT_DOKU_IF_JUCHU_SURYO_TANI,ROUNDUP(ROW()/ROWS(UNJC1030_REPORT_DOKU_IF_COPY_MOTO),0),0)</f>
        <v/>
      </c>
      <c r="D26" s="1898"/>
      <c r="E26" s="231"/>
      <c r="F26" s="231"/>
      <c r="G26" s="231"/>
      <c r="H26" s="231"/>
      <c r="I26" s="231"/>
      <c r="J26" s="231"/>
      <c r="K26" s="231"/>
      <c r="L26" s="231"/>
      <c r="M26" s="231"/>
      <c r="N26" s="231"/>
    </row>
    <row r="27" spans="1:14" s="278" customFormat="1" ht="36.75" customHeight="1">
      <c r="A27" s="1016" t="s">
        <v>563</v>
      </c>
      <c r="B27" s="1899" t="str">
        <f ca="1">IF(OFFSET(UNJC1030_REPORT_DOKU_IF_NOHIN_DATE,ROUNDUP(ROW()/ROWS(UNJC1030_REPORT_DOKU_IF_COPY_MOTO),0),0)="","",
OFFSET(UNJC1030_REPORT_DOKU_IF_NOHIN_DATE,ROUNDUP(ROW()/ROWS(UNJC1030_REPORT_DOKU_IF_COPY_MOTO),0),0))</f>
        <v/>
      </c>
      <c r="C27" s="1900"/>
      <c r="D27" s="1901"/>
      <c r="E27" s="231"/>
      <c r="F27" s="231"/>
      <c r="G27" s="231"/>
      <c r="H27" s="231"/>
      <c r="I27" s="231"/>
      <c r="J27" s="231"/>
      <c r="K27" s="231"/>
      <c r="L27" s="231"/>
      <c r="M27" s="231"/>
      <c r="N27" s="231"/>
    </row>
    <row r="28" spans="1:14" s="278" customFormat="1" ht="36.75" customHeight="1">
      <c r="A28" s="1017" t="s">
        <v>564</v>
      </c>
      <c r="B28" s="1015" t="s">
        <v>565</v>
      </c>
      <c r="C28" s="1018" t="str">
        <f ca="1">IF(OFFSET(UNJC1030_REPORT_DOKU_IF_TANTO_MEI,ROUNDUP(ROW()/ROWS(UNJC1030_REPORT_DOKU_IF_COPY_MOTO),0),0)="","",
OFFSET(UNJC1030_REPORT_DOKU_IF_TANTO_MEI,ROUNDUP(ROW()/ROWS(UNJC1030_REPORT_DOKU_IF_COPY_MOTO),0),0))</f>
        <v/>
      </c>
      <c r="D28" s="1019" t="s">
        <v>566</v>
      </c>
      <c r="E28" s="231"/>
      <c r="F28" s="231"/>
      <c r="G28" s="231"/>
      <c r="H28" s="231"/>
      <c r="I28" s="231"/>
      <c r="J28" s="231"/>
      <c r="K28" s="231"/>
      <c r="L28" s="231"/>
      <c r="M28" s="231"/>
      <c r="N28" s="231"/>
    </row>
    <row r="29" spans="1:14" s="278" customFormat="1" ht="36.75" customHeight="1">
      <c r="A29" s="1908" t="s">
        <v>567</v>
      </c>
      <c r="B29" s="1015" t="s">
        <v>568</v>
      </c>
      <c r="C29" s="1910" t="str">
        <f ca="1">IF(OFFSET(UNJC1030_REPORT_DOKU_IF_SEIKYUSAKI_MEI,ROUNDUP(ROW()/ROWS(UNJC1030_REPORT_DOKU_IF_COPY_MOTO),0),0)="","",
OFFSET(UNJC1030_REPORT_DOKU_IF_SEIKYUSAKI_MEI,ROUNDUP(ROW()/ROWS(UNJC1030_REPORT_DOKU_IF_COPY_MOTO),0),0))</f>
        <v/>
      </c>
      <c r="D29" s="1911"/>
      <c r="E29" s="231"/>
      <c r="F29" s="231"/>
      <c r="G29" s="231"/>
      <c r="H29" s="231"/>
      <c r="I29" s="231"/>
      <c r="J29" s="231"/>
      <c r="K29" s="231"/>
      <c r="L29" s="231"/>
      <c r="M29" s="231"/>
      <c r="N29" s="231"/>
    </row>
    <row r="30" spans="1:14" s="278" customFormat="1" ht="36.75" customHeight="1">
      <c r="A30" s="1909"/>
      <c r="B30" s="1015" t="s">
        <v>33</v>
      </c>
      <c r="C30" s="1910" t="str">
        <f ca="1">IF(OFFSET(UNJC1030_REPORT_DOKU_IF_SEIKYUSAKI_JUSHO,ROUNDUP(ROW()/ROWS(UNJC1030_REPORT_DOKU_IF_COPY_MOTO),0),0)="","",
OFFSET(UNJC1030_REPORT_DOKU_IF_SEIKYUSAKI_JUSHO,ROUNDUP(ROW()/ROWS(UNJC1030_REPORT_DOKU_IF_COPY_MOTO),0),0))</f>
        <v/>
      </c>
      <c r="D30" s="1911"/>
      <c r="E30" s="231"/>
      <c r="F30" s="231"/>
      <c r="G30" s="231"/>
      <c r="H30" s="231"/>
      <c r="I30" s="231"/>
      <c r="J30" s="231"/>
      <c r="K30" s="231"/>
      <c r="L30" s="231"/>
      <c r="M30" s="231"/>
      <c r="N30" s="231"/>
    </row>
    <row r="31" spans="1:14" s="278" customFormat="1" ht="36.75" customHeight="1" thickBot="1">
      <c r="A31" s="1020" t="s">
        <v>1</v>
      </c>
      <c r="B31" s="1890" t="str">
        <f ca="1">IF(OFFSET(UNJC1030_REPORT_DOKU_IF_BIKO,ROUNDUP(ROW()/ROWS(UNJC1030_REPORT_DOKU_IF_COPY_MOTO),0),0)="","",
OFFSET(UNJC1030_REPORT_DOKU_IF_BIKO,ROUNDUP(ROW()/ROWS(UNJC1030_REPORT_DOKU_IF_COPY_MOTO),0),0))</f>
        <v/>
      </c>
      <c r="C31" s="1891"/>
      <c r="D31" s="1892"/>
      <c r="E31" s="231"/>
      <c r="F31" s="231"/>
      <c r="G31" s="231"/>
      <c r="H31" s="231"/>
      <c r="I31" s="231"/>
      <c r="J31" s="231"/>
      <c r="K31" s="231"/>
      <c r="L31" s="231"/>
      <c r="M31" s="231"/>
      <c r="N31" s="231"/>
    </row>
    <row r="32" spans="1:14" s="229" customFormat="1" ht="33">
      <c r="A32" s="1907" t="s">
        <v>561</v>
      </c>
      <c r="B32" s="1907"/>
      <c r="C32" s="1907"/>
      <c r="D32" s="1907"/>
      <c r="E32" s="231"/>
      <c r="F32" s="231"/>
      <c r="G32" s="231"/>
      <c r="H32" s="231"/>
      <c r="I32" s="231"/>
    </row>
    <row r="33" spans="1:9" s="229" customFormat="1" ht="33">
      <c r="A33" s="230"/>
      <c r="B33" s="247"/>
      <c r="C33" s="230"/>
      <c r="D33" s="248"/>
      <c r="E33" s="231"/>
      <c r="F33" s="231"/>
      <c r="G33" s="231"/>
      <c r="H33" s="231"/>
      <c r="I33" s="231"/>
    </row>
    <row r="34" spans="1:9" s="229" customFormat="1" ht="19.5">
      <c r="A34" s="231"/>
      <c r="B34" s="249"/>
      <c r="C34" s="249"/>
      <c r="D34" s="230"/>
      <c r="E34" s="231"/>
      <c r="F34" s="231"/>
      <c r="G34" s="231"/>
      <c r="H34" s="231"/>
      <c r="I34" s="231"/>
    </row>
    <row r="35" spans="1:9" s="229" customFormat="1">
      <c r="A35" s="230"/>
      <c r="B35" s="230"/>
      <c r="C35" s="230"/>
      <c r="D35" s="230"/>
      <c r="E35" s="231"/>
      <c r="F35" s="231"/>
      <c r="G35" s="231"/>
      <c r="H35" s="231"/>
      <c r="I35" s="231"/>
    </row>
    <row r="36" spans="1:9" s="229" customFormat="1">
      <c r="A36" s="231"/>
      <c r="B36" s="230"/>
      <c r="C36" s="230"/>
      <c r="D36" s="230"/>
      <c r="E36" s="231"/>
      <c r="F36" s="231"/>
      <c r="G36" s="231"/>
      <c r="H36" s="231"/>
      <c r="I36" s="231"/>
    </row>
    <row r="37" spans="1:9" s="229" customFormat="1">
      <c r="A37" s="230"/>
      <c r="B37" s="230"/>
      <c r="C37" s="230"/>
      <c r="D37" s="230"/>
      <c r="E37" s="231"/>
      <c r="F37" s="231"/>
      <c r="G37" s="231"/>
      <c r="H37" s="231"/>
      <c r="I37" s="231"/>
    </row>
    <row r="38" spans="1:9" s="229" customFormat="1" ht="17.25" thickBot="1">
      <c r="A38" s="230"/>
      <c r="B38" s="230"/>
      <c r="C38" s="230"/>
      <c r="D38" s="230"/>
      <c r="E38" s="231"/>
      <c r="F38" s="231"/>
      <c r="G38" s="231"/>
      <c r="H38" s="231"/>
      <c r="I38" s="231"/>
    </row>
    <row r="39" spans="1:9" s="229" customFormat="1" ht="36.75" customHeight="1">
      <c r="A39" s="1923" t="s">
        <v>562</v>
      </c>
      <c r="B39" s="191" t="s">
        <v>101</v>
      </c>
      <c r="C39" s="1925" t="str">
        <f ca="1">IF(OFFSET(UNJC1030_REPORT_DOKU_IF_DOKU_MEISHO,ROUNDUP(ROW()/ROWS(UNJC1030_REPORT_DOKU_IF_COPY_MOTO),0),0)="","",
OFFSET(UNJC1030_REPORT_DOKU_IF_DOKU_MEISHO,ROUNDUP(ROW()/ROWS(UNJC1030_REPORT_DOKU_IF_COPY_MOTO),0),0))</f>
        <v/>
      </c>
      <c r="D39" s="1926"/>
      <c r="E39" s="231"/>
      <c r="F39" s="231"/>
      <c r="G39" s="231"/>
      <c r="H39" s="231"/>
      <c r="I39" s="231"/>
    </row>
    <row r="40" spans="1:9" s="229" customFormat="1" ht="36.75" customHeight="1">
      <c r="A40" s="1924"/>
      <c r="B40" s="890" t="s">
        <v>551</v>
      </c>
      <c r="C40" s="1927" t="str">
        <f ca="1">IF(OFFSET(UNJC1030_REPORT_DOKU_IF_DOKU_SURYO,ROUNDUP(ROW()/ROWS(UNJC1030_REPORT_DOKU_IF_COPY_MOTO),0),0)="",
"",
OFFSET(UNJC1030_REPORT_DOKU_IF_DOKU_SURYO,ROUNDUP(ROW()/ROWS(UNJC1030_REPORT_DOKU_IF_COPY_MOTO),0),0)&amp;" × ")&amp;
OFFSET(UNJC1030_REPORT_DOKU_IF_JUCHU_SURYO,ROUNDUP(ROW()/ROWS(UNJC1030_REPORT_DOKU_IF_COPY_MOTO),0),0)&amp;
OFFSET(UNJC1030_REPORT_DOKU_IF_JUCHU_SURYO_TANI,ROUNDUP(ROW()/ROWS(UNJC1030_REPORT_DOKU_IF_COPY_MOTO),0),0)</f>
        <v/>
      </c>
      <c r="D40" s="1928"/>
      <c r="E40" s="231"/>
      <c r="F40" s="231"/>
      <c r="G40" s="231"/>
      <c r="H40" s="231"/>
      <c r="I40" s="231"/>
    </row>
    <row r="41" spans="1:9" s="229" customFormat="1" ht="36.75" customHeight="1">
      <c r="A41" s="194" t="s">
        <v>563</v>
      </c>
      <c r="B41" s="1929" t="str">
        <f ca="1">IF(OFFSET(UNJC1030_REPORT_DOKU_IF_NOHIN_DATE,ROUNDUP(ROW()/ROWS(UNJC1030_REPORT_DOKU_IF_COPY_MOTO),0),0)="","",
OFFSET(UNJC1030_REPORT_DOKU_IF_NOHIN_DATE,ROUNDUP(ROW()/ROWS(UNJC1030_REPORT_DOKU_IF_COPY_MOTO),0),0))</f>
        <v/>
      </c>
      <c r="C41" s="1930"/>
      <c r="D41" s="1931"/>
      <c r="E41" s="231"/>
      <c r="F41" s="231"/>
      <c r="G41" s="231"/>
      <c r="H41" s="231"/>
      <c r="I41" s="231"/>
    </row>
    <row r="42" spans="1:9" s="229" customFormat="1" ht="36.75" customHeight="1">
      <c r="A42" s="898" t="s">
        <v>564</v>
      </c>
      <c r="B42" s="890" t="s">
        <v>565</v>
      </c>
      <c r="C42" s="891" t="str">
        <f ca="1">IF(OFFSET(UNJC1030_REPORT_DOKU_IF_TANTO_MEI,ROUNDUP(ROW()/ROWS(UNJC1030_REPORT_DOKU_IF_COPY_MOTO),0),0)="","",
OFFSET(UNJC1030_REPORT_DOKU_IF_TANTO_MEI,ROUNDUP(ROW()/ROWS(UNJC1030_REPORT_DOKU_IF_COPY_MOTO),0),0))</f>
        <v/>
      </c>
      <c r="D42" s="198" t="s">
        <v>566</v>
      </c>
      <c r="E42" s="231"/>
      <c r="F42" s="231"/>
      <c r="G42" s="231"/>
      <c r="H42" s="231"/>
      <c r="I42" s="231"/>
    </row>
    <row r="43" spans="1:9" s="229" customFormat="1" ht="36.75" customHeight="1">
      <c r="A43" s="1932" t="s">
        <v>567</v>
      </c>
      <c r="B43" s="890" t="s">
        <v>568</v>
      </c>
      <c r="C43" s="1934" t="str">
        <f ca="1">IF(OFFSET(UNJC1030_REPORT_DOKU_IF_SEIKYUSAKI_MEI,ROUNDUP(ROW()/ROWS(UNJC1030_REPORT_DOKU_IF_COPY_MOTO),0),0)="","",
OFFSET(UNJC1030_REPORT_DOKU_IF_SEIKYUSAKI_MEI,ROUNDUP(ROW()/ROWS(UNJC1030_REPORT_DOKU_IF_COPY_MOTO),0),0))</f>
        <v/>
      </c>
      <c r="D43" s="1935"/>
      <c r="E43" s="231"/>
      <c r="F43" s="231"/>
      <c r="G43" s="231"/>
      <c r="H43" s="231"/>
      <c r="I43" s="231"/>
    </row>
    <row r="44" spans="1:9" s="229" customFormat="1" ht="36.75" customHeight="1">
      <c r="A44" s="1933"/>
      <c r="B44" s="890" t="s">
        <v>33</v>
      </c>
      <c r="C44" s="1934" t="str">
        <f ca="1">IF(OFFSET(UNJC1030_REPORT_DOKU_IF_SEIKYUSAKI_JUSHO,ROUNDUP(ROW()/ROWS(UNJC1030_REPORT_DOKU_IF_COPY_MOTO),0),0)="","",
OFFSET(UNJC1030_REPORT_DOKU_IF_SEIKYUSAKI_JUSHO,ROUNDUP(ROW()/ROWS(UNJC1030_REPORT_DOKU_IF_COPY_MOTO),0),0))</f>
        <v/>
      </c>
      <c r="D44" s="1935"/>
      <c r="E44" s="231"/>
      <c r="F44" s="231"/>
      <c r="G44" s="231"/>
      <c r="H44" s="231"/>
      <c r="I44" s="231"/>
    </row>
    <row r="45" spans="1:9" s="229" customFormat="1" ht="36.75" customHeight="1" thickBot="1">
      <c r="A45" s="195" t="s">
        <v>1</v>
      </c>
      <c r="B45" s="1936" t="str">
        <f ca="1">IF(OFFSET(UNJC1030_REPORT_DOKU_IF_BIKO,ROUNDUP(ROW()/ROWS(UNJC1030_REPORT_DOKU_IF_COPY_MOTO),0),0)="","",
OFFSET(UNJC1030_REPORT_DOKU_IF_BIKO,ROUNDUP(ROW()/ROWS(UNJC1030_REPORT_DOKU_IF_COPY_MOTO),0),0))</f>
        <v/>
      </c>
      <c r="C45" s="1937"/>
      <c r="D45" s="1938"/>
      <c r="E45" s="231"/>
      <c r="F45" s="231"/>
      <c r="G45" s="231"/>
      <c r="H45" s="231"/>
      <c r="I45" s="231"/>
    </row>
    <row r="46" spans="1:9" s="229" customFormat="1">
      <c r="A46" s="192"/>
      <c r="B46" s="193" t="s">
        <v>569</v>
      </c>
      <c r="C46" s="192"/>
      <c r="D46" s="192"/>
      <c r="E46" s="231"/>
      <c r="F46" s="231"/>
      <c r="G46" s="231"/>
      <c r="H46" s="231"/>
      <c r="I46" s="231"/>
    </row>
    <row r="47" spans="1:9" s="229" customFormat="1">
      <c r="A47" s="230"/>
      <c r="B47" s="230"/>
      <c r="C47" s="230"/>
      <c r="D47" s="230"/>
      <c r="E47" s="231"/>
      <c r="F47" s="231"/>
      <c r="G47" s="231"/>
      <c r="H47" s="231"/>
      <c r="I47" s="231"/>
    </row>
    <row r="48" spans="1:9" s="229" customFormat="1">
      <c r="A48" s="230"/>
      <c r="B48" s="230"/>
      <c r="C48" s="230"/>
      <c r="D48" s="230"/>
      <c r="E48" s="231"/>
      <c r="F48" s="231"/>
      <c r="G48" s="231"/>
      <c r="H48" s="231"/>
      <c r="I48" s="231"/>
    </row>
    <row r="49" spans="1:9" s="229" customFormat="1" ht="33">
      <c r="A49" s="244" t="s">
        <v>561</v>
      </c>
      <c r="B49" s="246"/>
      <c r="C49" s="244"/>
      <c r="D49" s="245"/>
      <c r="E49" s="231"/>
      <c r="F49" s="231"/>
      <c r="G49" s="231"/>
      <c r="H49" s="231"/>
      <c r="I49" s="231"/>
    </row>
    <row r="50" spans="1:9" s="229" customFormat="1" ht="15" customHeight="1">
      <c r="A50" s="230"/>
      <c r="B50" s="247"/>
      <c r="C50" s="230"/>
      <c r="D50" s="248"/>
      <c r="E50" s="231"/>
      <c r="F50" s="231"/>
      <c r="G50" s="231"/>
      <c r="H50" s="231"/>
      <c r="I50" s="231"/>
    </row>
    <row r="51" spans="1:9" s="229" customFormat="1" ht="19.5">
      <c r="A51" s="231"/>
      <c r="B51" s="249"/>
      <c r="C51" s="249"/>
      <c r="D51" s="230"/>
      <c r="E51" s="231"/>
      <c r="F51" s="231"/>
      <c r="G51" s="231"/>
      <c r="H51" s="231"/>
      <c r="I51" s="231"/>
    </row>
    <row r="52" spans="1:9" s="229" customFormat="1" ht="33">
      <c r="A52" s="196" t="s">
        <v>570</v>
      </c>
      <c r="B52" s="230"/>
      <c r="C52" s="230"/>
      <c r="D52" s="230"/>
      <c r="E52" s="231"/>
      <c r="F52" s="231"/>
      <c r="G52" s="231"/>
      <c r="H52" s="231"/>
      <c r="I52" s="231"/>
    </row>
    <row r="53" spans="1:9" s="229" customFormat="1">
      <c r="A53" s="231"/>
      <c r="B53" s="230"/>
      <c r="C53" s="230"/>
      <c r="D53" s="230"/>
      <c r="E53" s="231"/>
      <c r="F53" s="231"/>
      <c r="G53" s="231"/>
      <c r="H53" s="231"/>
      <c r="I53" s="231"/>
    </row>
    <row r="54" spans="1:9" s="229" customFormat="1">
      <c r="A54" s="230"/>
      <c r="B54" s="230"/>
      <c r="C54" s="230"/>
      <c r="D54" s="230"/>
      <c r="E54" s="231"/>
      <c r="F54" s="231"/>
      <c r="G54" s="231"/>
      <c r="H54" s="231"/>
      <c r="I54" s="231"/>
    </row>
    <row r="55" spans="1:9" s="229" customFormat="1" ht="17.25" thickBot="1">
      <c r="A55" s="230"/>
      <c r="B55" s="230"/>
      <c r="C55" s="230"/>
      <c r="D55" s="230"/>
      <c r="E55" s="231"/>
      <c r="F55" s="231"/>
      <c r="G55" s="231"/>
      <c r="H55" s="231"/>
      <c r="I55" s="231"/>
    </row>
    <row r="56" spans="1:9" s="229" customFormat="1" ht="36.75" customHeight="1">
      <c r="A56" s="1923" t="s">
        <v>562</v>
      </c>
      <c r="B56" s="191" t="s">
        <v>101</v>
      </c>
      <c r="C56" s="1925" t="str">
        <f ca="1">IF(OFFSET(UNJC1030_REPORT_DOKU_IF_DOKU_MEISHO,ROUNDUP(ROW()/ROWS(UNJC1030_REPORT_DOKU_IF_COPY_MOTO),0),0)="","",
OFFSET(UNJC1030_REPORT_DOKU_IF_DOKU_MEISHO,ROUNDUP(ROW()/ROWS(UNJC1030_REPORT_DOKU_IF_COPY_MOTO),0),0))</f>
        <v/>
      </c>
      <c r="D56" s="1926"/>
      <c r="E56" s="231"/>
      <c r="F56" s="231"/>
      <c r="G56" s="231"/>
      <c r="H56" s="231"/>
      <c r="I56" s="231"/>
    </row>
    <row r="57" spans="1:9" s="229" customFormat="1" ht="36.75" customHeight="1">
      <c r="A57" s="1924"/>
      <c r="B57" s="250" t="s">
        <v>551</v>
      </c>
      <c r="C57" s="1927" t="str">
        <f ca="1">OFFSET(UNJC1030_REPORT_DOKU_IF_IRISU,ROUNDUP(ROW()/ROWS(UNJC1030_REPORT_DOKU_IF_COPY_MOTO),0),0)&amp;
OFFSET(UNJC1030_REPORT_DOKU_IF_IRISU_TANI,ROUNDUP(ROW()/ROWS(UNJC1030_REPORT_DOKU_IF_COPY_MOTO),0),0)&amp;" × "&amp;
OFFSET(UNJC1030_REPORT_DOKU_IF_JUCHU_SURYO,ROUNDUP(ROW()/ROWS(UNJC1030_REPORT_DOKU_IF_COPY_MOTO),0),0)&amp;
OFFSET(UNJC1030_REPORT_DOKU_IF_JUCHU_SURYO_TANI,ROUNDUP(ROW()/ROWS(UNJC1030_REPORT_DOKU_IF_COPY_MOTO),0),0)&amp;
IF(OFFSET(UNJC1030_REPORT_DOKU_IF_DOKU_SURYO,ROUNDUP(ROW()/ROWS(UNJC1030_REPORT_DOKU_IF_COPY_MOTO),0),0)="","",
" × "&amp;OFFSET(UNJC1030_REPORT_DOKU_IF_DOKU_SURYO,ROUNDUP(ROW()/ROWS(UNJC1030_REPORT_DOKU_IF_COPY_MOTO),0),0))</f>
        <v xml:space="preserve"> × </v>
      </c>
      <c r="D57" s="1928"/>
      <c r="E57" s="231"/>
      <c r="F57" s="231"/>
      <c r="G57" s="231"/>
      <c r="H57" s="231"/>
      <c r="I57" s="231"/>
    </row>
    <row r="58" spans="1:9" s="229" customFormat="1" ht="36.75" customHeight="1">
      <c r="A58" s="194" t="s">
        <v>563</v>
      </c>
      <c r="B58" s="1929" t="str">
        <f ca="1">IF(OFFSET(UNJC1030_REPORT_DOKU_IF_NOHIN_DATE,ROUNDUP(ROW()/ROWS(UNJC1030_REPORT_DOKU_IF_COPY_MOTO),0),0)="","",
OFFSET(UNJC1030_REPORT_DOKU_IF_NOHIN_DATE,ROUNDUP(ROW()/ROWS(UNJC1030_REPORT_DOKU_IF_COPY_MOTO),0),0))</f>
        <v/>
      </c>
      <c r="C58" s="1930"/>
      <c r="D58" s="1931"/>
      <c r="E58" s="231"/>
      <c r="F58" s="231"/>
      <c r="G58" s="231"/>
      <c r="H58" s="231"/>
      <c r="I58" s="231"/>
    </row>
    <row r="59" spans="1:9" s="229" customFormat="1" ht="36.75" customHeight="1">
      <c r="A59" s="197" t="s">
        <v>564</v>
      </c>
      <c r="B59" s="250" t="s">
        <v>565</v>
      </c>
      <c r="C59" s="256" t="str">
        <f ca="1">IF(OFFSET(UNJC1030_REPORT_DOKU_IF_TANTO_MEI,ROUNDUP(ROW()/ROWS(UNJC1030_REPORT_DOKU_IF_COPY_MOTO),0),0)="","",
OFFSET(UNJC1030_REPORT_DOKU_IF_TANTO_MEI,ROUNDUP(ROW()/ROWS(UNJC1030_REPORT_DOKU_IF_COPY_MOTO),0),0))</f>
        <v/>
      </c>
      <c r="D59" s="198" t="s">
        <v>566</v>
      </c>
      <c r="E59" s="231"/>
      <c r="F59" s="231"/>
      <c r="G59" s="231"/>
      <c r="H59" s="231"/>
      <c r="I59" s="231"/>
    </row>
    <row r="60" spans="1:9" s="229" customFormat="1" ht="36.75" customHeight="1">
      <c r="A60" s="1939" t="s">
        <v>567</v>
      </c>
      <c r="B60" s="250" t="s">
        <v>568</v>
      </c>
      <c r="C60" s="1934" t="str">
        <f ca="1">IF(OFFSET(UNJC1030_REPORT_DOKU_IF_SEIKYUSAKI_MEI,ROUNDUP(ROW()/ROWS(UNJC1030_REPORT_DOKU_IF_COPY_MOTO),0),0)="","",
OFFSET(UNJC1030_REPORT_DOKU_IF_SEIKYUSAKI_MEI,ROUNDUP(ROW()/ROWS(UNJC1030_REPORT_DOKU_IF_COPY_MOTO),0),0))</f>
        <v/>
      </c>
      <c r="D60" s="1935"/>
      <c r="E60" s="231"/>
      <c r="F60" s="231"/>
      <c r="G60" s="231"/>
      <c r="H60" s="231"/>
      <c r="I60" s="231"/>
    </row>
    <row r="61" spans="1:9" s="229" customFormat="1" ht="36.75" customHeight="1">
      <c r="A61" s="1940"/>
      <c r="B61" s="250" t="s">
        <v>33</v>
      </c>
      <c r="C61" s="1934" t="str">
        <f ca="1">IF(OFFSET(UNJC1030_REPORT_DOKU_IF_SEIKYUSAKI_JUSHO,ROUNDUP(ROW()/ROWS(UNJC1030_REPORT_DOKU_IF_COPY_MOTO),0),0)="","",
OFFSET(UNJC1030_REPORT_DOKU_IF_SEIKYUSAKI_JUSHO,ROUNDUP(ROW()/ROWS(UNJC1030_REPORT_DOKU_IF_COPY_MOTO),0),0))</f>
        <v/>
      </c>
      <c r="D61" s="1935"/>
      <c r="E61" s="231"/>
      <c r="F61" s="231"/>
      <c r="G61" s="231"/>
      <c r="H61" s="231"/>
      <c r="I61" s="231"/>
    </row>
    <row r="62" spans="1:9" s="229" customFormat="1" ht="36.75" customHeight="1" thickBot="1">
      <c r="A62" s="195" t="s">
        <v>1</v>
      </c>
      <c r="B62" s="1936" t="str">
        <f ca="1">IF(OFFSET(UNJC1030_REPORT_DOKU_IF_BIKO,ROUNDUP(ROW()/ROWS(UNJC1030_REPORT_DOKU_IF_COPY_MOTO),0),0)="","",
OFFSET(UNJC1030_REPORT_DOKU_IF_BIKO,ROUNDUP(ROW()/ROWS(UNJC1030_REPORT_DOKU_IF_COPY_MOTO),0),0))</f>
        <v/>
      </c>
      <c r="C62" s="1937"/>
      <c r="D62" s="1938"/>
      <c r="E62" s="231"/>
      <c r="F62" s="231"/>
      <c r="G62" s="231"/>
      <c r="H62" s="231"/>
      <c r="I62" s="231"/>
    </row>
  </sheetData>
  <mergeCells count="34">
    <mergeCell ref="B58:D58"/>
    <mergeCell ref="A60:A61"/>
    <mergeCell ref="C60:D60"/>
    <mergeCell ref="C61:D61"/>
    <mergeCell ref="B62:D62"/>
    <mergeCell ref="A43:A44"/>
    <mergeCell ref="C43:D43"/>
    <mergeCell ref="C44:D44"/>
    <mergeCell ref="B45:D45"/>
    <mergeCell ref="A56:A57"/>
    <mergeCell ref="C56:D56"/>
    <mergeCell ref="C57:D57"/>
    <mergeCell ref="A32:D32"/>
    <mergeCell ref="A39:A40"/>
    <mergeCell ref="C39:D39"/>
    <mergeCell ref="C40:D40"/>
    <mergeCell ref="B41:D41"/>
    <mergeCell ref="C9:D9"/>
    <mergeCell ref="B10:D10"/>
    <mergeCell ref="A1:D1"/>
    <mergeCell ref="A29:A30"/>
    <mergeCell ref="C29:D29"/>
    <mergeCell ref="C30:D30"/>
    <mergeCell ref="A12:A13"/>
    <mergeCell ref="C12:D12"/>
    <mergeCell ref="C13:D13"/>
    <mergeCell ref="B14:D14"/>
    <mergeCell ref="A8:A9"/>
    <mergeCell ref="C8:D8"/>
    <mergeCell ref="B31:D31"/>
    <mergeCell ref="A25:A26"/>
    <mergeCell ref="C25:D25"/>
    <mergeCell ref="C26:D26"/>
    <mergeCell ref="B27:D27"/>
  </mergeCells>
  <phoneticPr fontId="2"/>
  <pageMargins left="0.6692913385826772" right="0.19685039370078741" top="0.39370078740157483" bottom="0.39370078740157483" header="0.19685039370078741" footer="0.19685039370078741"/>
  <pageSetup paperSize="9" fitToHeight="0" orientation="portrait" verticalDpi="4294967293" r:id="rId1"/>
  <headerFooter>
    <oddHeader>&amp;R&amp;P/&amp;N</oddHeader>
  </headerFooter>
  <rowBreaks count="1" manualBreakCount="1">
    <brk id="31" max="3" man="1"/>
  </rowBreaks>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AA42"/>
  <sheetViews>
    <sheetView zoomScaleNormal="100" workbookViewId="0">
      <selection activeCell="A39" sqref="A39:A40"/>
    </sheetView>
  </sheetViews>
  <sheetFormatPr defaultRowHeight="13.5"/>
  <cols>
    <col min="1" max="1" width="17.75" customWidth="1"/>
    <col min="2" max="2" width="7.75" customWidth="1"/>
    <col min="3" max="3" width="62.625" style="229" customWidth="1"/>
    <col min="4" max="12" width="7.75" style="229" customWidth="1"/>
    <col min="13" max="14" width="9" style="229"/>
    <col min="23" max="23" width="9.25" bestFit="1" customWidth="1"/>
  </cols>
  <sheetData>
    <row r="2" spans="1:27">
      <c r="A2" s="229" t="s">
        <v>645</v>
      </c>
      <c r="B2" s="233" t="s">
        <v>657</v>
      </c>
      <c r="C2" s="236"/>
    </row>
    <row r="3" spans="1:27">
      <c r="A3" s="229"/>
      <c r="B3" s="233"/>
    </row>
    <row r="4" spans="1:27">
      <c r="A4" s="229"/>
      <c r="B4" s="229"/>
      <c r="O4" s="255" t="s">
        <v>28</v>
      </c>
      <c r="P4" s="255" t="s">
        <v>445</v>
      </c>
      <c r="Q4" s="255" t="s">
        <v>613</v>
      </c>
      <c r="R4" s="255" t="s">
        <v>614</v>
      </c>
      <c r="S4" s="255" t="s">
        <v>617</v>
      </c>
      <c r="T4" s="255" t="s">
        <v>80</v>
      </c>
      <c r="U4" s="255" t="s">
        <v>90</v>
      </c>
      <c r="V4" s="255" t="s">
        <v>616</v>
      </c>
      <c r="W4" s="255" t="s">
        <v>618</v>
      </c>
      <c r="X4" s="255" t="s">
        <v>619</v>
      </c>
      <c r="Y4" s="255" t="s">
        <v>620</v>
      </c>
      <c r="Z4" s="255" t="s">
        <v>621</v>
      </c>
      <c r="AA4" s="255" t="s">
        <v>622</v>
      </c>
    </row>
    <row r="5" spans="1:27">
      <c r="A5" s="229" t="s">
        <v>650</v>
      </c>
      <c r="B5" s="233" t="s">
        <v>658</v>
      </c>
      <c r="C5" s="236" t="str">
        <f>"UNJC1030_REPORT_DOKU_IF!"&amp;ROW(UNJC1030_REPORT_DOKU_IF_COPY_MOTO)&amp;":"&amp;ROW(UNJC1030_REPORT_DOKU_IF_COPY_MOTO)+ROWS(UNJC1030_REPORT_DOKU_IF_COPY_MOTO)-1</f>
        <v>UNJC1030_REPORT_DOKU_IF!11:41</v>
      </c>
      <c r="M5" s="229" t="s">
        <v>125</v>
      </c>
      <c r="N5" s="229" t="s">
        <v>655</v>
      </c>
      <c r="O5" s="236"/>
      <c r="W5" s="257"/>
    </row>
    <row r="6" spans="1:27">
      <c r="A6" s="229" t="s">
        <v>652</v>
      </c>
      <c r="B6" s="233" t="s">
        <v>659</v>
      </c>
      <c r="C6" s="236" t="e">
        <f>"UNJC1030_REPORT_DOKU!"&amp;ADDRESS(ROW(UNJC1030_REPORT_DOKU_START),COLUMN(UNJC1030_REPORT_DOKU_START))&amp;":"&amp;
ADDRESS(ROWS(UNJC1030_REPORT_DOKU_IF_COPY_MOTO)*UNJC1030_REPORT_DOKU_IF_KENSU,COLUMN(UNJC1030_REPORT_DOKU_START)+COLUMNS(UNJC1030_REPORT_DOKU_IF_COPY_MOTO)-1)</f>
        <v>#VALUE!</v>
      </c>
    </row>
    <row r="7" spans="1:27">
      <c r="A7" s="229" t="s">
        <v>653</v>
      </c>
      <c r="B7" s="233" t="s">
        <v>660</v>
      </c>
      <c r="C7" s="236">
        <f>IF(UNJC1030_REPORT_DOKU_IF_KENSU&gt;=1,1,2)</f>
        <v>2</v>
      </c>
      <c r="D7" s="229" t="s">
        <v>2754</v>
      </c>
    </row>
    <row r="8" spans="1:27" s="229" customFormat="1"/>
    <row r="9" spans="1:27" ht="16.5">
      <c r="A9" s="229" t="s">
        <v>632</v>
      </c>
      <c r="B9" s="229"/>
      <c r="H9" s="233"/>
      <c r="I9" s="231"/>
    </row>
    <row r="10" spans="1:27">
      <c r="A10" s="229" t="s">
        <v>640</v>
      </c>
      <c r="B10" s="233" t="s">
        <v>656</v>
      </c>
      <c r="C10" s="268" t="s">
        <v>668</v>
      </c>
    </row>
    <row r="11" spans="1:27" s="229" customFormat="1" ht="33">
      <c r="A11" s="1907" t="s">
        <v>561</v>
      </c>
      <c r="B11" s="1907"/>
      <c r="C11" s="1907"/>
      <c r="D11" s="1907"/>
      <c r="E11" s="231"/>
      <c r="F11" s="231"/>
      <c r="G11" s="231"/>
      <c r="H11" s="231"/>
      <c r="I11" s="231"/>
      <c r="J11" s="231"/>
      <c r="K11" s="231"/>
      <c r="L11" s="231"/>
      <c r="M11" s="231"/>
      <c r="N11" s="231"/>
    </row>
    <row r="12" spans="1:27" s="229" customFormat="1" ht="33">
      <c r="A12" s="230"/>
      <c r="B12" s="247"/>
      <c r="C12" s="230"/>
      <c r="D12" s="248"/>
      <c r="E12" s="231"/>
      <c r="F12" s="231"/>
      <c r="G12" s="231"/>
      <c r="H12" s="231"/>
      <c r="I12" s="231"/>
      <c r="J12" s="231"/>
      <c r="K12" s="231"/>
      <c r="L12" s="231"/>
      <c r="M12" s="231"/>
      <c r="N12" s="231"/>
    </row>
    <row r="13" spans="1:27" s="229" customFormat="1" ht="19.5">
      <c r="A13" s="231"/>
      <c r="B13" s="249"/>
      <c r="C13" s="249"/>
      <c r="D13" s="230"/>
      <c r="E13" s="231"/>
      <c r="F13" s="231"/>
      <c r="G13" s="231"/>
      <c r="H13" s="231"/>
      <c r="I13" s="231"/>
      <c r="J13" s="231"/>
      <c r="K13" s="231"/>
      <c r="L13" s="231"/>
      <c r="M13" s="231"/>
      <c r="N13" s="231"/>
    </row>
    <row r="14" spans="1:27" s="229" customFormat="1" ht="16.5">
      <c r="A14" s="230"/>
      <c r="B14" s="230"/>
      <c r="C14" s="230"/>
      <c r="D14" s="230"/>
      <c r="E14" s="231"/>
      <c r="F14" s="231"/>
      <c r="G14" s="231"/>
      <c r="H14" s="231"/>
      <c r="I14" s="231"/>
      <c r="J14" s="231"/>
      <c r="K14" s="231"/>
      <c r="L14" s="231"/>
      <c r="M14" s="231"/>
      <c r="N14" s="231"/>
    </row>
    <row r="15" spans="1:27" s="229" customFormat="1" ht="16.5">
      <c r="A15" s="231"/>
      <c r="B15" s="230"/>
      <c r="C15" s="230"/>
      <c r="D15" s="230"/>
      <c r="E15" s="231"/>
      <c r="F15" s="231"/>
      <c r="G15" s="231"/>
      <c r="H15" s="231"/>
      <c r="I15" s="231"/>
      <c r="J15" s="231"/>
      <c r="K15" s="231"/>
      <c r="L15" s="231"/>
      <c r="M15" s="231"/>
      <c r="N15" s="231"/>
    </row>
    <row r="16" spans="1:27" s="229" customFormat="1" ht="16.5">
      <c r="A16" s="230"/>
      <c r="B16" s="230"/>
      <c r="C16" s="230"/>
      <c r="D16" s="230"/>
      <c r="E16" s="231"/>
      <c r="F16" s="231"/>
      <c r="G16" s="231"/>
      <c r="H16" s="231"/>
      <c r="I16" s="231"/>
      <c r="J16" s="231"/>
      <c r="K16" s="231"/>
      <c r="L16" s="231"/>
      <c r="M16" s="231"/>
      <c r="N16" s="231"/>
    </row>
    <row r="17" spans="1:14" s="229" customFormat="1" ht="17.25" thickBot="1">
      <c r="A17" s="230"/>
      <c r="B17" s="230"/>
      <c r="C17" s="230"/>
      <c r="D17" s="230"/>
      <c r="E17" s="231"/>
      <c r="F17" s="231"/>
      <c r="G17" s="231"/>
      <c r="H17" s="231"/>
      <c r="I17" s="231"/>
      <c r="J17" s="231"/>
      <c r="K17" s="231"/>
      <c r="L17" s="231"/>
      <c r="M17" s="231"/>
      <c r="N17" s="231"/>
    </row>
    <row r="18" spans="1:14" s="229" customFormat="1" ht="36.75" customHeight="1">
      <c r="A18" s="1919" t="s">
        <v>562</v>
      </c>
      <c r="B18" s="1022" t="s">
        <v>101</v>
      </c>
      <c r="C18" s="1921" t="str">
        <f ca="1">IF(OFFSET(UNJC1030_REPORT_DOKU_IF_DOKU_MEISHO,ROUNDUP(ROW()/ROWS(UNJC1030_REPORT_DOKU_IF_COPY_MOTO),0),0)="","",
OFFSET(UNJC1030_REPORT_DOKU_IF_DOKU_MEISHO,ROUNDUP(ROW()/ROWS(UNJC1030_REPORT_DOKU_IF_COPY_MOTO),0),0))</f>
        <v/>
      </c>
      <c r="D18" s="1922"/>
      <c r="E18" s="231"/>
      <c r="F18" s="231"/>
      <c r="G18" s="231"/>
      <c r="H18" s="231"/>
      <c r="I18" s="231"/>
      <c r="J18" s="231"/>
      <c r="K18" s="231"/>
      <c r="L18" s="231"/>
      <c r="M18" s="231"/>
      <c r="N18" s="231"/>
    </row>
    <row r="19" spans="1:14" s="229" customFormat="1" ht="36.75" customHeight="1">
      <c r="A19" s="1920"/>
      <c r="B19" s="1023" t="s">
        <v>551</v>
      </c>
      <c r="C19" s="1902" t="str">
        <f ca="1">IF(OFFSET(UNJC1030_REPORT_DOKU_IF_DOKU_SURYO,ROUNDUP(ROW()/ROWS(UNJC1030_REPORT_DOKU_IF_COPY_MOTO),0),0)="",
"",
OFFSET(UNJC1030_REPORT_DOKU_IF_DOKU_SURYO,ROUNDUP(ROW()/ROWS(UNJC1030_REPORT_DOKU_IF_COPY_MOTO),0),0)&amp;" × ")&amp;
OFFSET(UNJC1030_REPORT_DOKU_IF_JUCHU_SURYO,ROUNDUP(ROW()/ROWS(UNJC1030_REPORT_DOKU_IF_COPY_MOTO),0),0)&amp;
OFFSET(UNJC1030_REPORT_DOKU_IF_JUCHU_SURYO_TANI,ROUNDUP(ROW()/ROWS(UNJC1030_REPORT_DOKU_IF_COPY_MOTO),0),0)</f>
        <v/>
      </c>
      <c r="D19" s="1903"/>
      <c r="E19" s="231"/>
      <c r="F19" s="231"/>
      <c r="G19" s="231"/>
      <c r="H19" s="231"/>
      <c r="I19" s="231"/>
      <c r="J19" s="231"/>
      <c r="K19" s="231"/>
      <c r="L19" s="231"/>
      <c r="M19" s="231"/>
      <c r="N19" s="231"/>
    </row>
    <row r="20" spans="1:14" s="229" customFormat="1" ht="36.75" customHeight="1">
      <c r="A20" s="1024" t="s">
        <v>563</v>
      </c>
      <c r="B20" s="1904" t="str">
        <f ca="1">IF(OFFSET(UNJC1030_REPORT_DOKU_IF_NOHIN_DATE,ROUNDUP(ROW()/ROWS(UNJC1030_REPORT_DOKU_IF_COPY_MOTO),0),0)="","",
OFFSET(UNJC1030_REPORT_DOKU_IF_NOHIN_DATE,ROUNDUP(ROW()/ROWS(UNJC1030_REPORT_DOKU_IF_COPY_MOTO),0),0))</f>
        <v/>
      </c>
      <c r="C20" s="1905"/>
      <c r="D20" s="1906"/>
      <c r="E20" s="231"/>
      <c r="F20" s="231"/>
      <c r="G20" s="231"/>
      <c r="H20" s="231"/>
      <c r="I20" s="231"/>
      <c r="J20" s="231"/>
      <c r="K20" s="231"/>
      <c r="L20" s="231"/>
      <c r="M20" s="231"/>
      <c r="N20" s="231"/>
    </row>
    <row r="21" spans="1:14" s="229" customFormat="1" ht="36.75" customHeight="1">
      <c r="A21" s="1025" t="s">
        <v>564</v>
      </c>
      <c r="B21" s="1023" t="s">
        <v>565</v>
      </c>
      <c r="C21" s="1026"/>
      <c r="D21" s="1027" t="s">
        <v>566</v>
      </c>
      <c r="E21" s="231"/>
      <c r="F21" s="231"/>
      <c r="G21" s="231"/>
      <c r="H21" s="231"/>
      <c r="I21" s="231"/>
      <c r="J21" s="231"/>
      <c r="K21" s="231"/>
      <c r="L21" s="231"/>
      <c r="M21" s="231"/>
      <c r="N21" s="231"/>
    </row>
    <row r="22" spans="1:14" s="229" customFormat="1" ht="36.75" customHeight="1">
      <c r="A22" s="1912" t="s">
        <v>567</v>
      </c>
      <c r="B22" s="1023" t="s">
        <v>568</v>
      </c>
      <c r="C22" s="1914"/>
      <c r="D22" s="1915"/>
      <c r="E22" s="231"/>
      <c r="F22" s="231"/>
      <c r="G22" s="231"/>
      <c r="H22" s="231"/>
      <c r="I22" s="231"/>
      <c r="J22" s="231"/>
      <c r="K22" s="231"/>
      <c r="L22" s="231"/>
      <c r="M22" s="231"/>
      <c r="N22" s="231"/>
    </row>
    <row r="23" spans="1:14" s="229" customFormat="1" ht="36.75" customHeight="1">
      <c r="A23" s="1913"/>
      <c r="B23" s="1023" t="s">
        <v>33</v>
      </c>
      <c r="C23" s="1914"/>
      <c r="D23" s="1915"/>
      <c r="E23" s="231"/>
      <c r="F23" s="231"/>
      <c r="G23" s="231"/>
      <c r="H23" s="231"/>
      <c r="I23" s="231"/>
      <c r="J23" s="231"/>
      <c r="K23" s="231"/>
      <c r="L23" s="231"/>
      <c r="M23" s="231"/>
      <c r="N23" s="231"/>
    </row>
    <row r="24" spans="1:14" s="229" customFormat="1" ht="36.75" customHeight="1" thickBot="1">
      <c r="A24" s="1028" t="s">
        <v>1</v>
      </c>
      <c r="B24" s="1916" t="str">
        <f ca="1">IF(OFFSET(UNJC1030_REPORT_DOKU_IF_BIKO,ROUNDUP(ROW()/ROWS(UNJC1030_REPORT_DOKU_IF_COPY_MOTO),0),0)="","",
OFFSET(UNJC1030_REPORT_DOKU_IF_BIKO,ROUNDUP(ROW()/ROWS(UNJC1030_REPORT_DOKU_IF_COPY_MOTO),0),0))</f>
        <v/>
      </c>
      <c r="C24" s="1917"/>
      <c r="D24" s="1918"/>
      <c r="E24" s="231"/>
      <c r="F24" s="231"/>
      <c r="G24" s="231"/>
      <c r="H24" s="231"/>
      <c r="I24" s="231"/>
      <c r="J24" s="231"/>
      <c r="K24" s="231"/>
      <c r="L24" s="231"/>
      <c r="M24" s="231"/>
      <c r="N24" s="231"/>
    </row>
    <row r="25" spans="1:14" s="229" customFormat="1" ht="16.5">
      <c r="A25" s="1029"/>
      <c r="B25" s="1030" t="s">
        <v>569</v>
      </c>
      <c r="C25" s="1029"/>
      <c r="D25" s="1029"/>
      <c r="E25" s="231"/>
      <c r="F25" s="231"/>
      <c r="G25" s="231"/>
      <c r="H25" s="231"/>
      <c r="I25" s="231"/>
      <c r="J25" s="231"/>
      <c r="K25" s="231"/>
      <c r="L25" s="231"/>
      <c r="M25" s="231"/>
      <c r="N25" s="231"/>
    </row>
    <row r="26" spans="1:14" s="229" customFormat="1" ht="16.5">
      <c r="A26" s="230"/>
      <c r="B26" s="230"/>
      <c r="C26" s="230"/>
      <c r="D26" s="230"/>
      <c r="E26" s="231"/>
      <c r="F26" s="231"/>
      <c r="G26" s="231"/>
      <c r="H26" s="231"/>
      <c r="I26" s="231"/>
      <c r="J26" s="231"/>
      <c r="K26" s="231"/>
      <c r="L26" s="231"/>
      <c r="M26" s="231"/>
      <c r="N26" s="231"/>
    </row>
    <row r="27" spans="1:14" s="229" customFormat="1" ht="16.5">
      <c r="A27" s="230"/>
      <c r="B27" s="230"/>
      <c r="C27" s="230"/>
      <c r="D27" s="230"/>
      <c r="E27" s="231"/>
      <c r="F27" s="231"/>
      <c r="G27" s="231"/>
      <c r="H27" s="231"/>
      <c r="I27" s="231"/>
      <c r="J27" s="231"/>
      <c r="K27" s="231"/>
      <c r="L27" s="231"/>
      <c r="M27" s="231"/>
      <c r="N27" s="231"/>
    </row>
    <row r="28" spans="1:14" s="229" customFormat="1" ht="33">
      <c r="A28" s="244" t="s">
        <v>561</v>
      </c>
      <c r="B28" s="246"/>
      <c r="C28" s="244"/>
      <c r="D28" s="245"/>
      <c r="E28" s="231"/>
      <c r="F28" s="231"/>
      <c r="G28" s="231"/>
      <c r="H28" s="231"/>
      <c r="I28" s="231"/>
      <c r="J28" s="231"/>
      <c r="K28" s="231"/>
      <c r="L28" s="231"/>
      <c r="M28" s="231"/>
      <c r="N28" s="231"/>
    </row>
    <row r="29" spans="1:14" s="229" customFormat="1" ht="15" customHeight="1">
      <c r="A29" s="230"/>
      <c r="B29" s="247"/>
      <c r="C29" s="230"/>
      <c r="D29" s="248"/>
      <c r="E29" s="231"/>
      <c r="F29" s="231"/>
      <c r="G29" s="231"/>
      <c r="H29" s="231"/>
      <c r="I29" s="231"/>
      <c r="J29" s="231"/>
      <c r="K29" s="231"/>
      <c r="L29" s="231"/>
      <c r="M29" s="231"/>
      <c r="N29" s="231"/>
    </row>
    <row r="30" spans="1:14" s="229" customFormat="1" ht="19.5">
      <c r="A30" s="231"/>
      <c r="B30" s="249"/>
      <c r="C30" s="249"/>
      <c r="D30" s="230"/>
      <c r="E30" s="231"/>
      <c r="F30" s="231"/>
      <c r="G30" s="231"/>
      <c r="H30" s="231"/>
      <c r="I30" s="231"/>
      <c r="J30" s="231"/>
      <c r="K30" s="231"/>
      <c r="L30" s="231"/>
      <c r="M30" s="231"/>
      <c r="N30" s="231"/>
    </row>
    <row r="31" spans="1:14" s="229" customFormat="1" ht="33">
      <c r="A31" s="196" t="s">
        <v>570</v>
      </c>
      <c r="B31" s="230"/>
      <c r="C31" s="230"/>
      <c r="D31" s="230"/>
      <c r="E31" s="231"/>
      <c r="F31" s="231"/>
      <c r="G31" s="231"/>
      <c r="H31" s="231"/>
      <c r="I31" s="231"/>
      <c r="J31" s="231"/>
      <c r="K31" s="231"/>
      <c r="L31" s="231"/>
      <c r="M31" s="231"/>
      <c r="N31" s="231"/>
    </row>
    <row r="32" spans="1:14" s="229" customFormat="1" ht="16.5">
      <c r="A32" s="231"/>
      <c r="B32" s="230"/>
      <c r="C32" s="230"/>
      <c r="D32" s="230"/>
      <c r="E32" s="231"/>
      <c r="F32" s="231"/>
      <c r="G32" s="231"/>
      <c r="H32" s="231"/>
      <c r="I32" s="231"/>
      <c r="J32" s="231"/>
      <c r="K32" s="231"/>
      <c r="L32" s="231"/>
      <c r="M32" s="231"/>
      <c r="N32" s="231"/>
    </row>
    <row r="33" spans="1:14" s="229" customFormat="1" ht="16.5">
      <c r="A33" s="230"/>
      <c r="B33" s="230"/>
      <c r="C33" s="230"/>
      <c r="D33" s="230"/>
      <c r="E33" s="231"/>
      <c r="F33" s="231"/>
      <c r="G33" s="231"/>
      <c r="H33" s="231"/>
      <c r="I33" s="231"/>
      <c r="J33" s="231"/>
      <c r="K33" s="231"/>
      <c r="L33" s="231"/>
      <c r="M33" s="231"/>
      <c r="N33" s="231"/>
    </row>
    <row r="34" spans="1:14" s="229" customFormat="1" ht="17.25" thickBot="1">
      <c r="A34" s="230"/>
      <c r="B34" s="230"/>
      <c r="C34" s="230"/>
      <c r="D34" s="230"/>
      <c r="E34" s="231"/>
      <c r="F34" s="231"/>
      <c r="G34" s="231"/>
      <c r="H34" s="231"/>
      <c r="I34" s="231"/>
      <c r="J34" s="231"/>
      <c r="K34" s="231"/>
      <c r="L34" s="231"/>
      <c r="M34" s="231"/>
      <c r="N34" s="231"/>
    </row>
    <row r="35" spans="1:14" s="229" customFormat="1" ht="36.75" customHeight="1">
      <c r="A35" s="1948" t="s">
        <v>562</v>
      </c>
      <c r="B35" s="1031" t="s">
        <v>101</v>
      </c>
      <c r="C35" s="1950" t="str">
        <f ca="1">IF(OFFSET(UNJC1030_REPORT_DOKU_IF_DOKU_MEISHO,ROUNDUP(ROW()/ROWS(UNJC1030_REPORT_DOKU_IF_COPY_MOTO),0),0)="","",
OFFSET(UNJC1030_REPORT_DOKU_IF_DOKU_MEISHO,ROUNDUP(ROW()/ROWS(UNJC1030_REPORT_DOKU_IF_COPY_MOTO),0),0))</f>
        <v/>
      </c>
      <c r="D35" s="1951"/>
      <c r="E35" s="231"/>
      <c r="F35" s="231"/>
      <c r="G35" s="231"/>
      <c r="H35" s="231"/>
      <c r="I35" s="231"/>
      <c r="J35" s="231"/>
      <c r="K35" s="231"/>
      <c r="L35" s="231"/>
      <c r="M35" s="231"/>
      <c r="N35" s="231"/>
    </row>
    <row r="36" spans="1:14" s="229" customFormat="1" ht="36.75" customHeight="1">
      <c r="A36" s="1949"/>
      <c r="B36" s="1032" t="s">
        <v>551</v>
      </c>
      <c r="C36" s="1952" t="str">
        <f ca="1">IF(OFFSET(UNJC1030_REPORT_DOKU_IF_DOKU_SURYO,ROUNDUP(ROW()/ROWS(UNJC1030_REPORT_DOKU_IF_COPY_MOTO),0),0)="",
"",
OFFSET(UNJC1030_REPORT_DOKU_IF_DOKU_SURYO,ROUNDUP(ROW()/ROWS(UNJC1030_REPORT_DOKU_IF_COPY_MOTO),0),0)&amp;" × ")&amp;
OFFSET(UNJC1030_REPORT_DOKU_IF_JUCHU_SURYO,ROUNDUP(ROW()/ROWS(UNJC1030_REPORT_DOKU_IF_COPY_MOTO),0),0)&amp;
OFFSET(UNJC1030_REPORT_DOKU_IF_JUCHU_SURYO_TANI,ROUNDUP(ROW()/ROWS(UNJC1030_REPORT_DOKU_IF_COPY_MOTO),0),0)</f>
        <v/>
      </c>
      <c r="D36" s="1953"/>
      <c r="E36" s="231"/>
      <c r="F36" s="231"/>
      <c r="G36" s="231"/>
      <c r="H36" s="231"/>
      <c r="I36" s="231"/>
      <c r="J36" s="231"/>
      <c r="K36" s="231"/>
      <c r="L36" s="231"/>
      <c r="M36" s="231"/>
      <c r="N36" s="231"/>
    </row>
    <row r="37" spans="1:14" s="229" customFormat="1" ht="36.75" customHeight="1">
      <c r="A37" s="1033" t="s">
        <v>563</v>
      </c>
      <c r="B37" s="1954" t="str">
        <f ca="1">IF(OFFSET(UNJC1030_REPORT_DOKU_IF_NOHIN_DATE,ROUNDUP(ROW()/ROWS(UNJC1030_REPORT_DOKU_IF_COPY_MOTO),0),0)="","",
OFFSET(UNJC1030_REPORT_DOKU_IF_NOHIN_DATE,ROUNDUP(ROW()/ROWS(UNJC1030_REPORT_DOKU_IF_COPY_MOTO),0),0))</f>
        <v/>
      </c>
      <c r="C37" s="1955"/>
      <c r="D37" s="1956"/>
      <c r="E37" s="231"/>
      <c r="F37" s="231"/>
      <c r="G37" s="231"/>
      <c r="H37" s="231"/>
      <c r="I37" s="231"/>
      <c r="J37" s="231"/>
      <c r="K37" s="231"/>
      <c r="L37" s="231"/>
      <c r="M37" s="231"/>
      <c r="N37" s="231"/>
    </row>
    <row r="38" spans="1:14" s="229" customFormat="1" ht="36.75" customHeight="1">
      <c r="A38" s="1034" t="s">
        <v>564</v>
      </c>
      <c r="B38" s="1032" t="s">
        <v>565</v>
      </c>
      <c r="C38" s="1035" t="str">
        <f ca="1">IF(OFFSET(UNJC1030_REPORT_DOKU_IF_TANTO_MEI,ROUNDUP(ROW()/ROWS(UNJC1030_REPORT_DOKU_IF_COPY_MOTO),0),0)="","",
OFFSET(UNJC1030_REPORT_DOKU_IF_TANTO_MEI,ROUNDUP(ROW()/ROWS(UNJC1030_REPORT_DOKU_IF_COPY_MOTO),0),0))</f>
        <v/>
      </c>
      <c r="D38" s="1036" t="s">
        <v>566</v>
      </c>
      <c r="E38" s="231"/>
      <c r="F38" s="231"/>
      <c r="G38" s="231"/>
      <c r="H38" s="231"/>
      <c r="I38" s="231"/>
      <c r="J38" s="231"/>
      <c r="K38" s="231"/>
      <c r="L38" s="231"/>
      <c r="M38" s="231"/>
      <c r="N38" s="231"/>
    </row>
    <row r="39" spans="1:14" s="229" customFormat="1" ht="36.75" customHeight="1">
      <c r="A39" s="1941" t="s">
        <v>567</v>
      </c>
      <c r="B39" s="1032" t="s">
        <v>568</v>
      </c>
      <c r="C39" s="1943" t="str">
        <f ca="1">IF(OFFSET(UNJC1030_REPORT_DOKU_IF_SEIKYUSAKI_MEI,ROUNDUP(ROW()/ROWS(UNJC1030_REPORT_DOKU_IF_COPY_MOTO),0),0)="","",
OFFSET(UNJC1030_REPORT_DOKU_IF_SEIKYUSAKI_MEI,ROUNDUP(ROW()/ROWS(UNJC1030_REPORT_DOKU_IF_COPY_MOTO),0),0))</f>
        <v/>
      </c>
      <c r="D39" s="1944"/>
      <c r="E39" s="231"/>
      <c r="F39" s="231"/>
      <c r="G39" s="231"/>
      <c r="H39" s="231"/>
      <c r="I39" s="231"/>
      <c r="J39" s="231"/>
      <c r="K39" s="231"/>
      <c r="L39" s="231"/>
      <c r="M39" s="231"/>
      <c r="N39" s="231"/>
    </row>
    <row r="40" spans="1:14" s="229" customFormat="1" ht="36.75" customHeight="1">
      <c r="A40" s="1942"/>
      <c r="B40" s="1032" t="s">
        <v>33</v>
      </c>
      <c r="C40" s="1943" t="str">
        <f ca="1">IF(OFFSET(UNJC1030_REPORT_DOKU_IF_SEIKYUSAKI_JUSHO,ROUNDUP(ROW()/ROWS(UNJC1030_REPORT_DOKU_IF_COPY_MOTO),0),0)="","",
OFFSET(UNJC1030_REPORT_DOKU_IF_SEIKYUSAKI_JUSHO,ROUNDUP(ROW()/ROWS(UNJC1030_REPORT_DOKU_IF_COPY_MOTO),0),0))</f>
        <v/>
      </c>
      <c r="D40" s="1944"/>
      <c r="E40" s="231"/>
      <c r="F40" s="231"/>
      <c r="G40" s="231"/>
      <c r="H40" s="231"/>
      <c r="I40" s="231"/>
      <c r="J40" s="231"/>
      <c r="K40" s="231"/>
      <c r="L40" s="231"/>
      <c r="M40" s="231"/>
      <c r="N40" s="231"/>
    </row>
    <row r="41" spans="1:14" s="229" customFormat="1" ht="36.75" customHeight="1" thickBot="1">
      <c r="A41" s="1037" t="s">
        <v>1</v>
      </c>
      <c r="B41" s="1945" t="str">
        <f ca="1">IF(OFFSET(UNJC1030_REPORT_DOKU_IF_BIKO,ROUNDUP(ROW()/ROWS(UNJC1030_REPORT_DOKU_IF_COPY_MOTO),0),0)="","",
OFFSET(UNJC1030_REPORT_DOKU_IF_BIKO,ROUNDUP(ROW()/ROWS(UNJC1030_REPORT_DOKU_IF_COPY_MOTO),0),0))</f>
        <v/>
      </c>
      <c r="C41" s="1946"/>
      <c r="D41" s="1947"/>
      <c r="E41" s="231"/>
      <c r="F41" s="231"/>
      <c r="G41" s="231"/>
      <c r="H41" s="231"/>
      <c r="I41" s="231"/>
      <c r="J41" s="231"/>
      <c r="K41" s="231"/>
      <c r="L41" s="231"/>
      <c r="M41" s="231"/>
      <c r="N41" s="231"/>
    </row>
    <row r="42" spans="1:14">
      <c r="A42" s="1038"/>
      <c r="B42" s="1038"/>
      <c r="C42" s="1038"/>
      <c r="D42" s="1038"/>
    </row>
  </sheetData>
  <mergeCells count="17">
    <mergeCell ref="A39:A40"/>
    <mergeCell ref="C40:D40"/>
    <mergeCell ref="C39:D39"/>
    <mergeCell ref="B41:D41"/>
    <mergeCell ref="B24:D24"/>
    <mergeCell ref="A35:A36"/>
    <mergeCell ref="C35:D35"/>
    <mergeCell ref="C36:D36"/>
    <mergeCell ref="B37:D37"/>
    <mergeCell ref="A11:D11"/>
    <mergeCell ref="A18:A19"/>
    <mergeCell ref="C18:D18"/>
    <mergeCell ref="B20:D20"/>
    <mergeCell ref="A22:A23"/>
    <mergeCell ref="C22:D22"/>
    <mergeCell ref="C19:D19"/>
    <mergeCell ref="C23:D23"/>
  </mergeCells>
  <phoneticPr fontId="2"/>
  <pageMargins left="0.7" right="0.7" top="0.75" bottom="0.75" header="0.3" footer="0.3"/>
  <pageSetup paperSize="9" orientation="portrait" verticalDpi="0" r:id="rId1"/>
  <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rgb="FF00B0F0"/>
  </sheetPr>
  <dimension ref="A1:D47"/>
  <sheetViews>
    <sheetView topLeftCell="E1" zoomScale="85" zoomScaleNormal="85" workbookViewId="0">
      <selection activeCell="D24" sqref="D24"/>
    </sheetView>
  </sheetViews>
  <sheetFormatPr defaultRowHeight="13.5" customHeight="1"/>
  <cols>
    <col min="1" max="1" width="17.5" style="26" customWidth="1"/>
    <col min="2" max="2" width="21.625" style="26" bestFit="1" customWidth="1"/>
    <col min="3" max="3" width="45" style="26" bestFit="1" customWidth="1"/>
    <col min="4" max="4" width="108.25" style="26" customWidth="1"/>
    <col min="5" max="16384" width="9" style="26"/>
  </cols>
  <sheetData>
    <row r="1" spans="1:4" ht="13.5" customHeight="1">
      <c r="A1" s="229"/>
      <c r="B1" s="229"/>
      <c r="C1" s="229"/>
      <c r="D1" s="229"/>
    </row>
    <row r="2" spans="1:4" ht="13.5" customHeight="1">
      <c r="A2" s="229"/>
      <c r="B2" s="235" t="s">
        <v>297</v>
      </c>
      <c r="C2" s="234" t="s">
        <v>596</v>
      </c>
      <c r="D2" s="240" t="s">
        <v>585</v>
      </c>
    </row>
    <row r="3" spans="1:4" ht="13.5" customHeight="1">
      <c r="A3" s="229"/>
      <c r="B3" s="229"/>
      <c r="C3" s="229"/>
      <c r="D3" s="229"/>
    </row>
    <row r="4" spans="1:4" ht="13.5" customHeight="1">
      <c r="A4" s="229"/>
      <c r="B4" s="229"/>
      <c r="C4" s="229"/>
      <c r="D4" s="229"/>
    </row>
    <row r="5" spans="1:4" ht="13.5" customHeight="1">
      <c r="A5" s="229"/>
      <c r="B5" s="229"/>
      <c r="C5" s="229"/>
      <c r="D5" s="229"/>
    </row>
    <row r="6" spans="1:4" ht="13.5" customHeight="1">
      <c r="A6" s="237" t="s">
        <v>586</v>
      </c>
      <c r="B6" s="254"/>
      <c r="C6" s="229"/>
      <c r="D6" s="229"/>
    </row>
    <row r="7" spans="1:4" s="235" customFormat="1" ht="13.5" customHeight="1">
      <c r="A7" s="237" t="s">
        <v>610</v>
      </c>
      <c r="B7" s="254"/>
      <c r="C7" s="229"/>
      <c r="D7" s="229"/>
    </row>
    <row r="8" spans="1:4" ht="13.5" customHeight="1">
      <c r="A8" s="229"/>
      <c r="B8" s="235" t="s">
        <v>299</v>
      </c>
      <c r="C8" s="234" t="s">
        <v>597</v>
      </c>
      <c r="D8" s="240" t="s">
        <v>3548</v>
      </c>
    </row>
    <row r="9" spans="1:4" ht="13.5" customHeight="1">
      <c r="A9" s="229"/>
      <c r="B9" s="235" t="s">
        <v>298</v>
      </c>
      <c r="C9" s="234" t="s">
        <v>598</v>
      </c>
      <c r="D9" s="240" t="s">
        <v>4373</v>
      </c>
    </row>
    <row r="10" spans="1:4" ht="13.5" customHeight="1">
      <c r="A10" s="229"/>
      <c r="B10" s="229" t="s">
        <v>587</v>
      </c>
      <c r="C10" s="229" t="s">
        <v>599</v>
      </c>
      <c r="D10" s="238" t="s">
        <v>4313</v>
      </c>
    </row>
    <row r="11" spans="1:4" ht="13.5" customHeight="1">
      <c r="A11" s="229"/>
      <c r="B11" s="235" t="s">
        <v>302</v>
      </c>
      <c r="C11" s="234" t="s">
        <v>600</v>
      </c>
      <c r="D11" s="240" t="s">
        <v>3620</v>
      </c>
    </row>
    <row r="12" spans="1:4" ht="13.5" customHeight="1">
      <c r="A12" s="229"/>
      <c r="B12" s="234" t="s">
        <v>305</v>
      </c>
      <c r="C12" s="234" t="s">
        <v>601</v>
      </c>
      <c r="D12" s="240" t="s">
        <v>4314</v>
      </c>
    </row>
    <row r="13" spans="1:4" ht="13.5" customHeight="1">
      <c r="A13" s="229"/>
      <c r="B13" s="234" t="s">
        <v>306</v>
      </c>
      <c r="C13" s="234" t="s">
        <v>602</v>
      </c>
      <c r="D13" s="240" t="s">
        <v>4329</v>
      </c>
    </row>
    <row r="14" spans="1:4" ht="13.5" customHeight="1">
      <c r="A14" s="229"/>
      <c r="B14" s="234" t="s">
        <v>307</v>
      </c>
      <c r="C14" s="234" t="s">
        <v>603</v>
      </c>
      <c r="D14" s="240" t="s">
        <v>3624</v>
      </c>
    </row>
    <row r="15" spans="1:4" ht="13.5" customHeight="1">
      <c r="A15" s="229"/>
      <c r="B15" s="234" t="s">
        <v>308</v>
      </c>
      <c r="C15" s="234" t="s">
        <v>604</v>
      </c>
      <c r="D15" s="240" t="s">
        <v>3623</v>
      </c>
    </row>
    <row r="16" spans="1:4" ht="13.5" customHeight="1">
      <c r="A16" s="229"/>
      <c r="B16" s="234" t="s">
        <v>309</v>
      </c>
      <c r="C16" s="234" t="s">
        <v>605</v>
      </c>
      <c r="D16" s="240" t="s">
        <v>2752</v>
      </c>
    </row>
    <row r="17" spans="1:4" ht="13.5" customHeight="1">
      <c r="A17" s="229"/>
      <c r="B17" s="234" t="s">
        <v>310</v>
      </c>
      <c r="C17" s="234" t="s">
        <v>606</v>
      </c>
      <c r="D17" s="241" t="s">
        <v>311</v>
      </c>
    </row>
    <row r="18" spans="1:4" ht="13.5" customHeight="1">
      <c r="B18" s="234" t="s">
        <v>588</v>
      </c>
      <c r="C18" s="234" t="s">
        <v>4474</v>
      </c>
      <c r="D18" s="240" t="s">
        <v>4517</v>
      </c>
    </row>
    <row r="19" spans="1:4" ht="13.5" customHeight="1">
      <c r="B19" s="235" t="s">
        <v>303</v>
      </c>
      <c r="C19" s="242" t="s">
        <v>607</v>
      </c>
      <c r="D19" s="243" t="s">
        <v>4315</v>
      </c>
    </row>
    <row r="20" spans="1:4" ht="13.5" customHeight="1">
      <c r="B20" s="235" t="s">
        <v>304</v>
      </c>
      <c r="C20" s="242" t="s">
        <v>608</v>
      </c>
      <c r="D20" s="243" t="s">
        <v>4312</v>
      </c>
    </row>
    <row r="21" spans="1:4" ht="13.5" customHeight="1">
      <c r="B21" s="235" t="s">
        <v>589</v>
      </c>
      <c r="C21" s="242" t="s">
        <v>609</v>
      </c>
      <c r="D21" s="243" t="s">
        <v>4316</v>
      </c>
    </row>
    <row r="22" spans="1:4" ht="13.5" customHeight="1">
      <c r="B22" s="290" t="s">
        <v>738</v>
      </c>
      <c r="C22" s="289" t="s">
        <v>739</v>
      </c>
      <c r="D22" s="291" t="s">
        <v>4317</v>
      </c>
    </row>
    <row r="23" spans="1:4" ht="13.5" customHeight="1">
      <c r="B23" s="290" t="s">
        <v>743</v>
      </c>
      <c r="C23" s="289" t="s">
        <v>744</v>
      </c>
      <c r="D23" s="238" t="s">
        <v>2202</v>
      </c>
    </row>
    <row r="24" spans="1:4" s="1127" customFormat="1" ht="13.5" customHeight="1">
      <c r="B24" s="1127" t="s">
        <v>4489</v>
      </c>
      <c r="C24" s="1126" t="s">
        <v>4518</v>
      </c>
      <c r="D24" s="238" t="str">
        <f>D25&amp;D26&amp;D27</f>
        <v>SELECT M_BUN_SORT_H.BUNSEKI_HOHO_CD  AS 分析方法CD
      ,M_BUN_SORT_H.SEQ
      ,M_BUN_SORT_H.BUN_SORT_MEI     AS 並び順名称
      ,CASE
       WHEN M_BUN_SORT_H.DEFAULT_FLG = 'True'
       THEN '※'
       ELSE ''
       END                           AS デフォルト設定
  FROM M_BUN_SORT_H
 WHERE BUNSEKI_HOHO_CD ='0'
 ORDER BY SEQ  DESC</v>
      </c>
    </row>
    <row r="25" spans="1:4" ht="13.5" customHeight="1">
      <c r="A25" s="1127"/>
      <c r="B25" s="1127"/>
      <c r="C25" s="1206"/>
      <c r="D25" s="1205" t="s">
        <v>4519</v>
      </c>
    </row>
    <row r="26" spans="1:4" ht="13.5" customHeight="1">
      <c r="C26" s="1206"/>
      <c r="D26" s="1206">
        <f>UNJC0030_H_BUNSEKIHOHO</f>
        <v>0</v>
      </c>
    </row>
    <row r="27" spans="1:4" ht="13.5" customHeight="1">
      <c r="C27" s="1206"/>
      <c r="D27" s="1209" t="s">
        <v>4536</v>
      </c>
    </row>
    <row r="29" spans="1:4" ht="13.5" customHeight="1">
      <c r="A29" s="264" t="s">
        <v>4307</v>
      </c>
    </row>
    <row r="30" spans="1:4" s="1127" customFormat="1" ht="13.5" customHeight="1">
      <c r="A30" s="264"/>
      <c r="B30" s="1126" t="s">
        <v>4371</v>
      </c>
      <c r="C30" s="1126" t="s">
        <v>4372</v>
      </c>
      <c r="D30" s="1128" t="s">
        <v>4370</v>
      </c>
    </row>
    <row r="31" spans="1:4" ht="13.5" customHeight="1">
      <c r="B31" s="26" t="s">
        <v>301</v>
      </c>
      <c r="C31" s="25" t="s">
        <v>590</v>
      </c>
      <c r="D31" s="63" t="s">
        <v>3622</v>
      </c>
    </row>
    <row r="32" spans="1:4" ht="13.5" customHeight="1">
      <c r="B32" s="26" t="s">
        <v>593</v>
      </c>
      <c r="C32" s="25" t="s">
        <v>592</v>
      </c>
      <c r="D32" s="63" t="s">
        <v>4318</v>
      </c>
    </row>
    <row r="33" spans="1:4" ht="13.5" customHeight="1">
      <c r="B33" s="26" t="s">
        <v>312</v>
      </c>
      <c r="C33" s="25" t="s">
        <v>594</v>
      </c>
      <c r="D33" s="63" t="s">
        <v>4319</v>
      </c>
    </row>
    <row r="34" spans="1:4" ht="13.5" customHeight="1">
      <c r="B34" s="26" t="s">
        <v>313</v>
      </c>
      <c r="C34" s="25" t="s">
        <v>591</v>
      </c>
      <c r="D34" s="63" t="s">
        <v>3621</v>
      </c>
    </row>
    <row r="35" spans="1:4" ht="13.5" customHeight="1">
      <c r="B35" s="26" t="s">
        <v>300</v>
      </c>
      <c r="C35" s="25" t="s">
        <v>595</v>
      </c>
      <c r="D35" s="63" t="s">
        <v>4325</v>
      </c>
    </row>
    <row r="36" spans="1:4" ht="13.5" customHeight="1">
      <c r="B36" s="290" t="s">
        <v>3727</v>
      </c>
      <c r="C36" s="289" t="s">
        <v>3726</v>
      </c>
      <c r="D36" s="266" t="s">
        <v>3725</v>
      </c>
    </row>
    <row r="38" spans="1:4" ht="13.5" customHeight="1">
      <c r="A38" s="264" t="s">
        <v>4308</v>
      </c>
      <c r="B38" s="970"/>
      <c r="C38" s="970"/>
      <c r="D38" s="970"/>
    </row>
    <row r="39" spans="1:4" ht="13.5" customHeight="1">
      <c r="B39" s="290" t="s">
        <v>4297</v>
      </c>
      <c r="C39" s="289" t="s">
        <v>4298</v>
      </c>
      <c r="D39" s="266" t="s">
        <v>4409</v>
      </c>
    </row>
    <row r="40" spans="1:4" ht="13.5" customHeight="1">
      <c r="B40" s="970" t="s">
        <v>3884</v>
      </c>
      <c r="C40" s="289" t="s">
        <v>4299</v>
      </c>
      <c r="D40" s="238" t="s">
        <v>4320</v>
      </c>
    </row>
    <row r="41" spans="1:4" ht="13.5" customHeight="1">
      <c r="B41" s="289" t="s">
        <v>4300</v>
      </c>
      <c r="C41" s="289" t="s">
        <v>4301</v>
      </c>
      <c r="D41" s="266" t="s">
        <v>4302</v>
      </c>
    </row>
    <row r="42" spans="1:4" ht="13.5" customHeight="1">
      <c r="B42" s="1127" t="s">
        <v>4096</v>
      </c>
      <c r="C42" s="1126" t="s">
        <v>4097</v>
      </c>
      <c r="D42" s="1128" t="s">
        <v>4352</v>
      </c>
    </row>
    <row r="43" spans="1:4" ht="13.5" customHeight="1">
      <c r="B43" s="1127" t="s">
        <v>4309</v>
      </c>
      <c r="C43" s="1126" t="s">
        <v>4310</v>
      </c>
      <c r="D43" s="1128" t="s">
        <v>4311</v>
      </c>
    </row>
    <row r="47" spans="1:4" ht="13.5" customHeight="1">
      <c r="A47" s="1127"/>
      <c r="B47" s="1127"/>
      <c r="C47" s="1127"/>
      <c r="D47" s="1127"/>
    </row>
  </sheetData>
  <phoneticPr fontId="2"/>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3009" r:id="rId4" name="Button 1">
              <controlPr defaultSize="0" print="0" autoFill="0" autoPict="0" macro="[0]!TestLock">
                <anchor moveWithCells="1">
                  <from>
                    <xdr:col>6</xdr:col>
                    <xdr:colOff>180975</xdr:colOff>
                    <xdr:row>7</xdr:row>
                    <xdr:rowOff>171450</xdr:rowOff>
                  </from>
                  <to>
                    <xdr:col>7</xdr:col>
                    <xdr:colOff>533400</xdr:colOff>
                    <xdr:row>10</xdr:row>
                    <xdr:rowOff>152400</xdr:rowOff>
                  </to>
                </anchor>
              </controlPr>
            </control>
          </mc:Choice>
        </mc:AlternateContent>
        <mc:AlternateContent xmlns:mc="http://schemas.openxmlformats.org/markup-compatibility/2006">
          <mc:Choice Requires="x14">
            <control shapeId="1963010" r:id="rId5" name="Button 2">
              <controlPr defaultSize="0" print="0" autoFill="0" autoPict="0" macro="[0]!TestUnlock">
                <anchor moveWithCells="1">
                  <from>
                    <xdr:col>8</xdr:col>
                    <xdr:colOff>47625</xdr:colOff>
                    <xdr:row>7</xdr:row>
                    <xdr:rowOff>171450</xdr:rowOff>
                  </from>
                  <to>
                    <xdr:col>9</xdr:col>
                    <xdr:colOff>400050</xdr:colOff>
                    <xdr:row>10</xdr:row>
                    <xdr:rowOff>152400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F0"/>
  </sheetPr>
  <dimension ref="B1:F11"/>
  <sheetViews>
    <sheetView workbookViewId="0">
      <selection activeCell="E33" sqref="E33"/>
    </sheetView>
  </sheetViews>
  <sheetFormatPr defaultRowHeight="13.5"/>
  <cols>
    <col min="1" max="1" width="9" style="278"/>
    <col min="2" max="2" width="30.125" style="278" bestFit="1" customWidth="1"/>
    <col min="3" max="3" width="38.125" style="278" bestFit="1" customWidth="1"/>
    <col min="4" max="4" width="10.875" style="278" bestFit="1" customWidth="1"/>
    <col min="5" max="5" width="23.625" style="278" bestFit="1" customWidth="1"/>
    <col min="6" max="16384" width="9" style="278"/>
  </cols>
  <sheetData>
    <row r="1" spans="2:6">
      <c r="B1" s="278" t="s">
        <v>1671</v>
      </c>
    </row>
    <row r="2" spans="2:6">
      <c r="B2" s="280" t="s">
        <v>1672</v>
      </c>
      <c r="C2" s="280" t="s">
        <v>1673</v>
      </c>
      <c r="D2" s="273">
        <f>IF(ISERROR(VLOOKUP(LEFT(UNJC_COMMON_ACTIVE_SHEET_NAME,8),UNJC_COMMON_CHANGE_CHECK_AREA,3,FALSE))=FALSE,
IF(VLOOKUP(LEFT(UNJC_COMMON_ACTIVE_SHEET_NAME,8),UNJC_COMMON_CHANGE_CHECK_AREA,3,FALSE)&lt;&gt;0,1,2),2)</f>
        <v>2</v>
      </c>
      <c r="E2" s="280" t="s">
        <v>1674</v>
      </c>
    </row>
    <row r="3" spans="2:6">
      <c r="B3" s="280"/>
      <c r="C3" s="280"/>
    </row>
    <row r="4" spans="2:6">
      <c r="B4" s="280" t="s">
        <v>1675</v>
      </c>
      <c r="C4" s="280" t="s">
        <v>1676</v>
      </c>
      <c r="D4" s="273"/>
    </row>
    <row r="6" spans="2:6">
      <c r="D6" s="279" t="s">
        <v>1677</v>
      </c>
      <c r="E6" s="279" t="s">
        <v>1678</v>
      </c>
      <c r="F6" s="279" t="s">
        <v>1679</v>
      </c>
    </row>
    <row r="7" spans="2:6">
      <c r="B7" s="278" t="s">
        <v>1680</v>
      </c>
      <c r="C7" s="280" t="s">
        <v>1681</v>
      </c>
      <c r="D7" s="573" t="s">
        <v>1682</v>
      </c>
      <c r="E7" s="574" t="s">
        <v>1683</v>
      </c>
      <c r="F7" s="575">
        <f ca="1">INDIRECT(E7)</f>
        <v>0</v>
      </c>
    </row>
    <row r="8" spans="2:6">
      <c r="D8" s="869" t="s">
        <v>3527</v>
      </c>
      <c r="E8" s="870" t="s">
        <v>3528</v>
      </c>
      <c r="F8" s="871">
        <f ca="1">INDIRECT(E8)</f>
        <v>0</v>
      </c>
    </row>
    <row r="9" spans="2:6" s="970" customFormat="1">
      <c r="D9" s="869" t="s">
        <v>4303</v>
      </c>
      <c r="E9" s="870" t="s">
        <v>4304</v>
      </c>
      <c r="F9" s="871">
        <f ca="1">INDIRECT(E9)</f>
        <v>0</v>
      </c>
    </row>
    <row r="10" spans="2:6" s="970" customFormat="1">
      <c r="D10" s="869" t="s">
        <v>4305</v>
      </c>
      <c r="E10" s="870" t="s">
        <v>4306</v>
      </c>
      <c r="F10" s="871">
        <f ca="1">INDIRECT(E10)</f>
        <v>0</v>
      </c>
    </row>
    <row r="11" spans="2:6">
      <c r="D11" s="576" t="s">
        <v>1684</v>
      </c>
      <c r="E11" s="577" t="s">
        <v>1685</v>
      </c>
      <c r="F11" s="578">
        <f ca="1">INDIRECT(E11)</f>
        <v>1</v>
      </c>
    </row>
  </sheetData>
  <phoneticPr fontId="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B1:D11"/>
  <sheetViews>
    <sheetView workbookViewId="0">
      <selection activeCell="C2" sqref="C2"/>
    </sheetView>
  </sheetViews>
  <sheetFormatPr defaultRowHeight="13.5"/>
  <cols>
    <col min="2" max="2" width="9" style="911"/>
    <col min="3" max="3" width="25.625" style="911" customWidth="1"/>
  </cols>
  <sheetData>
    <row r="1" spans="2:4">
      <c r="B1"/>
      <c r="C1"/>
    </row>
    <row r="2" spans="2:4">
      <c r="B2" s="101" t="s">
        <v>99</v>
      </c>
      <c r="C2" s="101" t="s">
        <v>4454</v>
      </c>
    </row>
    <row r="3" spans="2:4">
      <c r="B3" s="101" t="s">
        <v>100</v>
      </c>
      <c r="C3" s="102">
        <v>5</v>
      </c>
    </row>
    <row r="4" spans="2:4">
      <c r="B4" s="101" t="s">
        <v>4466</v>
      </c>
      <c r="C4" s="101" t="s">
        <v>4468</v>
      </c>
    </row>
    <row r="5" spans="2:4" s="970" customFormat="1">
      <c r="B5" s="101" t="s">
        <v>4469</v>
      </c>
      <c r="C5" s="101" t="s">
        <v>4455</v>
      </c>
      <c r="D5" s="970" t="s">
        <v>4470</v>
      </c>
    </row>
    <row r="6" spans="2:4">
      <c r="B6" s="101" t="s">
        <v>4453</v>
      </c>
      <c r="C6" s="101" t="s">
        <v>101</v>
      </c>
    </row>
    <row r="7" spans="2:4">
      <c r="B7" s="1199" t="s">
        <v>4461</v>
      </c>
      <c r="C7" s="515" t="s">
        <v>4456</v>
      </c>
    </row>
    <row r="8" spans="2:4">
      <c r="B8" s="515" t="s">
        <v>4462</v>
      </c>
      <c r="C8" s="515" t="s">
        <v>4457</v>
      </c>
    </row>
    <row r="9" spans="2:4">
      <c r="B9" s="515" t="s">
        <v>4463</v>
      </c>
      <c r="C9" s="515" t="s">
        <v>4458</v>
      </c>
    </row>
    <row r="10" spans="2:4">
      <c r="B10" s="515" t="s">
        <v>4464</v>
      </c>
      <c r="C10" s="515" t="s">
        <v>4459</v>
      </c>
    </row>
    <row r="11" spans="2:4">
      <c r="B11" s="515" t="s">
        <v>4465</v>
      </c>
      <c r="C11" s="515" t="s">
        <v>4460</v>
      </c>
    </row>
  </sheetData>
  <phoneticPr fontId="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L19"/>
  <sheetViews>
    <sheetView workbookViewId="0">
      <selection sqref="A1:L19"/>
    </sheetView>
  </sheetViews>
  <sheetFormatPr defaultRowHeight="13.5"/>
  <cols>
    <col min="1" max="1" width="3.375" customWidth="1"/>
    <col min="2" max="7" width="11.75" customWidth="1"/>
    <col min="8" max="8" width="13.5" customWidth="1"/>
    <col min="9" max="12" width="11.75" customWidth="1"/>
    <col min="13" max="14" width="3.25" customWidth="1"/>
    <col min="15" max="15" width="3.375" customWidth="1"/>
    <col min="16" max="16" width="12.5" customWidth="1"/>
    <col min="17" max="28" width="3.75" customWidth="1"/>
    <col min="29" max="29" width="2.625" customWidth="1"/>
    <col min="30" max="37" width="3.375" customWidth="1"/>
  </cols>
  <sheetData>
    <row r="1" spans="1:12" ht="19.5">
      <c r="A1" s="73" t="s">
        <v>3805</v>
      </c>
      <c r="B1" s="73"/>
      <c r="C1" s="73"/>
      <c r="D1" s="73" t="s">
        <v>3806</v>
      </c>
      <c r="E1" s="73"/>
      <c r="F1" s="73"/>
      <c r="G1" s="73"/>
      <c r="H1" s="73"/>
      <c r="I1" s="73"/>
      <c r="J1" s="73"/>
      <c r="K1" s="73"/>
      <c r="L1" s="73"/>
    </row>
    <row r="2" spans="1:12" ht="16.5">
      <c r="A2" s="207"/>
      <c r="B2" s="207"/>
      <c r="C2" s="207"/>
      <c r="D2" s="207"/>
      <c r="E2" s="207"/>
      <c r="F2" s="207"/>
      <c r="G2" s="207"/>
      <c r="H2" s="207"/>
      <c r="I2" s="207"/>
      <c r="J2" s="207"/>
      <c r="K2" s="207"/>
      <c r="L2" s="207"/>
    </row>
    <row r="3" spans="1:12" ht="16.5">
      <c r="A3" s="207"/>
      <c r="B3" s="208" t="s">
        <v>1007</v>
      </c>
      <c r="C3" s="209"/>
      <c r="D3" s="207"/>
      <c r="E3" s="210" t="s">
        <v>3807</v>
      </c>
      <c r="F3" s="204"/>
      <c r="G3" s="207"/>
      <c r="H3" s="208" t="s">
        <v>3549</v>
      </c>
      <c r="I3" s="209"/>
      <c r="J3" s="207"/>
      <c r="K3" s="207"/>
      <c r="L3" s="207"/>
    </row>
    <row r="4" spans="1:12" ht="16.5">
      <c r="A4" s="207"/>
      <c r="B4" s="210" t="s">
        <v>67</v>
      </c>
      <c r="C4" s="258"/>
      <c r="D4" s="207"/>
      <c r="E4" s="208" t="s">
        <v>1011</v>
      </c>
      <c r="F4" s="1336"/>
      <c r="G4" s="1337"/>
      <c r="H4" s="210" t="s">
        <v>114</v>
      </c>
      <c r="I4" s="259"/>
      <c r="J4" s="207"/>
      <c r="K4" s="207"/>
      <c r="L4" s="207"/>
    </row>
    <row r="5" spans="1:12" ht="16.5">
      <c r="A5" s="207"/>
      <c r="B5" s="210" t="s">
        <v>3804</v>
      </c>
      <c r="C5" s="72">
        <v>42557</v>
      </c>
      <c r="D5" s="207"/>
      <c r="E5" s="208" t="s">
        <v>116</v>
      </c>
      <c r="F5" s="204" t="s">
        <v>3808</v>
      </c>
      <c r="G5" s="207"/>
      <c r="H5" s="208" t="s">
        <v>1013</v>
      </c>
      <c r="I5" s="31"/>
      <c r="J5" s="207"/>
      <c r="K5" s="207"/>
      <c r="L5" s="207"/>
    </row>
    <row r="6" spans="1:12" ht="16.5">
      <c r="A6" s="207"/>
      <c r="B6" s="210" t="s">
        <v>115</v>
      </c>
      <c r="C6" s="72"/>
      <c r="D6" s="207"/>
      <c r="E6" s="208"/>
      <c r="F6" s="207"/>
      <c r="G6" s="207"/>
      <c r="H6" s="208"/>
      <c r="I6" s="207"/>
      <c r="J6" s="207"/>
      <c r="K6" s="207"/>
      <c r="L6" s="207"/>
    </row>
    <row r="7" spans="1:12" ht="16.5">
      <c r="A7" s="207"/>
      <c r="B7" s="208"/>
      <c r="C7" s="208"/>
      <c r="D7" s="207"/>
      <c r="E7" s="207"/>
      <c r="F7" s="207"/>
      <c r="G7" s="207"/>
      <c r="H7" s="207"/>
      <c r="I7" s="207"/>
      <c r="J7" s="207"/>
      <c r="K7" s="207"/>
      <c r="L7" s="207"/>
    </row>
    <row r="8" spans="1:12" ht="16.5">
      <c r="A8" s="207"/>
      <c r="B8" s="210" t="s">
        <v>3809</v>
      </c>
      <c r="C8" s="1053"/>
      <c r="D8" s="207"/>
      <c r="E8" s="207"/>
      <c r="F8" s="207"/>
      <c r="G8" s="207"/>
      <c r="H8" s="208" t="s">
        <v>1036</v>
      </c>
      <c r="I8" s="1846"/>
      <c r="J8" s="1847"/>
      <c r="K8" s="1847"/>
      <c r="L8" s="1848"/>
    </row>
    <row r="9" spans="1:12" ht="16.5">
      <c r="A9" s="207"/>
      <c r="B9" s="208" t="s">
        <v>3810</v>
      </c>
      <c r="C9" s="1877"/>
      <c r="D9" s="1878"/>
      <c r="E9" s="1878"/>
      <c r="F9" s="1879"/>
      <c r="G9" s="207"/>
      <c r="H9" s="208"/>
      <c r="I9" s="1849"/>
      <c r="J9" s="1850"/>
      <c r="K9" s="1850"/>
      <c r="L9" s="1851"/>
    </row>
    <row r="10" spans="1:12" ht="16.5">
      <c r="A10" s="207"/>
      <c r="B10" s="208" t="s">
        <v>3811</v>
      </c>
      <c r="C10" s="1287" t="s">
        <v>582</v>
      </c>
      <c r="D10" s="1308"/>
      <c r="E10" s="1309"/>
      <c r="F10" s="207"/>
      <c r="G10" s="207"/>
      <c r="H10" s="210" t="s">
        <v>118</v>
      </c>
      <c r="I10" s="259"/>
      <c r="J10" s="207"/>
      <c r="K10" s="207"/>
      <c r="L10" s="207"/>
    </row>
    <row r="11" spans="1:12" ht="16.5">
      <c r="A11" s="207"/>
      <c r="B11" s="207"/>
      <c r="C11" s="207"/>
      <c r="D11" s="207"/>
      <c r="E11" s="207"/>
      <c r="F11" s="207"/>
      <c r="G11" s="207"/>
      <c r="H11" s="208"/>
      <c r="I11" s="207"/>
      <c r="J11" s="207"/>
      <c r="K11" s="207"/>
      <c r="L11" s="207"/>
    </row>
    <row r="12" spans="1:12" ht="16.5">
      <c r="A12" s="207"/>
      <c r="B12" s="207"/>
      <c r="C12" s="207"/>
      <c r="D12" s="207"/>
      <c r="E12" s="207"/>
      <c r="F12" s="207"/>
      <c r="G12" s="207"/>
      <c r="H12" s="208" t="s">
        <v>3812</v>
      </c>
      <c r="I12" s="1275"/>
      <c r="J12" s="1277"/>
      <c r="K12" s="207"/>
      <c r="L12" s="207"/>
    </row>
    <row r="13" spans="1:12" ht="16.5">
      <c r="A13" s="207"/>
      <c r="B13" s="208" t="s">
        <v>3813</v>
      </c>
      <c r="C13" s="1275"/>
      <c r="D13" s="1276"/>
      <c r="E13" s="1276"/>
      <c r="F13" s="1277"/>
      <c r="G13" s="207"/>
      <c r="H13" s="208" t="s">
        <v>3814</v>
      </c>
      <c r="I13" s="1275"/>
      <c r="J13" s="1277"/>
      <c r="K13" s="207"/>
      <c r="L13" s="207"/>
    </row>
    <row r="14" spans="1:12" ht="16.5">
      <c r="A14" s="207"/>
      <c r="B14" s="208" t="s">
        <v>3815</v>
      </c>
      <c r="C14" s="261"/>
      <c r="D14" s="207"/>
      <c r="E14" s="208"/>
      <c r="F14" s="1052"/>
      <c r="G14" s="207"/>
      <c r="H14" s="208" t="s">
        <v>3816</v>
      </c>
      <c r="I14" s="1875"/>
      <c r="J14" s="1876"/>
      <c r="K14" s="214" t="s">
        <v>3817</v>
      </c>
      <c r="L14" s="207"/>
    </row>
    <row r="15" spans="1:12" ht="16.5">
      <c r="A15" s="207"/>
      <c r="B15" s="208" t="s">
        <v>3818</v>
      </c>
      <c r="C15" s="1338"/>
      <c r="D15" s="1339"/>
      <c r="E15" s="1339"/>
      <c r="F15" s="1339"/>
      <c r="G15" s="1339"/>
      <c r="H15" s="1339"/>
      <c r="I15" s="1339"/>
      <c r="J15" s="1340"/>
      <c r="K15" s="207"/>
      <c r="L15" s="207"/>
    </row>
    <row r="16" spans="1:12" ht="16.5">
      <c r="A16" s="207"/>
      <c r="B16" s="208" t="s">
        <v>3819</v>
      </c>
      <c r="C16" s="1338"/>
      <c r="D16" s="1339"/>
      <c r="E16" s="1339"/>
      <c r="F16" s="1339"/>
      <c r="G16" s="1339"/>
      <c r="H16" s="1339"/>
      <c r="I16" s="1339"/>
      <c r="J16" s="1340"/>
      <c r="K16" s="207"/>
      <c r="L16" s="207"/>
    </row>
    <row r="17" spans="1:12" ht="16.5">
      <c r="A17" s="207"/>
      <c r="B17" s="207"/>
      <c r="C17" s="207"/>
      <c r="D17" s="207"/>
      <c r="E17" s="207"/>
      <c r="F17" s="207"/>
      <c r="G17" s="207"/>
      <c r="H17" s="208"/>
      <c r="I17" s="207"/>
      <c r="J17" s="207"/>
      <c r="K17" s="208"/>
      <c r="L17" s="1052"/>
    </row>
    <row r="18" spans="1:12" ht="16.5">
      <c r="A18" s="207"/>
      <c r="B18" s="207"/>
      <c r="C18" s="207"/>
      <c r="D18" s="3" t="s">
        <v>362</v>
      </c>
      <c r="E18" s="3" t="s">
        <v>363</v>
      </c>
      <c r="F18" s="3" t="s">
        <v>364</v>
      </c>
      <c r="G18" s="3" t="s">
        <v>365</v>
      </c>
      <c r="H18" s="3" t="s">
        <v>366</v>
      </c>
      <c r="I18" s="3" t="s">
        <v>403</v>
      </c>
      <c r="J18" s="3" t="s">
        <v>372</v>
      </c>
      <c r="K18" s="207"/>
      <c r="L18" s="207"/>
    </row>
    <row r="19" spans="1:12" ht="16.5">
      <c r="A19" s="207"/>
      <c r="B19" s="207"/>
      <c r="C19" s="207"/>
      <c r="D19" s="112">
        <v>0.08</v>
      </c>
      <c r="E19" s="130">
        <v>0</v>
      </c>
      <c r="F19" s="131">
        <v>0</v>
      </c>
      <c r="G19" s="131">
        <v>0</v>
      </c>
      <c r="H19" s="131">
        <v>0</v>
      </c>
      <c r="I19" s="131">
        <v>0</v>
      </c>
      <c r="J19" s="129">
        <v>0</v>
      </c>
      <c r="K19" s="207"/>
      <c r="L19" s="207"/>
    </row>
  </sheetData>
  <mergeCells count="10">
    <mergeCell ref="F4:G4"/>
    <mergeCell ref="I12:J12"/>
    <mergeCell ref="I8:L9"/>
    <mergeCell ref="C9:F9"/>
    <mergeCell ref="C10:E10"/>
    <mergeCell ref="C16:J16"/>
    <mergeCell ref="C13:F13"/>
    <mergeCell ref="I13:J13"/>
    <mergeCell ref="I14:J14"/>
    <mergeCell ref="C15:J15"/>
  </mergeCells>
  <phoneticPr fontId="2"/>
  <dataValidations count="11">
    <dataValidation type="custom" allowBlank="1" showInputMessage="1" showErrorMessage="1" sqref="I14:J14 C10:E10">
      <formula1>LENB(C10)&lt;=40</formula1>
    </dataValidation>
    <dataValidation type="custom" allowBlank="1" showInputMessage="1" showErrorMessage="1" sqref="I12:J13">
      <formula1>AND(LEN(I12)=LENB(I12),LENB(I12)&lt;=13)</formula1>
    </dataValidation>
    <dataValidation type="list" allowBlank="1" showInputMessage="1" showErrorMessage="1" sqref="F5">
      <formula1>UNJC1030_IF_LIST_DEMPYO_HAKKO_KBN</formula1>
    </dataValidation>
    <dataValidation type="custom" allowBlank="1" showInputMessage="1" showErrorMessage="1" sqref="C13:F13">
      <formula1>LEN(C13)&lt;51</formula1>
    </dataValidation>
    <dataValidation type="custom" allowBlank="1" showInputMessage="1" showErrorMessage="1" sqref="I8:L9 C15:J16">
      <formula1>LENB(C8)&lt;=100</formula1>
    </dataValidation>
    <dataValidation type="custom" allowBlank="1" showInputMessage="1" showErrorMessage="1" sqref="C9:F9">
      <formula1>LENB(C9)&lt;51</formula1>
    </dataValidation>
    <dataValidation type="custom" allowBlank="1" showInputMessage="1" showErrorMessage="1" sqref="C14">
      <formula1>AND(LEN(C14)=LENB(C14),LENB(C14)&lt;=8)</formula1>
    </dataValidation>
    <dataValidation type="custom" allowBlank="1" showInputMessage="1" showErrorMessage="1" sqref="I4">
      <formula1>LENB(I4)&lt;41</formula1>
    </dataValidation>
    <dataValidation type="custom" allowBlank="1" showInputMessage="1" showErrorMessage="1" sqref="C8">
      <formula1>AND(LEN(C8)=LENB(C8),LENB(C8)&lt;11)</formula1>
    </dataValidation>
    <dataValidation type="custom" allowBlank="1" showInputMessage="1" showErrorMessage="1" sqref="C4">
      <formula1>LENB(C4)&lt;21</formula1>
    </dataValidation>
    <dataValidation type="list" allowBlank="1" showInputMessage="1" showErrorMessage="1" sqref="F3">
      <formula1>UNJC1030_IF_LIST_SHOHIN_KBN</formula1>
    </dataValidation>
  </dataValidation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V1"/>
  <sheetViews>
    <sheetView workbookViewId="0">
      <selection activeCell="K34" sqref="K34"/>
    </sheetView>
  </sheetViews>
  <sheetFormatPr defaultRowHeight="13.5"/>
  <cols>
    <col min="1" max="1" width="3.375" customWidth="1"/>
    <col min="2" max="2" width="4.75" bestFit="1" customWidth="1"/>
    <col min="3" max="3" width="9.625" bestFit="1" customWidth="1"/>
    <col min="4" max="4" width="28.25" customWidth="1"/>
    <col min="5" max="5" width="9" customWidth="1"/>
    <col min="6" max="6" width="7.125" customWidth="1"/>
    <col min="7" max="7" width="8" bestFit="1" customWidth="1"/>
    <col min="8" max="8" width="11.875" customWidth="1"/>
    <col min="9" max="9" width="18.5" customWidth="1"/>
    <col min="10" max="10" width="8.625" customWidth="1"/>
    <col min="11" max="11" width="7.625" customWidth="1"/>
    <col min="12" max="12" width="4.75" customWidth="1"/>
    <col min="13" max="13" width="6.25" customWidth="1"/>
    <col min="14" max="14" width="7" customWidth="1"/>
    <col min="15" max="15" width="6.25" customWidth="1"/>
    <col min="16" max="16" width="8" bestFit="1" customWidth="1"/>
    <col min="17" max="18" width="6.375" bestFit="1" customWidth="1"/>
    <col min="19" max="19" width="11.375" bestFit="1" customWidth="1"/>
    <col min="20" max="20" width="30.25" customWidth="1"/>
    <col min="21" max="21" width="10.375" bestFit="1" customWidth="1"/>
    <col min="22" max="22" width="31.25" customWidth="1"/>
    <col min="23" max="53" width="8.75" customWidth="1"/>
    <col min="54" max="111" width="8.875" customWidth="1"/>
  </cols>
  <sheetData>
    <row r="1" spans="1:22" ht="16.5">
      <c r="A1" s="1050" t="s">
        <v>2573</v>
      </c>
      <c r="B1" s="1050" t="s">
        <v>3820</v>
      </c>
      <c r="C1" s="23" t="s">
        <v>65</v>
      </c>
      <c r="D1" s="23" t="s">
        <v>369</v>
      </c>
      <c r="E1" s="23" t="s">
        <v>394</v>
      </c>
      <c r="F1" s="1050" t="s">
        <v>395</v>
      </c>
      <c r="G1" s="23" t="s">
        <v>396</v>
      </c>
      <c r="H1" s="1050" t="s">
        <v>397</v>
      </c>
      <c r="I1" s="1051" t="s">
        <v>370</v>
      </c>
      <c r="J1" s="1050" t="s">
        <v>373</v>
      </c>
      <c r="K1" s="1050" t="s">
        <v>371</v>
      </c>
      <c r="L1" s="1050" t="s">
        <v>3821</v>
      </c>
      <c r="M1" s="1050" t="s">
        <v>399</v>
      </c>
      <c r="N1" s="1050" t="s">
        <v>400</v>
      </c>
      <c r="O1" s="1050" t="s">
        <v>401</v>
      </c>
      <c r="P1" s="1050" t="s">
        <v>402</v>
      </c>
      <c r="Q1" s="1050" t="s">
        <v>372</v>
      </c>
      <c r="R1" s="1050" t="s">
        <v>403</v>
      </c>
      <c r="S1" s="1050" t="s">
        <v>374</v>
      </c>
      <c r="T1" s="1050" t="s">
        <v>3822</v>
      </c>
      <c r="U1" s="1050" t="s">
        <v>77</v>
      </c>
      <c r="V1" s="1050" t="s">
        <v>3823</v>
      </c>
    </row>
  </sheetData>
  <phoneticPr fontId="2"/>
  <pageMargins left="0.7" right="0.7" top="0.75" bottom="0.75" header="0.3" footer="0.3"/>
  <pageSetup paperSize="9" orientation="portrait" verticalDpi="0"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CP1"/>
  <sheetViews>
    <sheetView workbookViewId="0">
      <selection activeCell="H20" sqref="H20"/>
    </sheetView>
  </sheetViews>
  <sheetFormatPr defaultRowHeight="13.5"/>
  <cols>
    <col min="1" max="1" width="8.875" customWidth="1"/>
    <col min="2" max="2" width="15" customWidth="1"/>
    <col min="3" max="3" width="5.625" customWidth="1"/>
    <col min="5" max="5" width="5.625" customWidth="1"/>
    <col min="7" max="9" width="8.875" customWidth="1"/>
    <col min="10" max="10" width="14.75" customWidth="1"/>
    <col min="11" max="94" width="8.875" customWidth="1"/>
  </cols>
  <sheetData>
    <row r="1" spans="1:94" ht="16.5">
      <c r="A1" s="326" t="s">
        <v>266</v>
      </c>
      <c r="B1" s="326" t="s">
        <v>3801</v>
      </c>
      <c r="C1" s="975" t="s">
        <v>3802</v>
      </c>
      <c r="D1" s="976"/>
      <c r="E1" s="975" t="s">
        <v>3803</v>
      </c>
      <c r="F1" s="976"/>
      <c r="G1" s="326" t="s">
        <v>1196</v>
      </c>
      <c r="H1" s="326" t="s">
        <v>3798</v>
      </c>
      <c r="I1" s="326" t="s">
        <v>1197</v>
      </c>
      <c r="J1" s="326" t="s">
        <v>1560</v>
      </c>
      <c r="K1" s="326" t="s">
        <v>1198</v>
      </c>
      <c r="L1" s="326" t="s">
        <v>382</v>
      </c>
      <c r="M1" s="326" t="s">
        <v>275</v>
      </c>
      <c r="N1" s="326" t="s">
        <v>1199</v>
      </c>
      <c r="O1" s="326" t="s">
        <v>1200</v>
      </c>
      <c r="P1" s="326" t="s">
        <v>271</v>
      </c>
      <c r="Q1" s="326" t="s">
        <v>1201</v>
      </c>
      <c r="R1" s="326" t="s">
        <v>1202</v>
      </c>
      <c r="S1" s="326" t="s">
        <v>3799</v>
      </c>
      <c r="T1" s="326" t="s">
        <v>3800</v>
      </c>
      <c r="U1" s="326" t="s">
        <v>349</v>
      </c>
      <c r="V1" s="326" t="s">
        <v>1204</v>
      </c>
      <c r="W1" s="326" t="s">
        <v>1205</v>
      </c>
      <c r="X1" s="326" t="s">
        <v>1206</v>
      </c>
      <c r="Y1" s="326" t="s">
        <v>1167</v>
      </c>
      <c r="Z1" s="326" t="s">
        <v>1207</v>
      </c>
      <c r="AA1" s="326" t="s">
        <v>270</v>
      </c>
      <c r="AB1" s="326" t="s">
        <v>267</v>
      </c>
      <c r="AC1" s="326" t="s">
        <v>1208</v>
      </c>
      <c r="AD1" s="326" t="s">
        <v>1209</v>
      </c>
      <c r="AE1" s="326" t="s">
        <v>1210</v>
      </c>
      <c r="AF1" s="326" t="s">
        <v>1211</v>
      </c>
      <c r="AG1" s="326" t="s">
        <v>1212</v>
      </c>
      <c r="AH1" s="326" t="s">
        <v>1213</v>
      </c>
      <c r="AI1" s="326" t="s">
        <v>1214</v>
      </c>
      <c r="AJ1" s="326" t="s">
        <v>1215</v>
      </c>
      <c r="AK1" s="326" t="s">
        <v>1216</v>
      </c>
      <c r="AL1" s="326" t="s">
        <v>1217</v>
      </c>
      <c r="AM1" s="326" t="s">
        <v>1218</v>
      </c>
      <c r="AN1" s="326" t="s">
        <v>1219</v>
      </c>
      <c r="AO1" s="326" t="s">
        <v>1220</v>
      </c>
      <c r="AP1" s="326" t="s">
        <v>1221</v>
      </c>
      <c r="AQ1" s="326" t="s">
        <v>1222</v>
      </c>
      <c r="AR1" s="326" t="s">
        <v>1223</v>
      </c>
      <c r="AS1" s="326" t="s">
        <v>1224</v>
      </c>
      <c r="AT1" s="326" t="s">
        <v>1225</v>
      </c>
      <c r="AU1" s="326" t="s">
        <v>1226</v>
      </c>
      <c r="AV1" s="326" t="s">
        <v>1227</v>
      </c>
      <c r="AW1" s="326" t="s">
        <v>1228</v>
      </c>
      <c r="AX1" s="326" t="s">
        <v>1229</v>
      </c>
      <c r="AY1" s="326" t="s">
        <v>1230</v>
      </c>
      <c r="AZ1" s="326" t="s">
        <v>1231</v>
      </c>
      <c r="BA1" s="326" t="s">
        <v>675</v>
      </c>
      <c r="BB1" s="326" t="s">
        <v>1232</v>
      </c>
      <c r="BC1" s="326" t="s">
        <v>1233</v>
      </c>
      <c r="BD1" s="326" t="s">
        <v>1234</v>
      </c>
      <c r="BE1" s="326" t="s">
        <v>1235</v>
      </c>
      <c r="BF1" s="326" t="s">
        <v>1236</v>
      </c>
      <c r="BG1" s="326" t="s">
        <v>1237</v>
      </c>
      <c r="BH1" s="326" t="s">
        <v>1238</v>
      </c>
      <c r="BI1" s="326" t="s">
        <v>1239</v>
      </c>
      <c r="BJ1" s="326" t="s">
        <v>1240</v>
      </c>
      <c r="BK1" s="326" t="s">
        <v>1241</v>
      </c>
      <c r="BL1" s="326" t="s">
        <v>1242</v>
      </c>
      <c r="BM1" s="326" t="s">
        <v>1243</v>
      </c>
      <c r="BN1" s="326" t="s">
        <v>1244</v>
      </c>
      <c r="BO1" s="326" t="s">
        <v>1245</v>
      </c>
      <c r="BP1" s="326" t="s">
        <v>1246</v>
      </c>
      <c r="BQ1" s="326" t="s">
        <v>1247</v>
      </c>
      <c r="BR1" s="326" t="s">
        <v>1248</v>
      </c>
      <c r="BS1" s="326" t="s">
        <v>1249</v>
      </c>
      <c r="BT1" s="326" t="s">
        <v>1250</v>
      </c>
      <c r="BU1" s="326" t="s">
        <v>1251</v>
      </c>
      <c r="BV1" s="326" t="s">
        <v>1252</v>
      </c>
      <c r="BW1" s="326" t="s">
        <v>1253</v>
      </c>
      <c r="BX1" s="326" t="s">
        <v>1254</v>
      </c>
      <c r="BY1" s="326" t="s">
        <v>1255</v>
      </c>
      <c r="BZ1" s="326" t="s">
        <v>1256</v>
      </c>
      <c r="CA1" s="326" t="s">
        <v>1257</v>
      </c>
      <c r="CB1" s="326" t="s">
        <v>1258</v>
      </c>
      <c r="CC1" s="326" t="s">
        <v>1259</v>
      </c>
      <c r="CD1" s="326" t="s">
        <v>1260</v>
      </c>
      <c r="CE1" s="326" t="s">
        <v>1261</v>
      </c>
      <c r="CF1" s="326" t="s">
        <v>1262</v>
      </c>
      <c r="CG1" s="326" t="s">
        <v>1263</v>
      </c>
      <c r="CH1" s="326" t="s">
        <v>1264</v>
      </c>
      <c r="CI1" s="326" t="s">
        <v>1265</v>
      </c>
      <c r="CJ1" s="326" t="s">
        <v>1266</v>
      </c>
      <c r="CK1" s="326" t="s">
        <v>1267</v>
      </c>
      <c r="CL1" s="326" t="s">
        <v>1268</v>
      </c>
      <c r="CM1" s="326" t="s">
        <v>1269</v>
      </c>
      <c r="CN1" s="326" t="s">
        <v>1270</v>
      </c>
      <c r="CO1" s="326" t="s">
        <v>1271</v>
      </c>
      <c r="CP1" s="326" t="s">
        <v>404</v>
      </c>
    </row>
  </sheetData>
  <phoneticPr fontId="2"/>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80</vt:i4>
      </vt:variant>
      <vt:variant>
        <vt:lpstr>名前付き一覧</vt:lpstr>
      </vt:variant>
      <vt:variant>
        <vt:i4>2312</vt:i4>
      </vt:variant>
    </vt:vector>
  </HeadingPairs>
  <TitlesOfParts>
    <vt:vector size="2392" baseType="lpstr">
      <vt:lpstr>UNJC0020_H</vt:lpstr>
      <vt:lpstr>UNJC0020_B</vt:lpstr>
      <vt:lpstr>UNJC0020_IF</vt:lpstr>
      <vt:lpstr>UNJC0020_IF2</vt:lpstr>
      <vt:lpstr>UNJC0020_SQL</vt:lpstr>
      <vt:lpstr>UNJC0030_H</vt:lpstr>
      <vt:lpstr>UNJC0030_B</vt:lpstr>
      <vt:lpstr>UNJC0030_IF</vt:lpstr>
      <vt:lpstr>UNJC0030_SQL</vt:lpstr>
      <vt:lpstr>UNJC0030_FAX</vt:lpstr>
      <vt:lpstr>UNJC0030_REPORT</vt:lpstr>
      <vt:lpstr>UNJC0030_REPORT_IF</vt:lpstr>
      <vt:lpstr>UNJC0030_REPORT_SQL</vt:lpstr>
      <vt:lpstr>UNJC0030_LABEL</vt:lpstr>
      <vt:lpstr>UNJC0030_LABEL_IF</vt:lpstr>
      <vt:lpstr>UNJC0040</vt:lpstr>
      <vt:lpstr>UNJC0040_IF</vt:lpstr>
      <vt:lpstr>UNJC0040_SQL</vt:lpstr>
      <vt:lpstr>UNJC0060_H</vt:lpstr>
      <vt:lpstr>UNJC0060_B</vt:lpstr>
      <vt:lpstr>UNJC0060_IF</vt:lpstr>
      <vt:lpstr>UNJC0060_SQL</vt:lpstr>
      <vt:lpstr>UNJC0070_H</vt:lpstr>
      <vt:lpstr>UNJC0070_B</vt:lpstr>
      <vt:lpstr>UNJC0070_IF</vt:lpstr>
      <vt:lpstr>UNJC0070_SQL</vt:lpstr>
      <vt:lpstr>UNJC0180_H</vt:lpstr>
      <vt:lpstr>UNJC0180_B</vt:lpstr>
      <vt:lpstr>UNJC0180_IF</vt:lpstr>
      <vt:lpstr>UNJC0180_SQL</vt:lpstr>
      <vt:lpstr>UNJC0180_PRINT</vt:lpstr>
      <vt:lpstr>UNJC0180_PRINT_IF</vt:lpstr>
      <vt:lpstr>UNJC0190_H</vt:lpstr>
      <vt:lpstr>UNJC0190_B</vt:lpstr>
      <vt:lpstr>UNJC0190_IF</vt:lpstr>
      <vt:lpstr>UNJC0190_IF_EXCEL</vt:lpstr>
      <vt:lpstr>UNJC0190_SQL</vt:lpstr>
      <vt:lpstr>UNJC0190_PRINT</vt:lpstr>
      <vt:lpstr>UNJC0190_PRINT_IF</vt:lpstr>
      <vt:lpstr>UNJC0210_H</vt:lpstr>
      <vt:lpstr>UNJC0210_B</vt:lpstr>
      <vt:lpstr>UNJC0210_IF</vt:lpstr>
      <vt:lpstr>UNJC0210_SQL</vt:lpstr>
      <vt:lpstr>UNJC0210_PRINT</vt:lpstr>
      <vt:lpstr>UNJC0210_PRINT_IF</vt:lpstr>
      <vt:lpstr>UNJC0210_PRINT_IF_SUB</vt:lpstr>
      <vt:lpstr>UNJC0220_H</vt:lpstr>
      <vt:lpstr>UNJC0220_B</vt:lpstr>
      <vt:lpstr>UNJC0220_IF</vt:lpstr>
      <vt:lpstr>UNJC0220_SQL</vt:lpstr>
      <vt:lpstr>UNJC0230_H</vt:lpstr>
      <vt:lpstr>UNJC0230_B</vt:lpstr>
      <vt:lpstr>UNJC0230_IF</vt:lpstr>
      <vt:lpstr>UNJC0230_SQL</vt:lpstr>
      <vt:lpstr>UNJC0240_H</vt:lpstr>
      <vt:lpstr>UNJC0240_B</vt:lpstr>
      <vt:lpstr>UNJC0240_IF</vt:lpstr>
      <vt:lpstr>UNJC0240_SQL</vt:lpstr>
      <vt:lpstr>UNJC0250_H</vt:lpstr>
      <vt:lpstr>UNJC0250_B</vt:lpstr>
      <vt:lpstr>UNJC0250_IF</vt:lpstr>
      <vt:lpstr>UNJC0250_SQL</vt:lpstr>
      <vt:lpstr>UNJC1020_H</vt:lpstr>
      <vt:lpstr>UNJC1020_B</vt:lpstr>
      <vt:lpstr>UNJC1020_IF</vt:lpstr>
      <vt:lpstr>UNJC1020_SQL</vt:lpstr>
      <vt:lpstr>UNJC1030_H</vt:lpstr>
      <vt:lpstr>UNJC1030_B</vt:lpstr>
      <vt:lpstr>UNJC1030_IF</vt:lpstr>
      <vt:lpstr>UNJC1030_SQL</vt:lpstr>
      <vt:lpstr>UNJC1030_REPORT_SHIYAKU</vt:lpstr>
      <vt:lpstr>UNJC1030_REPORT_SHIYAKU_IF</vt:lpstr>
      <vt:lpstr>UNJC1030_REPORT_DOKU</vt:lpstr>
      <vt:lpstr>UNJC1030_REPORT_DOKU_IF</vt:lpstr>
      <vt:lpstr>UNJC_COMMON_SQL</vt:lpstr>
      <vt:lpstr>UNJC_COMMON</vt:lpstr>
      <vt:lpstr>UNJC_BUNSEKI_HOHO_IF</vt:lpstr>
      <vt:lpstr>Excel_Save_H</vt:lpstr>
      <vt:lpstr>Excel_Save_B</vt:lpstr>
      <vt:lpstr>Excel_Save_R</vt:lpstr>
      <vt:lpstr>LIST_BUNSEKI_KBN_HOHO_KENSU</vt:lpstr>
      <vt:lpstr>LIST_BUNSEKI_KBN_TENKAIICHI</vt:lpstr>
      <vt:lpstr>LIST_DEMPYO_STS_HOHO_KENSU</vt:lpstr>
      <vt:lpstr>LIST_DEMPYO_STS_TENKAIICHI</vt:lpstr>
      <vt:lpstr>UNJC0020_H!Print_Area</vt:lpstr>
      <vt:lpstr>UNJC0030_FAX!Print_Area</vt:lpstr>
      <vt:lpstr>UNJC0030_H!Print_Area</vt:lpstr>
      <vt:lpstr>UNJC0030_LABEL!Print_Area</vt:lpstr>
      <vt:lpstr>UNJC0030_LABEL_IF!Print_Area</vt:lpstr>
      <vt:lpstr>UNJC0180_H!Print_Area</vt:lpstr>
      <vt:lpstr>UNJC0190_H!Print_Area</vt:lpstr>
      <vt:lpstr>UNJC0210_H!Print_Area</vt:lpstr>
      <vt:lpstr>UNJC0220_H!Print_Area</vt:lpstr>
      <vt:lpstr>UNJC0230_B!Print_Area</vt:lpstr>
      <vt:lpstr>UNJC0230_H!Print_Area</vt:lpstr>
      <vt:lpstr>UNJC0240_H!Print_Area</vt:lpstr>
      <vt:lpstr>UNJC0250_B!Print_Area</vt:lpstr>
      <vt:lpstr>UNJC0250_H!Print_Area</vt:lpstr>
      <vt:lpstr>UNJC1020_H!Print_Area</vt:lpstr>
      <vt:lpstr>UNJC1030_H!Print_Area</vt:lpstr>
      <vt:lpstr>UNJC1030_REPORT_SHIYAKU!Print_Area</vt:lpstr>
      <vt:lpstr>UNJC0030_REPORT!Print_Titles</vt:lpstr>
      <vt:lpstr>UNJC0180_PRINT!Print_Titles</vt:lpstr>
      <vt:lpstr>UNJC0190_PRINT!Print_Titles</vt:lpstr>
      <vt:lpstr>UNJC_BUNSEKI_HOHO_IF_KENSU</vt:lpstr>
      <vt:lpstr>UNJC_BUNSEKI_HOHO_IF_START</vt:lpstr>
      <vt:lpstr>UNJC_COMMON_ACTIVE_SHEET_NAME</vt:lpstr>
      <vt:lpstr>UNJC_COMMON_CHANGE_CHECK</vt:lpstr>
      <vt:lpstr>UNJC_COMMON_CHANGE_CHECK_AREA</vt:lpstr>
      <vt:lpstr>UNJC_COMMON_SQL_AITESAKI_SEARCH</vt:lpstr>
      <vt:lpstr>UNJC_COMMON_SQL_BUN_SORT_SEQ_SEARCH</vt:lpstr>
      <vt:lpstr>UNJC_COMMON_SQL_BUNSEKI_HOHO_SEARCH</vt:lpstr>
      <vt:lpstr>UNJC_COMMON_SQL_BUSHO_SEARCH</vt:lpstr>
      <vt:lpstr>UNJC_COMMON_SQL_HAN_STS_SEARCH</vt:lpstr>
      <vt:lpstr>UNJC_COMMON_SQL_HASSOSAKI_SEARCH</vt:lpstr>
      <vt:lpstr>UNJC_COMMON_SQL_HOKAN_BASHO_SEARCH</vt:lpstr>
      <vt:lpstr>UNJC_COMMON_SQL_HOKOKULIST_SEARCH</vt:lpstr>
      <vt:lpstr>UNJC_COMMON_SQL_HOKOKUSAKI</vt:lpstr>
      <vt:lpstr>UNJC_COMMON_SQL_HOKOKUSHO_KEISHIKI_SEARCH</vt:lpstr>
      <vt:lpstr>UNJC_COMMON_SQL_JURI_NO_SEARCH</vt:lpstr>
      <vt:lpstr>UNJC_COMMON_SQL_KEISHO_SEARCH</vt:lpstr>
      <vt:lpstr>UNJC_COMMON_SQL_KOBAIHIN_SEARCH</vt:lpstr>
      <vt:lpstr>UNJC_COMMON_SQL_KOMOKU_GUN_SEARCH</vt:lpstr>
      <vt:lpstr>UNJC_COMMON_SQL_KOMOKU_SEARCH</vt:lpstr>
      <vt:lpstr>UNJC_COMMON_SQL_MAKER_SEARCH</vt:lpstr>
      <vt:lpstr>UNJC_COMMON_SQL_MITSU_NO_SEARCH</vt:lpstr>
      <vt:lpstr>UNJC_COMMON_SQL_MITSU_NO_SEARCH_HAN</vt:lpstr>
      <vt:lpstr>UNJC_COMMON_SQL_NOHIN_HOHO_SEARCH</vt:lpstr>
      <vt:lpstr>UNJC_COMMON_SQL_NYUSHUKKO_NO_SEARCH</vt:lpstr>
      <vt:lpstr>UNJC_COMMON_SQL_SEIKYUSAKI_SEARCH</vt:lpstr>
      <vt:lpstr>UNJC_COMMON_SQL_SELECT_CTRL_HYOJI_GYO_SU</vt:lpstr>
      <vt:lpstr>UNJC_COMMON_SQL_SHAIN_SEARCH</vt:lpstr>
      <vt:lpstr>UNJC_COMMON_SQL_SHIIRESAKI_SEARCH</vt:lpstr>
      <vt:lpstr>UNJC_COMMON_SQL_SHIRESAKI_SEARCH</vt:lpstr>
      <vt:lpstr>UNJC_COMMON_SQL_SHIRYO_MEI_SEARCH</vt:lpstr>
      <vt:lpstr>UNJC_COMMON_SQL_SHIRYO_SHURUI_SEARCH</vt:lpstr>
      <vt:lpstr>UNJC_COMMON_SQL_SHOHIN_BUNRUI_SEARCH</vt:lpstr>
      <vt:lpstr>UNJC_COMMON_SQL_SHOHIN_SEARCH</vt:lpstr>
      <vt:lpstr>UNJC_COMMON_SQL_ZAIKO_NO_SEARCH</vt:lpstr>
      <vt:lpstr>UNJC0020_B_ALL_PAGE_SU</vt:lpstr>
      <vt:lpstr>UNJC0020_B_ATENA</vt:lpstr>
      <vt:lpstr>UNJC0020_B_ATENA_CD</vt:lpstr>
      <vt:lpstr>UNJC0020_B_BUNSEKI_STS</vt:lpstr>
      <vt:lpstr>UNJC0020_B_BUNSEKIKUBUN_KBN</vt:lpstr>
      <vt:lpstr>UNJC0020_B_BUSHO_CD</vt:lpstr>
      <vt:lpstr>UNJC0020_B_BUSHO_MEI</vt:lpstr>
      <vt:lpstr>UNJC0020_B_CHUKAN_1</vt:lpstr>
      <vt:lpstr>UNJC0020_B_CHUKAN_2</vt:lpstr>
      <vt:lpstr>UNJC0020_B_CHUKAN_3</vt:lpstr>
      <vt:lpstr>UNJC0020_B_COPY_SAKI</vt:lpstr>
      <vt:lpstr>UNJC0020_B_CTRL_HYOJI_GYO_SU</vt:lpstr>
      <vt:lpstr>UNJC0020_B_DEL_FLG</vt:lpstr>
      <vt:lpstr>UNJC0020_B_DEMPYO_HAKKO_FLG</vt:lpstr>
      <vt:lpstr>UNJC0020_B_DEMPYO_HAKKO_JOTAI_KBN</vt:lpstr>
      <vt:lpstr>UNJC0020_B_EIGYO_TANTO_CD</vt:lpstr>
      <vt:lpstr>UNJC0020_B_EIGYO_TANTOSHA_MEI</vt:lpstr>
      <vt:lpstr>UNJC0020_B_EXIST_NEXT_PAGE</vt:lpstr>
      <vt:lpstr>UNJC0020_B_EXIST_PREV_PAGE</vt:lpstr>
      <vt:lpstr>UNJC0020_B_FORMAT_COPY_FLG</vt:lpstr>
      <vt:lpstr>UNJC0020_B_FREEWD</vt:lpstr>
      <vt:lpstr>UNJC0020_B_HIDE_COLUMN</vt:lpstr>
      <vt:lpstr>UNJC0020_B_HIDE_ROW</vt:lpstr>
      <vt:lpstr>UNJC0020_B_HOKOKUSHO_KEISHIKI</vt:lpstr>
      <vt:lpstr>UNJC0020_B_HOKOKUSYO_KBN</vt:lpstr>
      <vt:lpstr>UNJC0020_B_HYOJI_KENSU</vt:lpstr>
      <vt:lpstr>UNJC0020_B_IRAI_DATE</vt:lpstr>
      <vt:lpstr>UNJC0020_B_JURI_NO</vt:lpstr>
      <vt:lpstr>UNJC0020_B_KANSEI_DATE</vt:lpstr>
      <vt:lpstr>UNJC0020_B_KENMEI</vt:lpstr>
      <vt:lpstr>UNJC0020_B_KENSAKU_KENSU</vt:lpstr>
      <vt:lpstr>UNJC0020_B_LIST_CLEAR</vt:lpstr>
      <vt:lpstr>UNJC0020_B_LIST_START</vt:lpstr>
      <vt:lpstr>UNJC0020_B_MITSUMORI_NO</vt:lpstr>
      <vt:lpstr>UNJC0020_B_NEXT_PAGE_NO</vt:lpstr>
      <vt:lpstr>UNJC0020_B_NOHIN_DATE</vt:lpstr>
      <vt:lpstr>UNJC0020_B_NYURYOKUSHA_CD</vt:lpstr>
      <vt:lpstr>UNJC0020_B_NYURYOKUSHA_MEI</vt:lpstr>
      <vt:lpstr>UNJC0020_B_PAGE_NO</vt:lpstr>
      <vt:lpstr>UNJC0020_B_PREV_PAGE_NO</vt:lpstr>
      <vt:lpstr>UNJC0020_B_SCROLL_LOCK</vt:lpstr>
      <vt:lpstr>UNJC0020_B_SEIKYUSAKI_CD</vt:lpstr>
      <vt:lpstr>UNJC0020_B_SEIKYUSAKI_MEI</vt:lpstr>
      <vt:lpstr>UNJC0020_B_SELECT_GYO_NO</vt:lpstr>
      <vt:lpstr>UNJC0020_B_SELECT_JURI_NO</vt:lpstr>
      <vt:lpstr>UNJC0020_B_SELECT_MITSU_NO</vt:lpstr>
      <vt:lpstr>UNJC0020_B_SELECT_STS</vt:lpstr>
      <vt:lpstr>UNJC0020_B_SENTAKU</vt:lpstr>
      <vt:lpstr>UNJC0020_B_SOKUHO</vt:lpstr>
      <vt:lpstr>UNJC0020_B_STATUS</vt:lpstr>
      <vt:lpstr>UNJC0020_B_VIEW_CURRENT_PAGE</vt:lpstr>
      <vt:lpstr>UNJC0020_H_ATENA</vt:lpstr>
      <vt:lpstr>UNJC0020_H_ATENA_CD</vt:lpstr>
      <vt:lpstr>UNJC0020_H_BUNSEKI_CD</vt:lpstr>
      <vt:lpstr>UNJC0020_H_BUNSEKI_HOHO</vt:lpstr>
      <vt:lpstr>UNJC0020_H_BUNSEKI_HOKAN_STS</vt:lpstr>
      <vt:lpstr>UNJC0020_H_BUNSEKI_MEI</vt:lpstr>
      <vt:lpstr>UNJC0020_H_BUNSEKIKOMOKUGUN_KBN</vt:lpstr>
      <vt:lpstr>UNJC0020_H_BUNSEKIKOMOKUGUN_MEI</vt:lpstr>
      <vt:lpstr>UNJC0020_H_BUNSEKIKUBUN</vt:lpstr>
      <vt:lpstr>UNJC0020_H_BUNSEKIKUBUN_KBN</vt:lpstr>
      <vt:lpstr>UNJC0020_H_BUSHO_CD</vt:lpstr>
      <vt:lpstr>UNJC0020_H_BUSHO_MEI</vt:lpstr>
      <vt:lpstr>UNJC0020_H_CHUDAN_STS</vt:lpstr>
      <vt:lpstr>UNJC0020_H_CHUKAN_DATE_END</vt:lpstr>
      <vt:lpstr>UNJC0020_H_CHUKAN_DATE_START</vt:lpstr>
      <vt:lpstr>UNJC0020_H_CHUKAN_STS</vt:lpstr>
      <vt:lpstr>UNJC0020_H_CHUSHI_STS</vt:lpstr>
      <vt:lpstr>UNJC0020_H_DEL_HYOJI_FLG</vt:lpstr>
      <vt:lpstr>UNJC0020_H_DEMPYO_HAKKO_JOTAI</vt:lpstr>
      <vt:lpstr>UNJC0020_H_DEMPYO_HAKKO_JOTAI_KBN</vt:lpstr>
      <vt:lpstr>UNJC0020_H_EIGYO_STS</vt:lpstr>
      <vt:lpstr>UNJC0020_H_EIGYO_TANTO_CD</vt:lpstr>
      <vt:lpstr>UNJC0020_H_EIGYO_TANTOSHA_MEI</vt:lpstr>
      <vt:lpstr>UNJC0020_H_FORM_UPPER_LEFT</vt:lpstr>
      <vt:lpstr>UNJC0020_H_FREEWD_1</vt:lpstr>
      <vt:lpstr>UNJC0020_H_FREEWD_2</vt:lpstr>
      <vt:lpstr>UNJC0020_H_FREEWD_3</vt:lpstr>
      <vt:lpstr>UNJC0020_H_FREEWD_KBN</vt:lpstr>
      <vt:lpstr>UNJC0020_H_GIJUTSU_STS</vt:lpstr>
      <vt:lpstr>UNJC0020_H_HIDE_COLUMN</vt:lpstr>
      <vt:lpstr>UNJC0020_H_HIDE_ROW</vt:lpstr>
      <vt:lpstr>UNJC0020_H_INIT_HEADER_COPY_SAKI</vt:lpstr>
      <vt:lpstr>UNJC0020_H_INIT_HEADER_FLG_COPY_SAKI</vt:lpstr>
      <vt:lpstr>UNJC0020_H_IRAI_DATE_END</vt:lpstr>
      <vt:lpstr>UNJC0020_H_IRAI_DATE_START</vt:lpstr>
      <vt:lpstr>UNJC0020_H_JURI_NO</vt:lpstr>
      <vt:lpstr>UNJC0020_H_KAKUNIN2_STS</vt:lpstr>
      <vt:lpstr>UNJC0020_H_KAKUTEIMI_STS</vt:lpstr>
      <vt:lpstr>UNJC0020_H_KANSEI_DATE_END</vt:lpstr>
      <vt:lpstr>UNJC0020_H_KANSEI_DATE_START</vt:lpstr>
      <vt:lpstr>UNJC0020_H_KEISHIKI</vt:lpstr>
      <vt:lpstr>UNJC0020_H_KEISHIKI_KBN</vt:lpstr>
      <vt:lpstr>UNJC0020_H_MITSUMORI_NO</vt:lpstr>
      <vt:lpstr>UNJC0020_H_NOHIN_DATE_END</vt:lpstr>
      <vt:lpstr>UNJC0020_H_NOHIN_DATE_START</vt:lpstr>
      <vt:lpstr>UNJC0020_H_NOHIN_STS</vt:lpstr>
      <vt:lpstr>UNJC0020_H_NYURYOKU_DATE_END</vt:lpstr>
      <vt:lpstr>UNJC0020_H_NYURYOKU_DATE_START</vt:lpstr>
      <vt:lpstr>UNJC0020_H_NYURYOKUSHA_CD</vt:lpstr>
      <vt:lpstr>UNJC0020_H_NYURYOKUSHA_MEI</vt:lpstr>
      <vt:lpstr>UNJC0020_H_SEIKYUSAKI_CD</vt:lpstr>
      <vt:lpstr>UNJC0020_H_SEIKYUSAKI_MEI</vt:lpstr>
      <vt:lpstr>UNJC0020_H_SHIRYO_MEI</vt:lpstr>
      <vt:lpstr>UNJC0020_H_SHIRYO_SHURUI</vt:lpstr>
      <vt:lpstr>UNJC0020_H_SOKUHO_STS</vt:lpstr>
      <vt:lpstr>UNJC0020_H_TEISEI_STS</vt:lpstr>
      <vt:lpstr>UNJC0020_H_UKETSUKE_STS</vt:lpstr>
      <vt:lpstr>UNJC0020_H_UKETSUKESHA_CD</vt:lpstr>
      <vt:lpstr>UNJC0020_H_UKETSUKESHA_MEI</vt:lpstr>
      <vt:lpstr>UNJC0020_IF_ACTIVE_CELL_NAME</vt:lpstr>
      <vt:lpstr>UNJC0020_IF_ACTIVE_COLUMN</vt:lpstr>
      <vt:lpstr>UNJC0020_IF_ACTIVE_ROW</vt:lpstr>
      <vt:lpstr>UNJC0020_IF_ACTIVE_SHEET</vt:lpstr>
      <vt:lpstr>UNJC0020_IF_B_LIST_COPY_MOTO</vt:lpstr>
      <vt:lpstr>UNJC0020_IF_B_LIST_DEFAULT</vt:lpstr>
      <vt:lpstr>UNJC0020_IF_DATA_SEARCH_FLG</vt:lpstr>
      <vt:lpstr>UNJC0020_IF_EXCEL_FILE_NAME</vt:lpstr>
      <vt:lpstr>UNJC0020_IF_INIT_HEADER_COPY_MOTO</vt:lpstr>
      <vt:lpstr>UNJC0020_IF_INIT_HEADER_FLG_COPY_MOTO</vt:lpstr>
      <vt:lpstr>UNJC0020_IF_PRINT_COPY_SAKI</vt:lpstr>
      <vt:lpstr>UNJC0020_IF_PRINT_KENSAKU_KENSU</vt:lpstr>
      <vt:lpstr>UNJC0020_IF_PRINT_LIST_START</vt:lpstr>
      <vt:lpstr>UNJC0020_IF_PRINT_SHOSHIKI_COPY_MOTO</vt:lpstr>
      <vt:lpstr>UNJC0020_IF_SET_MITSU_NO</vt:lpstr>
      <vt:lpstr>UNJC0020_IF_SET_STS_CD</vt:lpstr>
      <vt:lpstr>UNJC0020_IF_USER_ID</vt:lpstr>
      <vt:lpstr>UNJC0020_IF2_PRINT_COPY_SAKI</vt:lpstr>
      <vt:lpstr>UNJC0020_IF2_PRINT_KENSAKU_KENSU</vt:lpstr>
      <vt:lpstr>UNJC0020_IF2_PRINT_LIST_START</vt:lpstr>
      <vt:lpstr>UNJC0020_IF2_PRINT_SHOSHIKI_COPY_MOTO</vt:lpstr>
      <vt:lpstr>UNJC0020_SQL_ATENA_CD</vt:lpstr>
      <vt:lpstr>UNJC0020_SQL_ATENA_MEI</vt:lpstr>
      <vt:lpstr>UNJC0020_SQL_BUNSEKI_CD</vt:lpstr>
      <vt:lpstr>UNJC0020_SQL_BUNSEKI_HOHO</vt:lpstr>
      <vt:lpstr>UNJC0020_SQL_BUNSEKI_HOKAN_STS</vt:lpstr>
      <vt:lpstr>UNJC0020_SQL_BUNSEKI_KBN_LIST</vt:lpstr>
      <vt:lpstr>UNJC0020_SQL_BUNSEKI_MEI</vt:lpstr>
      <vt:lpstr>UNJC0020_SQL_BUNSEKIKOMOKUGUN_KBN</vt:lpstr>
      <vt:lpstr>UNJC0020_SQL_BUNSEKIKUBUN_KBN</vt:lpstr>
      <vt:lpstr>UNJC0020_SQL_BUSHO_CD</vt:lpstr>
      <vt:lpstr>UNJC0020_SQL_CHUDAN_STS</vt:lpstr>
      <vt:lpstr>UNJC0020_SQL_CHUKAN_DATE_END</vt:lpstr>
      <vt:lpstr>UNJC0020_SQL_CHUKAN_DATE_START</vt:lpstr>
      <vt:lpstr>UNJC0020_SQL_CHUKAN_STS</vt:lpstr>
      <vt:lpstr>UNJC0020_SQL_CHUSHI_STS</vt:lpstr>
      <vt:lpstr>UNJC0020_SQL_DEL_HYOJI_FLG</vt:lpstr>
      <vt:lpstr>UNJC0020_SQL_DEMPYO_HAKKO_JOTAI_KBN</vt:lpstr>
      <vt:lpstr>UNJC0020_SQL_DEMPYO_HAKKO_LIST</vt:lpstr>
      <vt:lpstr>UNJC0020_SQL_EIGYO_STS</vt:lpstr>
      <vt:lpstr>UNJC0020_SQL_EIGYO_TANTO_CD</vt:lpstr>
      <vt:lpstr>UNJC0020_SQL_FREEWD_1</vt:lpstr>
      <vt:lpstr>UNJC0020_SQL_FREEWD_2</vt:lpstr>
      <vt:lpstr>UNJC0020_SQL_FREEWD_3</vt:lpstr>
      <vt:lpstr>UNJC0020_SQL_FREEWD_KBN</vt:lpstr>
      <vt:lpstr>UNJC0020_SQL_FREEWORD1</vt:lpstr>
      <vt:lpstr>UNJC0020_SQL_FREEWORD2</vt:lpstr>
      <vt:lpstr>UNJC0020_SQL_FREEWORD3</vt:lpstr>
      <vt:lpstr>UNJC0020_SQL_GIJUTSU_STS</vt:lpstr>
      <vt:lpstr>UNJC0020_SQL_INIT_SORT</vt:lpstr>
      <vt:lpstr>UNJC0020_SQL_IRAI_DATE_END</vt:lpstr>
      <vt:lpstr>UNJC0020_SQL_IRAI_DATE_START</vt:lpstr>
      <vt:lpstr>UNJC0020_SQL_JOKEN_COPY_MOTO</vt:lpstr>
      <vt:lpstr>UNJC0020_SQL_JOKEN_COPY_SAKI</vt:lpstr>
      <vt:lpstr>UNJC0020_SQL_JURI_NO</vt:lpstr>
      <vt:lpstr>UNJC0020_SQL_KAKUNIN2_STS</vt:lpstr>
      <vt:lpstr>UNJC0020_SQL_KAKUTEIMI_STS</vt:lpstr>
      <vt:lpstr>UNJC0020_SQL_KANSEI_DATE_END</vt:lpstr>
      <vt:lpstr>UNJC0020_SQL_KANSEI_DATE_START</vt:lpstr>
      <vt:lpstr>UNJC0020_SQL_KEISHIKI_KBN</vt:lpstr>
      <vt:lpstr>UNJC0020_SQL_MITSUMORI_NO</vt:lpstr>
      <vt:lpstr>UNJC0020_SQL_NOHIN_DATE_END</vt:lpstr>
      <vt:lpstr>UNJC0020_SQL_NOHIN_DATE_START</vt:lpstr>
      <vt:lpstr>UNJC0020_SQL_NOHIN_STS</vt:lpstr>
      <vt:lpstr>UNJC0020_SQL_NYURYOKU_DATE_END</vt:lpstr>
      <vt:lpstr>UNJC0020_SQL_NYURYOKU_DATE_START</vt:lpstr>
      <vt:lpstr>UNJC0020_SQL_NYURYOKUSHA_CD</vt:lpstr>
      <vt:lpstr>UNJC0020_SQL_PRINT_BUN_JUCHU_LIST</vt:lpstr>
      <vt:lpstr>UNJC0020_SQL_PRINT_BUN_JUCHU_LIST2</vt:lpstr>
      <vt:lpstr>UNJC0020_SQL_RESULT_SORT</vt:lpstr>
      <vt:lpstr>UNJC0020_SQL_SEIKYUSAKI_CD</vt:lpstr>
      <vt:lpstr>UNJC0020_SQL_SELECT_BUN_JUCHU_LIST</vt:lpstr>
      <vt:lpstr>UNJC0020_SQL_SELECT_BUN_JUCHU_LIST_CNT</vt:lpstr>
      <vt:lpstr>UNJC0020_SQL_SHIRYO_MEI</vt:lpstr>
      <vt:lpstr>UNJC0020_SQL_SHIRYO_SHURUI</vt:lpstr>
      <vt:lpstr>UNJC0020_SQL_SOKUHO_STS</vt:lpstr>
      <vt:lpstr>UNJC0020_SQL_SORT</vt:lpstr>
      <vt:lpstr>UNJC0020_SQL_SORT_EXCEL</vt:lpstr>
      <vt:lpstr>UNJC0020_SQL_STS_SEARCH</vt:lpstr>
      <vt:lpstr>UNJC0020_SQL_TEISEI_STS</vt:lpstr>
      <vt:lpstr>UNJC0020_SQL_UKETSUKE_STS</vt:lpstr>
      <vt:lpstr>UNJC0020_SQL_UKETSUKESHA_CD</vt:lpstr>
      <vt:lpstr>UNJC0030_B_BUNSEKI_GUN_CD</vt:lpstr>
      <vt:lpstr>UNJC0030_B_BUNSEKI_GUN_MEI</vt:lpstr>
      <vt:lpstr>UNJC0030_B_COPY_SAKI</vt:lpstr>
      <vt:lpstr>UNJC0030_B_EBIKO</vt:lpstr>
      <vt:lpstr>UNJC0030_B_EDA</vt:lpstr>
      <vt:lpstr>UNJC0030_B_EDA_SHIRYO_AREA</vt:lpstr>
      <vt:lpstr>UNJC0030_B_GYO</vt:lpstr>
      <vt:lpstr>UNJC0030_B_GYO_DELETE</vt:lpstr>
      <vt:lpstr>UNJC0030_B_GYO_DELETE_AREA</vt:lpstr>
      <vt:lpstr>UNJC0030_B_GYO_DELETE_NO</vt:lpstr>
      <vt:lpstr>UNJC0030_B_GYO_INSERT</vt:lpstr>
      <vt:lpstr>UNJC0030_B_GYO_INSERT_NO</vt:lpstr>
      <vt:lpstr>UNJC0030_B_GYO_INSERT_SELECT_CELL</vt:lpstr>
      <vt:lpstr>UNJC0030_B_GYO_NO</vt:lpstr>
      <vt:lpstr>UNJC0030_B_HIDE_COLUMN</vt:lpstr>
      <vt:lpstr>UNJC0030_B_HIDE_ROW</vt:lpstr>
      <vt:lpstr>UNJC0030_B_IKKATSU_1</vt:lpstr>
      <vt:lpstr>UNJC0030_B_IKKATSU_2</vt:lpstr>
      <vt:lpstr>UNJC0030_B_IKKATSU_FLG</vt:lpstr>
      <vt:lpstr>UNJC0030_B_IKKATSU_TOTAL</vt:lpstr>
      <vt:lpstr>UNJC0030_B_KION</vt:lpstr>
      <vt:lpstr>UNJC0030_B_LIST_BUNSEKI_CD</vt:lpstr>
      <vt:lpstr>UNJC0030_B_LIST_BUNSEKI_MEI</vt:lpstr>
      <vt:lpstr>UNJC0030_B_LIST_BUNSEKI_NO</vt:lpstr>
      <vt:lpstr>UNJC0030_B_LIST_CLEAR_AREA</vt:lpstr>
      <vt:lpstr>UNJC0030_B_LIST_DATA</vt:lpstr>
      <vt:lpstr>UNJC0030_B_LIST_GYO</vt:lpstr>
      <vt:lpstr>UNJC0030_B_LIST_SEQ</vt:lpstr>
      <vt:lpstr>UNJC0030_B_LIST_SHOSHIKI_COPY_SAKI</vt:lpstr>
      <vt:lpstr>UNJC0030_B_LIST_START</vt:lpstr>
      <vt:lpstr>UNJC0030_B_LIST_SUSHIKI_COPY_SAKI</vt:lpstr>
      <vt:lpstr>UNJC0030_B_LIST_TANI</vt:lpstr>
      <vt:lpstr>UNJC0030_B_MULTI_SELECT_COPY_SAKI</vt:lpstr>
      <vt:lpstr>UNJC0030_B_SAISHU_BASHO</vt:lpstr>
      <vt:lpstr>UNJC0030_B_SAISHU_DATE</vt:lpstr>
      <vt:lpstr>UNJC0030_B_SAISHU_HOHO</vt:lpstr>
      <vt:lpstr>UNJC0030_B_SAISHU_KAISHA_MEI</vt:lpstr>
      <vt:lpstr>UNJC0030_B_SAISHU_TIME</vt:lpstr>
      <vt:lpstr>UNJC0030_B_SAISHUSHA_MEI</vt:lpstr>
      <vt:lpstr>UNJC0030_B_SERIAL</vt:lpstr>
      <vt:lpstr>UNJC0030_B_SET_BUNSEKIKOMOKU_CD</vt:lpstr>
      <vt:lpstr>UNJC0030_B_SET_BUNSEKIKOMOKU_MEI</vt:lpstr>
      <vt:lpstr>UNJC0030_B_SET_BUNSEKIKOMOKU_NO</vt:lpstr>
      <vt:lpstr>UNJC0030_B_SET_BUNSEKIKOMOKU_TANI</vt:lpstr>
      <vt:lpstr>UNJC0030_B_SET_EDA_BACK_NO</vt:lpstr>
      <vt:lpstr>UNJC0030_B_SET_EDA_JUMP_NO</vt:lpstr>
      <vt:lpstr>UNJC0030_B_SET_EDA_NEXT_NO</vt:lpstr>
      <vt:lpstr>UNJC0030_B_SHIRYO_MEI</vt:lpstr>
      <vt:lpstr>UNJC0030_B_SHIRYO_SHURUI</vt:lpstr>
      <vt:lpstr>UNJC0030_B_SUION</vt:lpstr>
      <vt:lpstr>UNJC0030_B_TENKO</vt:lpstr>
      <vt:lpstr>UNJC0030_B_URAGAKI_FLG</vt:lpstr>
      <vt:lpstr>UNJC0030_B_USER_ID</vt:lpstr>
      <vt:lpstr>UNJC0030_FAX_KEISHO</vt:lpstr>
      <vt:lpstr>UNJC0030_FAX_NO</vt:lpstr>
      <vt:lpstr>UNJC0030_H_ATENA_CD</vt:lpstr>
      <vt:lpstr>UNJC0030_H_ATENA_MEI</vt:lpstr>
      <vt:lpstr>UNJC0030_H_BIKO</vt:lpstr>
      <vt:lpstr>UNJC0030_H_BUN_SORT_SEQ</vt:lpstr>
      <vt:lpstr>UNJC0030_H_BUN_SORT_SEQ_MEI</vt:lpstr>
      <vt:lpstr>UNJC0030_H_BUN_SORT_SEQ_MEI_CLEAR</vt:lpstr>
      <vt:lpstr>UNJC0030_H_BUNSEKI_KBN</vt:lpstr>
      <vt:lpstr>UNJC0030_H_BUNSEKI_KBN_CD</vt:lpstr>
      <vt:lpstr>UNJC0030_H_BUNSEKI_TANTO_BUSHO</vt:lpstr>
      <vt:lpstr>UNJC0030_H_BUNSEKI_TANTO_BUSHO_CD</vt:lpstr>
      <vt:lpstr>UNJC0030_H_BUNSEKIHOHO</vt:lpstr>
      <vt:lpstr>UNJC0030_H_BUNSEKIKANRYO_DATE</vt:lpstr>
      <vt:lpstr>UNJC0030_H_BUSU</vt:lpstr>
      <vt:lpstr>UNJC0030_H_CHUKAN_DATE_1</vt:lpstr>
      <vt:lpstr>UNJC0030_H_CHUKAN_DATE_2</vt:lpstr>
      <vt:lpstr>UNJC0030_H_CHUKAN_DATE_3</vt:lpstr>
      <vt:lpstr>UNJC0030_H_CHUKAN_NAIYO_1</vt:lpstr>
      <vt:lpstr>UNJC0030_H_CHUKAN_NAIYO_2</vt:lpstr>
      <vt:lpstr>UNJC0030_H_CHUKAN_NAIYO_3</vt:lpstr>
      <vt:lpstr>UNJC0030_H_COPY_SAKI</vt:lpstr>
      <vt:lpstr>UNJC0030_H_DEMPYO_HAKKO_KBN</vt:lpstr>
      <vt:lpstr>UNJC0030_H_DEMPYO_HAKKO_KBN_CD</vt:lpstr>
      <vt:lpstr>UNJC0030_H_EDA_FLG</vt:lpstr>
      <vt:lpstr>UNJC0030_H_EIGYO_FUYO_FLG</vt:lpstr>
      <vt:lpstr>UNJC0030_H_EIGYO_TANTO_CD</vt:lpstr>
      <vt:lpstr>UNJC0030_H_EIGYO_TANTO_MEI</vt:lpstr>
      <vt:lpstr>UNJC0030_H_FLG_AREA</vt:lpstr>
      <vt:lpstr>UNJC0030_H_FLG_COPY_SAKI</vt:lpstr>
      <vt:lpstr>UNJC0030_H_HENKOYOTEI_FLG</vt:lpstr>
      <vt:lpstr>UNJC0030_H_HIDE_COLUMN</vt:lpstr>
      <vt:lpstr>UNJC0030_H_HIDE_ROW</vt:lpstr>
      <vt:lpstr>UNJC0030_H_HOKOKU_BUSHO_1</vt:lpstr>
      <vt:lpstr>UNJC0030_H_HOKOKU_BUSHO_2</vt:lpstr>
      <vt:lpstr>UNJC0030_H_HOKOKU_BUSHO_3</vt:lpstr>
      <vt:lpstr>UNJC0030_H_HOKOKU_CD_1</vt:lpstr>
      <vt:lpstr>UNJC0030_H_HOKOKU_CD_2</vt:lpstr>
      <vt:lpstr>UNJC0030_H_HOKOKU_CD_3</vt:lpstr>
      <vt:lpstr>UNJC0030_H_HOKOKU_CHUKAN_FLG_1</vt:lpstr>
      <vt:lpstr>UNJC0030_H_HOKOKU_CHUKAN_FLG_2</vt:lpstr>
      <vt:lpstr>UNJC0030_H_HOKOKU_CHUKAN_FLG_3</vt:lpstr>
      <vt:lpstr>UNJC0030_H_HOKOKU_FAX_1</vt:lpstr>
      <vt:lpstr>UNJC0030_H_HOKOKU_FAX_2</vt:lpstr>
      <vt:lpstr>UNJC0030_H_HOKOKU_FAX_3</vt:lpstr>
      <vt:lpstr>UNJC0030_H_HOKOKU_GAISO</vt:lpstr>
      <vt:lpstr>UNJC0030_H_HOKOKU_GAISO_KBN_CD</vt:lpstr>
      <vt:lpstr>UNJC0030_H_HOKOKU_HAKKO_DATE</vt:lpstr>
      <vt:lpstr>UNJC0030_H_HOKOKU_HOHO</vt:lpstr>
      <vt:lpstr>UNJC0030_H_HOKOKU_HOHO_KBN_CD</vt:lpstr>
      <vt:lpstr>UNJC0030_H_HOKOKU_HOKOKUSOFU_FLG_1</vt:lpstr>
      <vt:lpstr>UNJC0030_H_HOKOKU_HOKOKUSOFU_FLG_2</vt:lpstr>
      <vt:lpstr>UNJC0030_H_HOKOKU_HOKOKUSOFU_FLG_3</vt:lpstr>
      <vt:lpstr>UNJC0030_H_HOKOKU_JIKO</vt:lpstr>
      <vt:lpstr>UNJC0030_H_HOKOKU_JUSHO_1</vt:lpstr>
      <vt:lpstr>UNJC0030_H_HOKOKU_JUSHO_2</vt:lpstr>
      <vt:lpstr>UNJC0030_H_HOKOKU_JUSHO_3</vt:lpstr>
      <vt:lpstr>UNJC0030_H_HOKOKU_KANSEI_DATE</vt:lpstr>
      <vt:lpstr>UNJC0030_H_HOKOKU_MAIL_1</vt:lpstr>
      <vt:lpstr>UNJC0030_H_HOKOKU_MAIL_2</vt:lpstr>
      <vt:lpstr>UNJC0030_H_HOKOKU_MAIL_3</vt:lpstr>
      <vt:lpstr>UNJC0030_H_HOKOKU_MEI_1</vt:lpstr>
      <vt:lpstr>UNJC0030_H_HOKOKU_MEI_2</vt:lpstr>
      <vt:lpstr>UNJC0030_H_HOKOKU_MEI_3</vt:lpstr>
      <vt:lpstr>UNJC0030_H_HOKOKU_SHOKEN_FLG</vt:lpstr>
      <vt:lpstr>UNJC0030_H_HOKOKU_SOKUHO_FLG_1</vt:lpstr>
      <vt:lpstr>UNJC0030_H_HOKOKU_SOKUHO_FLG_2</vt:lpstr>
      <vt:lpstr>UNJC0030_H_HOKOKU_SOKUHO_FLG_3</vt:lpstr>
      <vt:lpstr>UNJC0030_H_HOKOKU_TANTOSHA_1</vt:lpstr>
      <vt:lpstr>UNJC0030_H_HOKOKU_TANTOSHA_2</vt:lpstr>
      <vt:lpstr>UNJC0030_H_HOKOKU_TANTOSHA_3</vt:lpstr>
      <vt:lpstr>UNJC0030_H_HOKOKU_TEL_1</vt:lpstr>
      <vt:lpstr>UNJC0030_H_HOKOKU_TEL_2</vt:lpstr>
      <vt:lpstr>UNJC0030_H_HOKOKU_TEL_3</vt:lpstr>
      <vt:lpstr>UNJC0030_H_HOKOKU_YUBIN_1</vt:lpstr>
      <vt:lpstr>UNJC0030_H_HOKOKU_YUBIN_2</vt:lpstr>
      <vt:lpstr>UNJC0030_H_HOKOKU_YUBIN_3</vt:lpstr>
      <vt:lpstr>UNJC0030_H_HOKOKUSHO_KEISHIKI</vt:lpstr>
      <vt:lpstr>UNJC0030_H_HOKOKUSHO_KEISHIKI_KBN_CD</vt:lpstr>
      <vt:lpstr>UNJC0030_H_IRAI_DATE</vt:lpstr>
      <vt:lpstr>UNJC0030_H_JURI_NO</vt:lpstr>
      <vt:lpstr>UNJC0030_H_KENMEI</vt:lpstr>
      <vt:lpstr>UNJC0030_H_KION</vt:lpstr>
      <vt:lpstr>UNJC0030_H_KOSU</vt:lpstr>
      <vt:lpstr>UNJC0030_H_MITSUMORI_NO</vt:lpstr>
      <vt:lpstr>UNJC0030_H_MOKUTEKI</vt:lpstr>
      <vt:lpstr>UNJC0030_H_NOHIN_DATE</vt:lpstr>
      <vt:lpstr>UNJC0030_H_NOHIN_HOHO</vt:lpstr>
      <vt:lpstr>UNJC0030_H_NYURYOKU_DATE</vt:lpstr>
      <vt:lpstr>UNJC0030_H_NYURYOKUSHA_CD</vt:lpstr>
      <vt:lpstr>UNJC0030_H_NYURYOKUSHA_MEI</vt:lpstr>
      <vt:lpstr>UNJC0030_H_REF_JURI_NO</vt:lpstr>
      <vt:lpstr>UNJC0030_H_SAISHU_BASHO</vt:lpstr>
      <vt:lpstr>UNJC0030_H_SAISHU_DATE</vt:lpstr>
      <vt:lpstr>UNJC0030_H_SAISHU_HOHO</vt:lpstr>
      <vt:lpstr>UNJC0030_H_SAISHU_TIME</vt:lpstr>
      <vt:lpstr>UNJC0030_H_SAISHUKAISHA_MEI</vt:lpstr>
      <vt:lpstr>UNJC0030_H_SAISHUSHA_MEI</vt:lpstr>
      <vt:lpstr>UNJC0030_H_SEIKYUSAKI_CD</vt:lpstr>
      <vt:lpstr>UNJC0030_H_SEIKYUSAKI_MEI</vt:lpstr>
      <vt:lpstr>UNJC0030_H_SHINKI_FLG</vt:lpstr>
      <vt:lpstr>UNJC0030_H_SHIRYO_AREA</vt:lpstr>
      <vt:lpstr>UNJC0030_H_SOKUHO_KBN</vt:lpstr>
      <vt:lpstr>UNJC0030_H_SOKUHO_KBN_CD</vt:lpstr>
      <vt:lpstr>UNJC0030_H_STS</vt:lpstr>
      <vt:lpstr>UNJC0030_H_STS_CD</vt:lpstr>
      <vt:lpstr>UNJC0030_H_STS_HENKO_DATE</vt:lpstr>
      <vt:lpstr>UNJC0030_H_STS_HENKO_USER</vt:lpstr>
      <vt:lpstr>UNJC0030_H_SUION</vt:lpstr>
      <vt:lpstr>UNJC0030_H_TENKO</vt:lpstr>
      <vt:lpstr>UNJC0030_H_YOKI_HENKYAKU</vt:lpstr>
      <vt:lpstr>UNJC0030_H_YOKI_SHURUI</vt:lpstr>
      <vt:lpstr>UNJC0030_IF_ACTIVE_CELL_NAME</vt:lpstr>
      <vt:lpstr>UNJC0030_IF_ACTIVE_COLUMN</vt:lpstr>
      <vt:lpstr>UNJC0030_IF_ACTIVE_ROW</vt:lpstr>
      <vt:lpstr>UNJC0030_IF_ACTIVE_SHEET</vt:lpstr>
      <vt:lpstr>UNJC0030_IF_BUTTON_04_HYOJI</vt:lpstr>
      <vt:lpstr>UNJC0030_IF_BUTTON_06_HYOJI</vt:lpstr>
      <vt:lpstr>UNJC0030_IF_BUTTON_06_NAME</vt:lpstr>
      <vt:lpstr>UNJC0030_IF_BUTTON_07_HYOJI</vt:lpstr>
      <vt:lpstr>UNJC0030_IF_BUTTON_08_HYOJI</vt:lpstr>
      <vt:lpstr>UNJC0030_IF_BUTTON_09_HYOJI</vt:lpstr>
      <vt:lpstr>UNJC0030_IF_BUTTON_10_HYOJI</vt:lpstr>
      <vt:lpstr>UNJC0030_IF_BUTTON_10_NAME</vt:lpstr>
      <vt:lpstr>UNJC0030_IF_BUTTON_11_HYOJI</vt:lpstr>
      <vt:lpstr>UNJC0030_IF_BUTTON_12_HYOJI</vt:lpstr>
      <vt:lpstr>UNJC0030_IF_BUTTON_13_HYOJI</vt:lpstr>
      <vt:lpstr>UNJC0030_IF_BUTTON_14_CONFIRM</vt:lpstr>
      <vt:lpstr>UNJC0030_IF_BUTTON_14_HYOJI</vt:lpstr>
      <vt:lpstr>UNJC0030_IF_BUTTON_15_CHECK</vt:lpstr>
      <vt:lpstr>UNJC0030_IF_BUTTON_15_HYOJI</vt:lpstr>
      <vt:lpstr>UNJC0030_IF_BUTTON_16_CHECK</vt:lpstr>
      <vt:lpstr>UNJC0030_IF_BUTTON_16_HYOJI</vt:lpstr>
      <vt:lpstr>UNJC0030_IF_BUTTON_17_HYOJI</vt:lpstr>
      <vt:lpstr>UNJC0030_IF_BUTTON_18_HYOJI</vt:lpstr>
      <vt:lpstr>UNJC0030_IF_BUTTON_19_HYOJI</vt:lpstr>
      <vt:lpstr>UNJC0030_IF_BUTTON_20_HYOJI</vt:lpstr>
      <vt:lpstr>UNJC0030_IF_CHUKAN_HOKOKU_DAY</vt:lpstr>
      <vt:lpstr>UNJC0030_IF_DATA_SEARCH_FLG</vt:lpstr>
      <vt:lpstr>UNJC0030_IF_EDA</vt:lpstr>
      <vt:lpstr>UNJC0030_IF_EDA_DEL_CHECK</vt:lpstr>
      <vt:lpstr>UNJC0030_IF_EDA_MAX</vt:lpstr>
      <vt:lpstr>UNJC0030_IF_EXCEL_AREA</vt:lpstr>
      <vt:lpstr>UNJC0030_IF_EXCEL_CNT</vt:lpstr>
      <vt:lpstr>UNJC0030_IF_EXCEL_FILE_NAME</vt:lpstr>
      <vt:lpstr>UNJC0030_IF_EXCEL_SHOSHIKI_COPY_MOTO</vt:lpstr>
      <vt:lpstr>UNJC0030_IF_EXCEL_SHOSHIKI_COPY_SAKI</vt:lpstr>
      <vt:lpstr>UNJC0030_IF_EXCEL_START</vt:lpstr>
      <vt:lpstr>UNJC0030_IF_GYO_COPY_MOTO</vt:lpstr>
      <vt:lpstr>UNJC0030_IF_GYO_SUSHIKI_COPY_MOTO</vt:lpstr>
      <vt:lpstr>UNJC0030_IF_HOKOKU_1WORKDAY_AGO</vt:lpstr>
      <vt:lpstr>UNJC0030_IF_INPUT_CHECK</vt:lpstr>
      <vt:lpstr>UNJC0030_IF_INPUT_CHECK_CELL_NAME</vt:lpstr>
      <vt:lpstr>UNJC0030_IF_INPUT_CHECK_CELL_NAME_COPY</vt:lpstr>
      <vt:lpstr>UNJC0030_IF_INPUT_CHECK_RUN</vt:lpstr>
      <vt:lpstr>UNJC0030_IF_INPUT_ERROR_MESSAGE</vt:lpstr>
      <vt:lpstr>UNJC0030_IF_JURI_NO</vt:lpstr>
      <vt:lpstr>UNJC0030_IF_LIST_BUN_SORT_KENSU</vt:lpstr>
      <vt:lpstr>UNJC0030_IF_LIST_BUN_SORT_MEI_START</vt:lpstr>
      <vt:lpstr>UNJC0030_IF_LIST_BUN_SORT_SEQ_START</vt:lpstr>
      <vt:lpstr>UNJC0030_IF_LIST_BUN_SORT_START</vt:lpstr>
      <vt:lpstr>UNJC0030_IF_LIST_BUNSEKI_KBN_KENSU</vt:lpstr>
      <vt:lpstr>UNJC0030_IF_LIST_BUNSEKI_KBN_START</vt:lpstr>
      <vt:lpstr>UNJC0030_IF_LIST_BUNSEKIHOHO_KENSU</vt:lpstr>
      <vt:lpstr>UNJC0030_IF_LIST_BUNSEKIHOHO_START</vt:lpstr>
      <vt:lpstr>UNJC0030_IF_LIST_DEFAULT_FLG_START</vt:lpstr>
      <vt:lpstr>UNJC0030_IF_LIST_DEMPYO_HAKKO_KBN_KENSU</vt:lpstr>
      <vt:lpstr>UNJC0030_IF_LIST_DEMPYO_HAKKO_KBN_START</vt:lpstr>
      <vt:lpstr>UNJC0030_IF_LIST_HOKOKU_GAISO_KBN_KENSU</vt:lpstr>
      <vt:lpstr>UNJC0030_IF_LIST_HOKOKU_GAISO_KBN_START</vt:lpstr>
      <vt:lpstr>UNJC0030_IF_LIST_HOKOKU_HOHO_KBN_KENSU</vt:lpstr>
      <vt:lpstr>UNJC0030_IF_LIST_HOKOKU_HOHO_KBN_START</vt:lpstr>
      <vt:lpstr>UNJC0030_IF_LIST_HOKOKUSHO_KEISHIKI_KBN_KENSU</vt:lpstr>
      <vt:lpstr>UNJC0030_IF_LIST_HOKOKUSHO_KEISHIKI_KBN_START</vt:lpstr>
      <vt:lpstr>UNJC0030_IF_LIST_SAISHU_HOHO_KENSU</vt:lpstr>
      <vt:lpstr>UNJC0030_IF_LIST_SAISHU_HOHO_START</vt:lpstr>
      <vt:lpstr>UNJC0030_IF_LIST_SOKUHO_KBN_KENSU</vt:lpstr>
      <vt:lpstr>UNJC0030_IF_LIST_SOKUHO_KBN_START</vt:lpstr>
      <vt:lpstr>UNJC0030_IF_LIST_YOKI_HENKYAKU_KENSU</vt:lpstr>
      <vt:lpstr>UNJC0030_IF_LIST_YOKI_HENKYAKU_START</vt:lpstr>
      <vt:lpstr>UNJC0030_IF_MODE</vt:lpstr>
      <vt:lpstr>UNJC0030_IF_MULTI_SELECT_CHECK</vt:lpstr>
      <vt:lpstr>UNJC0030_IF_MULTI_SELECT_COPY_MOTO</vt:lpstr>
      <vt:lpstr>UNJC0030_IF_MULTI_SELECT_FLG</vt:lpstr>
      <vt:lpstr>UNJC0030_IF_MULTI_SELECT_GYO_INCREMENT</vt:lpstr>
      <vt:lpstr>UNJC0030_IF_MULTI_SELECT_GYO_SUSHIKI_COPY_SAKI</vt:lpstr>
      <vt:lpstr>UNJC0030_IF_MULTI_SELECT_KENSU</vt:lpstr>
      <vt:lpstr>UNJC0030_IF_MULTI_SELECT_LIST_GYO</vt:lpstr>
      <vt:lpstr>UNJC0030_IF_MULTI_SELECT_SHOSHIKI_COPY_SAKI</vt:lpstr>
      <vt:lpstr>UNJC0030_IF_MULTI_SELECT_TENKAI_KENSU</vt:lpstr>
      <vt:lpstr>UNJC0030_IF_MULTI_SELECT_TENKAI_START</vt:lpstr>
      <vt:lpstr>UNJC0030_IF_SANSHO_B_COPY_MOTO</vt:lpstr>
      <vt:lpstr>UNJC0030_IF_SANSHO_FLG</vt:lpstr>
      <vt:lpstr>UNJC0030_IF_SANSHO_H_COPY_MOTO</vt:lpstr>
      <vt:lpstr>UNJC0030_IF_SANSHO_LIST_COPY_MOTO</vt:lpstr>
      <vt:lpstr>UNJC0030_IF_SAVE_CHECK_ERROR_KOMOKU</vt:lpstr>
      <vt:lpstr>UNJC0030_IF_SAVE_CHECK_RESULT</vt:lpstr>
      <vt:lpstr>UNJC0030_IF_SAVE_CHECK_START</vt:lpstr>
      <vt:lpstr>UNJC0030_IF_SAVE_COPY_MOTO</vt:lpstr>
      <vt:lpstr>UNJC0030_IF_SAVE_COPY_SAKI</vt:lpstr>
      <vt:lpstr>UNJC0030_IF_SAVE_COPY_START</vt:lpstr>
      <vt:lpstr>UNJC0030_IF_SAVE_ERROR_CHECK</vt:lpstr>
      <vt:lpstr>UNJC0030_IF_SAVE_ERROR_MESSAGE</vt:lpstr>
      <vt:lpstr>UNJC0030_IF_SAVE_KENSU</vt:lpstr>
      <vt:lpstr>UNJC0030_IF_SAVE_LIST_W_USER_ID</vt:lpstr>
      <vt:lpstr>UNJC0030_IF_SAVE_RESULT_CD</vt:lpstr>
      <vt:lpstr>UNJC0030_IF_SAVE_RESULT_JURI_NO</vt:lpstr>
      <vt:lpstr>UNJC0030_IF_SAVE_RESULT_MESSAGE</vt:lpstr>
      <vt:lpstr>UNJC0030_IF_SHINKI_B_COPY_MOTO</vt:lpstr>
      <vt:lpstr>UNJC0030_IF_SHINKI_FLG_COPY_MOTO</vt:lpstr>
      <vt:lpstr>UNJC0030_IF_SHINKI_H_COPY_MOTO</vt:lpstr>
      <vt:lpstr>UNJC0030_IF_SHINKI_LIST_COPY_MOTO</vt:lpstr>
      <vt:lpstr>UNJC0030_IF_SHUSEI_B_COPY_MOTO</vt:lpstr>
      <vt:lpstr>UNJC0030_IF_SHUSEI_H_COPY_MOTO</vt:lpstr>
      <vt:lpstr>UNJC0030_IF_SHUSEI_LIST_COPY_MOTO</vt:lpstr>
      <vt:lpstr>UNJC0030_IF_TANTO_DAY</vt:lpstr>
      <vt:lpstr>UNJC0030_IF_W_MODE</vt:lpstr>
      <vt:lpstr>UNJC0030_IF_W_SERIAL</vt:lpstr>
      <vt:lpstr>UNJC0030_IF_W_SERIAL_CREATE</vt:lpstr>
      <vt:lpstr>UNJC0030_IF_W_USER_ID</vt:lpstr>
      <vt:lpstr>UNJC0030_LABEL_COPY_START</vt:lpstr>
      <vt:lpstr>UNJC0030_LABEL_IF_COPY_MOTO_GYO</vt:lpstr>
      <vt:lpstr>UNJC0030_LABEL_IF_DATA_COUNT</vt:lpstr>
      <vt:lpstr>UNJC0030_LABEL_IF_DATA_START</vt:lpstr>
      <vt:lpstr>UNJC0030_LABEL_IF_LABEL_COPY_MOTO</vt:lpstr>
      <vt:lpstr>UNJC0030_LABEL_IF_LIST_ATENA</vt:lpstr>
      <vt:lpstr>UNJC0030_LABEL_IF_LIST_EDA_NO</vt:lpstr>
      <vt:lpstr>UNJC0030_LABEL_IF_LIST_EIGYO_TANTO_MEI</vt:lpstr>
      <vt:lpstr>UNJC0030_LABEL_IF_LIST_HENKYAKU</vt:lpstr>
      <vt:lpstr>UNJC0030_LABEL_IF_LIST_HOHO</vt:lpstr>
      <vt:lpstr>UNJC0030_LABEL_IF_LIST_JURI_NO</vt:lpstr>
      <vt:lpstr>UNJC0030_LABEL_IF_LIST_KANSEI_DATE</vt:lpstr>
      <vt:lpstr>UNJC0030_LABEL_IF_LIST_NYURYOKU_DATETIME</vt:lpstr>
      <vt:lpstr>UNJC0030_LABEL_IF_LIST_SEIKYU_BUSHO</vt:lpstr>
      <vt:lpstr>UNJC0030_LABEL_IF_LIST_SEIKYU_MEI</vt:lpstr>
      <vt:lpstr>UNJC0030_LABEL_IF_LIST_SEIKYU_TANTO</vt:lpstr>
      <vt:lpstr>UNJC0030_LABEL_IF_LIST_SHIRYO_MEI</vt:lpstr>
      <vt:lpstr>UNJC0030_LABEL_IF_LIST_SHIRYO_SHURUI_MEI</vt:lpstr>
      <vt:lpstr>UNJC0030_LABEL_IF_LIST_TANTO_KANRYO_DATE</vt:lpstr>
      <vt:lpstr>UNJC0030_LABEL_IF_PRINT_AREA</vt:lpstr>
      <vt:lpstr>UNJC0030_LABEL_IF_PRINTER</vt:lpstr>
      <vt:lpstr>UNJC0030_REPORT_CLEAR_AREA</vt:lpstr>
      <vt:lpstr>UNJC0030_REPORT_EDA_START</vt:lpstr>
      <vt:lpstr>UNJC0030_REPORT_H_AREA</vt:lpstr>
      <vt:lpstr>UNJC0030_REPORT_H_COPY_SAKI</vt:lpstr>
      <vt:lpstr>UNJC0030_REPORT_H_SHIRYO_AREA</vt:lpstr>
      <vt:lpstr>UNJC0030_REPORT_IF_B_BUNSEKI_GUN_CD</vt:lpstr>
      <vt:lpstr>UNJC0030_REPORT_IF_B_BUNSEKI_GUN_MEI</vt:lpstr>
      <vt:lpstr>UNJC0030_REPORT_IF_B_COPY_MOTO</vt:lpstr>
      <vt:lpstr>UNJC0030_REPORT_IF_B_DATA_START</vt:lpstr>
      <vt:lpstr>UNJC0030_REPORT_IF_B_EBIKO</vt:lpstr>
      <vt:lpstr>UNJC0030_REPORT_IF_B_EDA</vt:lpstr>
      <vt:lpstr>UNJC0030_REPORT_IF_B_IKKATSU_M</vt:lpstr>
      <vt:lpstr>UNJC0030_REPORT_IF_B_IKKATSU_N</vt:lpstr>
      <vt:lpstr>UNJC0030_REPORT_IF_B_JURI_EDA_NO</vt:lpstr>
      <vt:lpstr>UNJC0030_REPORT_IF_B_JURI_NO</vt:lpstr>
      <vt:lpstr>UNJC0030_REPORT_IF_B_KION</vt:lpstr>
      <vt:lpstr>UNJC0030_REPORT_IF_B_SAISHU_BASHO</vt:lpstr>
      <vt:lpstr>UNJC0030_REPORT_IF_B_SAISHU_DATE</vt:lpstr>
      <vt:lpstr>UNJC0030_REPORT_IF_B_SAISHU_HOHO</vt:lpstr>
      <vt:lpstr>UNJC0030_REPORT_IF_B_SAISHU_KAISHA_MEI</vt:lpstr>
      <vt:lpstr>UNJC0030_REPORT_IF_B_SAISHU_SHA</vt:lpstr>
      <vt:lpstr>UNJC0030_REPORT_IF_B_SAISHU_TIME</vt:lpstr>
      <vt:lpstr>UNJC0030_REPORT_IF_B_SHIRYO_AREA</vt:lpstr>
      <vt:lpstr>UNJC0030_REPORT_IF_B_SHIRYO_MEI</vt:lpstr>
      <vt:lpstr>UNJC0030_REPORT_IF_B_SHIRYO_SHURUI_MEI</vt:lpstr>
      <vt:lpstr>UNJC0030_REPORT_IF_B_SUION</vt:lpstr>
      <vt:lpstr>UNJC0030_REPORT_IF_B_TENKO</vt:lpstr>
      <vt:lpstr>UNJC0030_REPORT_IF_EDA_CNT</vt:lpstr>
      <vt:lpstr>UNJC0030_REPORT_IF_EDA_SHOSAI_CNT</vt:lpstr>
      <vt:lpstr>UNJC0030_REPORT_IF_H_ADDRESS_1</vt:lpstr>
      <vt:lpstr>UNJC0030_REPORT_IF_H_ADDRESS_2</vt:lpstr>
      <vt:lpstr>UNJC0030_REPORT_IF_H_ADDRESS_3</vt:lpstr>
      <vt:lpstr>UNJC0030_REPORT_IF_H_ATENA</vt:lpstr>
      <vt:lpstr>UNJC0030_REPORT_IF_H_ATENA_CD</vt:lpstr>
      <vt:lpstr>UNJC0030_REPORT_IF_H_BIKO</vt:lpstr>
      <vt:lpstr>UNJC0030_REPORT_IF_H_BUNSEKI_HOHO</vt:lpstr>
      <vt:lpstr>UNJC0030_REPORT_IF_H_BUNSEKI_STS</vt:lpstr>
      <vt:lpstr>UNJC0030_REPORT_IF_H_BUNSEKI_STS_MEI</vt:lpstr>
      <vt:lpstr>UNJC0030_REPORT_IF_H_BUSHO_1</vt:lpstr>
      <vt:lpstr>UNJC0030_REPORT_IF_H_BUSHO_2</vt:lpstr>
      <vt:lpstr>UNJC0030_REPORT_IF_H_BUSHO_3</vt:lpstr>
      <vt:lpstr>UNJC0030_REPORT_IF_H_BUSHO_CD</vt:lpstr>
      <vt:lpstr>UNJC0030_REPORT_IF_H_BUSHO_MEI</vt:lpstr>
      <vt:lpstr>UNJC0030_REPORT_IF_H_BUSU</vt:lpstr>
      <vt:lpstr>UNJC0030_REPORT_IF_H_CHUKAN_DATE_1</vt:lpstr>
      <vt:lpstr>UNJC0030_REPORT_IF_H_CHUKAN_DATE_2</vt:lpstr>
      <vt:lpstr>UNJC0030_REPORT_IF_H_CHUKAN_DATE_3</vt:lpstr>
      <vt:lpstr>UNJC0030_REPORT_IF_H_CHUKAN_NAIYO_1</vt:lpstr>
      <vt:lpstr>UNJC0030_REPORT_IF_H_CHUKAN_NAIYO_2</vt:lpstr>
      <vt:lpstr>UNJC0030_REPORT_IF_H_CHUKAN_NAIYO_3</vt:lpstr>
      <vt:lpstr>UNJC0030_REPORT_IF_H_CHUKAN_SOFU_FLG_1</vt:lpstr>
      <vt:lpstr>UNJC0030_REPORT_IF_H_CHUKAN_SOFU_FLG_2</vt:lpstr>
      <vt:lpstr>UNJC0030_REPORT_IF_H_CHUKAN_SOFU_FLG_3</vt:lpstr>
      <vt:lpstr>UNJC0030_REPORT_IF_H_DEMPYO_HAKKO_KBN</vt:lpstr>
      <vt:lpstr>UNJC0030_REPORT_IF_H_EDA_SHIRYO_FLG</vt:lpstr>
      <vt:lpstr>UNJC0030_REPORT_IF_H_EIGYO_TANTO_CD</vt:lpstr>
      <vt:lpstr>UNJC0030_REPORT_IF_H_EIGYO_TANTO_MEI</vt:lpstr>
      <vt:lpstr>UNJC0030_REPORT_IF_H_FAX_1</vt:lpstr>
      <vt:lpstr>UNJC0030_REPORT_IF_H_FAX_2</vt:lpstr>
      <vt:lpstr>UNJC0030_REPORT_IF_H_FAX_3</vt:lpstr>
      <vt:lpstr>UNJC0030_REPORT_IF_H_FUYO_FLG</vt:lpstr>
      <vt:lpstr>UNJC0030_REPORT_IF_H_GAISO_KBN_MEI</vt:lpstr>
      <vt:lpstr>UNJC0030_REPORT_IF_H_HAKKO_DATE</vt:lpstr>
      <vt:lpstr>UNJC0030_REPORT_IF_H_HENKO_FLG</vt:lpstr>
      <vt:lpstr>UNJC0030_REPORT_IF_H_HENKYAKU</vt:lpstr>
      <vt:lpstr>UNJC0030_REPORT_IF_H_HOKOKU_CD_1</vt:lpstr>
      <vt:lpstr>UNJC0030_REPORT_IF_H_HOKOKU_CD_2</vt:lpstr>
      <vt:lpstr>UNJC0030_REPORT_IF_H_HOKOKU_CD_3</vt:lpstr>
      <vt:lpstr>UNJC0030_REPORT_IF_H_HOKOKU_HOHO_MEI</vt:lpstr>
      <vt:lpstr>UNJC0030_REPORT_IF_H_HOKOKU_MEI_1</vt:lpstr>
      <vt:lpstr>UNJC0030_REPORT_IF_H_HOKOKU_MEI_2</vt:lpstr>
      <vt:lpstr>UNJC0030_REPORT_IF_H_HOKOKU_MEI_3</vt:lpstr>
      <vt:lpstr>UNJC0030_REPORT_IF_H_HOKOKUSHO_SOFU_FLG_1</vt:lpstr>
      <vt:lpstr>UNJC0030_REPORT_IF_H_HOKOKUSHO_SOFU_FLG_2</vt:lpstr>
      <vt:lpstr>UNJC0030_REPORT_IF_H_HOKOKUSHO_SOFU_FLG_3</vt:lpstr>
      <vt:lpstr>UNJC0030_REPORT_IF_H_IRAI_DATE</vt:lpstr>
      <vt:lpstr>UNJC0030_REPORT_IF_H_JUCHU_KBN_MEI</vt:lpstr>
      <vt:lpstr>UNJC0030_REPORT_IF_H_JURI_NO</vt:lpstr>
      <vt:lpstr>UNJC0030_REPORT_IF_H_KANRYO_DATE</vt:lpstr>
      <vt:lpstr>UNJC0030_REPORT_IF_H_KANSEI_DATE</vt:lpstr>
      <vt:lpstr>UNJC0030_REPORT_IF_H_KEISHIKI_KBN_MEI</vt:lpstr>
      <vt:lpstr>UNJC0030_REPORT_IF_H_KENMEI</vt:lpstr>
      <vt:lpstr>UNJC0030_REPORT_IF_H_KION</vt:lpstr>
      <vt:lpstr>UNJC0030_REPORT_IF_H_KISAI_JIKO</vt:lpstr>
      <vt:lpstr>UNJC0030_REPORT_IF_H_KOSU</vt:lpstr>
      <vt:lpstr>UNJC0030_REPORT_IF_H_MAIL_1</vt:lpstr>
      <vt:lpstr>UNJC0030_REPORT_IF_H_MAIL_2</vt:lpstr>
      <vt:lpstr>UNJC0030_REPORT_IF_H_MAIL_3</vt:lpstr>
      <vt:lpstr>UNJC0030_REPORT_IF_H_MITSU_NO</vt:lpstr>
      <vt:lpstr>UNJC0030_REPORT_IF_H_MOKUTEKI</vt:lpstr>
      <vt:lpstr>UNJC0030_REPORT_IF_H_NEW_FLG</vt:lpstr>
      <vt:lpstr>UNJC0030_REPORT_IF_H_NOHIN_DATE</vt:lpstr>
      <vt:lpstr>UNJC0030_REPORT_IF_H_NOHIN_HOHO</vt:lpstr>
      <vt:lpstr>UNJC0030_REPORT_IF_H_NYURYOKU_DATETIME</vt:lpstr>
      <vt:lpstr>UNJC0030_REPORT_IF_H_NYURYOKUSHA_CD</vt:lpstr>
      <vt:lpstr>UNJC0030_REPORT_IF_H_NYURYOKUSHA_MEI</vt:lpstr>
      <vt:lpstr>UNJC0030_REPORT_IF_H_REF_JURI_NO</vt:lpstr>
      <vt:lpstr>UNJC0030_REPORT_IF_H_SAISHU_BASHO</vt:lpstr>
      <vt:lpstr>UNJC0030_REPORT_IF_H_SAISHU_DATE</vt:lpstr>
      <vt:lpstr>UNJC0030_REPORT_IF_H_SAISHU_HOHO</vt:lpstr>
      <vt:lpstr>UNJC0030_REPORT_IF_H_SAISHU_KAISHA_MEI</vt:lpstr>
      <vt:lpstr>UNJC0030_REPORT_IF_H_SAISHU_SHA</vt:lpstr>
      <vt:lpstr>UNJC0030_REPORT_IF_H_SAISHU_TIME</vt:lpstr>
      <vt:lpstr>UNJC0030_REPORT_IF_H_SEIKYU_CD</vt:lpstr>
      <vt:lpstr>UNJC0030_REPORT_IF_H_SEIKYU_MEI</vt:lpstr>
      <vt:lpstr>UNJC0030_REPORT_IF_H_SHOKEN_FLG</vt:lpstr>
      <vt:lpstr>UNJC0030_REPORT_IF_H_SOKUHO_KBN</vt:lpstr>
      <vt:lpstr>UNJC0030_REPORT_IF_H_SOKUHO_KBN_MEI</vt:lpstr>
      <vt:lpstr>UNJC0030_REPORT_IF_H_SOKUHO_SOFU_FLG_1</vt:lpstr>
      <vt:lpstr>UNJC0030_REPORT_IF_H_SOKUHO_SOFU_FLG_2</vt:lpstr>
      <vt:lpstr>UNJC0030_REPORT_IF_H_SOKUHO_SOFU_FLG_3</vt:lpstr>
      <vt:lpstr>UNJC0030_REPORT_IF_H_SUION</vt:lpstr>
      <vt:lpstr>UNJC0030_REPORT_IF_H_TANTO_1</vt:lpstr>
      <vt:lpstr>UNJC0030_REPORT_IF_H_TANTO_2</vt:lpstr>
      <vt:lpstr>UNJC0030_REPORT_IF_H_TANTO_3</vt:lpstr>
      <vt:lpstr>UNJC0030_REPORT_IF_H_TEL_1</vt:lpstr>
      <vt:lpstr>UNJC0030_REPORT_IF_H_TEL_2</vt:lpstr>
      <vt:lpstr>UNJC0030_REPORT_IF_H_TEL_3</vt:lpstr>
      <vt:lpstr>UNJC0030_REPORT_IF_H_TENKO</vt:lpstr>
      <vt:lpstr>UNJC0030_REPORT_IF_H_YOKI</vt:lpstr>
      <vt:lpstr>UNJC0030_REPORT_IF_H_YUBIN_NO_1</vt:lpstr>
      <vt:lpstr>UNJC0030_REPORT_IF_H_YUBIN_NO_2</vt:lpstr>
      <vt:lpstr>UNJC0030_REPORT_IF_H_YUBIN_NO_3</vt:lpstr>
      <vt:lpstr>UNJC0030_REPORT_IF_JUCHU_CNT</vt:lpstr>
      <vt:lpstr>UNJC0030_REPORT_IF_JURI_NO_START</vt:lpstr>
      <vt:lpstr>UNJC0030_REPORT_IF_LOAD_JURI_NO</vt:lpstr>
      <vt:lpstr>UNJC0030_REPORT_IF_LOOP_CNT</vt:lpstr>
      <vt:lpstr>UNJC0030_REPORT_IF_SHOSAI_BUNSEKI_CD</vt:lpstr>
      <vt:lpstr>UNJC0030_REPORT_IF_SHOSAI_BUNSEKI_DATA</vt:lpstr>
      <vt:lpstr>UNJC0030_REPORT_IF_SHOSAI_BUNSEKI_MEI</vt:lpstr>
      <vt:lpstr>UNJC0030_REPORT_IF_SHOSAI_BUNSEKI_NO</vt:lpstr>
      <vt:lpstr>UNJC0030_REPORT_IF_SHOSAI_BUNSEKI_TANI</vt:lpstr>
      <vt:lpstr>UNJC0030_REPORT_IF_SHOSAI_CNT</vt:lpstr>
      <vt:lpstr>UNJC0030_REPORT_IF_SHOSAI_COPY_MOTO</vt:lpstr>
      <vt:lpstr>UNJC0030_REPORT_IF_SHOSAI_COPY_START</vt:lpstr>
      <vt:lpstr>UNJC0030_REPORT_IF_SHOSAI_DATA_START</vt:lpstr>
      <vt:lpstr>UNJC0030_REPORT_IF_SHOSAI_GYO_NO</vt:lpstr>
      <vt:lpstr>UNJC0030_REPORT_IF_SHOSAI_JURI_EDA_NO</vt:lpstr>
      <vt:lpstr>UNJC0030_REPORT_IF_SHOSAI_JURI_NO</vt:lpstr>
      <vt:lpstr>UNJC0030_REPORT_IF_SHOSAI_SEQ</vt:lpstr>
      <vt:lpstr>UNJC0030_REPORT_IF_SHOSAI_URAGAKI_PRINT_FLG</vt:lpstr>
      <vt:lpstr>UNJC0030_REPORT_LAST_ROW</vt:lpstr>
      <vt:lpstr>UNJC0030_REPORT_PRINT_AREA</vt:lpstr>
      <vt:lpstr>UNJC0030_REPORT_SQL_SELECT_BUN_JUCHU_B</vt:lpstr>
      <vt:lpstr>UNJC0030_REPORT_SQL_SELECT_BUN_JUCHU_H</vt:lpstr>
      <vt:lpstr>UNJC0030_REPORT_SQL_SELECT_BUN_JUCHU_SHOSAI</vt:lpstr>
      <vt:lpstr>UNJC0030_SAVE_TEMP_FLG</vt:lpstr>
      <vt:lpstr>UNJC0030_SQL_BUN_SORT</vt:lpstr>
      <vt:lpstr>UNJC0030_SQL_DEFAULT_BUNSEKI_KBN</vt:lpstr>
      <vt:lpstr>UNJC0030_SQL_DEFAULT_DEMPYO_HAKKO_KBN</vt:lpstr>
      <vt:lpstr>UNJC0030_SQL_DEFAULT_NYURYOKUSHA</vt:lpstr>
      <vt:lpstr>UNJC0030_SQL_DEFAULT_STS</vt:lpstr>
      <vt:lpstr>UNJC0030_SQL_MEISHO_BUNSEKI_KBN</vt:lpstr>
      <vt:lpstr>UNJC0030_SQL_MEISHO_BUNSEKIHOHO</vt:lpstr>
      <vt:lpstr>UNJC0030_SQL_MEISHO_DEMPYO_HAKKO</vt:lpstr>
      <vt:lpstr>UNJC0030_SQL_MEISHO_HOKOKU_HOHO</vt:lpstr>
      <vt:lpstr>UNJC0030_SQL_MEISHO_HOKOKUSHO_GAISO</vt:lpstr>
      <vt:lpstr>UNJC0030_SQL_MEISHO_HOKOKUSHO_KEISHIKI_KBN</vt:lpstr>
      <vt:lpstr>UNJC0030_SQL_MEISHO_SAISHU_HOHO</vt:lpstr>
      <vt:lpstr>UNJC0030_SQL_MEISHO_SHIRYO_YOKI_HENKYAKU</vt:lpstr>
      <vt:lpstr>UNJC0030_SQL_MEISHO_SOKUHO_KBN</vt:lpstr>
      <vt:lpstr>UNJC0030_SQL_MULTI_SELECT</vt:lpstr>
      <vt:lpstr>UNJC0030_SQL_SELECT_1WORKDAY_AGO</vt:lpstr>
      <vt:lpstr>UNJC0030_SQL_SELECT_BUN_JUCHU_B</vt:lpstr>
      <vt:lpstr>UNJC0030_SQL_SELECT_BUN_JUCHU_H</vt:lpstr>
      <vt:lpstr>UNJC0030_SQL_SELECT_BUN_JUCHU_H_STS_R</vt:lpstr>
      <vt:lpstr>UNJC0030_SQL_SELECT_BUN_JUCHU_SHOSAI</vt:lpstr>
      <vt:lpstr>UNJC0030_SQL_SELECT_BUNSEKI_GUN</vt:lpstr>
      <vt:lpstr>UNJC0030_SQL_SELECT_EXCEL</vt:lpstr>
      <vt:lpstr>UNJC0030_SQL_SELECT_FAX_NO</vt:lpstr>
      <vt:lpstr>UNJC0030_SQL_SELECT_JUMP_EDA</vt:lpstr>
      <vt:lpstr>UNJC0030_SQL_SELECT_LABEL_DATA</vt:lpstr>
      <vt:lpstr>UNJC0030_SQL_SELECT_MAX_EDA</vt:lpstr>
      <vt:lpstr>UNJC0030_SQL_SELECT_NEW_EDA</vt:lpstr>
      <vt:lpstr>UNJC0030_SQL_SELECT_TABLE_UPDATE</vt:lpstr>
      <vt:lpstr>UNJC0030_SQL_STS_SEARCH</vt:lpstr>
      <vt:lpstr>UNJC0040_AFTER_STS</vt:lpstr>
      <vt:lpstr>UNJC0040_ALL_PAGE_SU</vt:lpstr>
      <vt:lpstr>UNJC0040_ATENA</vt:lpstr>
      <vt:lpstr>UNJC0040_BEFORE_STS</vt:lpstr>
      <vt:lpstr>UNJC0040_BUNSEKI_KBN</vt:lpstr>
      <vt:lpstr>UNJC0040_COPY_SAKI</vt:lpstr>
      <vt:lpstr>UNJC0040_CTRL_HYOJI_GYO_SU</vt:lpstr>
      <vt:lpstr>UNJC0040_EXIST_NEXT_PAGE</vt:lpstr>
      <vt:lpstr>UNJC0040_EXIST_PREV_PAGE</vt:lpstr>
      <vt:lpstr>UNJC0040_FORMAT_COPY_FLG</vt:lpstr>
      <vt:lpstr>UNJC0040_HIDE_COLUMN</vt:lpstr>
      <vt:lpstr>UNJC0040_HIDE_ROW</vt:lpstr>
      <vt:lpstr>UNJC0040_HYOJI_KENSU</vt:lpstr>
      <vt:lpstr>UNJC0040_IF_JURI_NO</vt:lpstr>
      <vt:lpstr>UNJC0040_IF_LIST_COPY_MOTO</vt:lpstr>
      <vt:lpstr>UNJC0040_IF_LIST_DEFAULT</vt:lpstr>
      <vt:lpstr>UNJC0040_JURI_NO</vt:lpstr>
      <vt:lpstr>UNJC0040_KENMEI</vt:lpstr>
      <vt:lpstr>UNJC0040_KENSAKU_KENSU</vt:lpstr>
      <vt:lpstr>UNJC0040_LIST_CLEAR</vt:lpstr>
      <vt:lpstr>UNJC0040_LIST_START</vt:lpstr>
      <vt:lpstr>UNJC0040_NEXT_PAGE_NO</vt:lpstr>
      <vt:lpstr>UNJC0040_PAGE_NO</vt:lpstr>
      <vt:lpstr>UNJC0040_PREV_PAGE_NO</vt:lpstr>
      <vt:lpstr>UNJC0040_SEARCH_JURI_NO</vt:lpstr>
      <vt:lpstr>UNJC0040_SQL_INIT_SORT</vt:lpstr>
      <vt:lpstr>UNJC0040_SQL_RESULT_SORT</vt:lpstr>
      <vt:lpstr>UNJC0040_SQL_SELECT_BUN_STS_R_B</vt:lpstr>
      <vt:lpstr>UNJC0040_SQL_SELECT_BUN_STS_R_B_CNT</vt:lpstr>
      <vt:lpstr>UNJC0040_SQL_SELECT_BUN_STS_R_H</vt:lpstr>
      <vt:lpstr>UNJC0040_SQL_SORT</vt:lpstr>
      <vt:lpstr>UNJC0040_UPDATE_DATETIME</vt:lpstr>
      <vt:lpstr>UNJC0040_UPDATE_TANTOSHA_MEI</vt:lpstr>
      <vt:lpstr>UNJC0040_VIEW_CURRENT_PAGE</vt:lpstr>
      <vt:lpstr>UNJC0060_B_ALL_PAGE_SU</vt:lpstr>
      <vt:lpstr>UNJC0060_B_ATENA</vt:lpstr>
      <vt:lpstr>UNJC0060_B_ATENA_CD</vt:lpstr>
      <vt:lpstr>UNJC0060_B_BUNSEKI_KBN</vt:lpstr>
      <vt:lpstr>UNJC0060_B_CHUKAN_1</vt:lpstr>
      <vt:lpstr>UNJC0060_B_CHUKAN_2</vt:lpstr>
      <vt:lpstr>UNJC0060_B_CHUKAN_3</vt:lpstr>
      <vt:lpstr>UNJC0060_B_CTRL_HYOJI_GYO_SU</vt:lpstr>
      <vt:lpstr>UNJC0060_B_EIGYO_TANTO_CD</vt:lpstr>
      <vt:lpstr>UNJC0060_B_EIGYO_TANTOSHA_MEI</vt:lpstr>
      <vt:lpstr>UNJC0060_B_EXIST_NEXT_PAGE</vt:lpstr>
      <vt:lpstr>UNJC0060_B_EXIST_PREV_PAGE</vt:lpstr>
      <vt:lpstr>UNJC0060_B_FLG</vt:lpstr>
      <vt:lpstr>UNJC0060_B_FORMAT_COPY_FLG</vt:lpstr>
      <vt:lpstr>UNJC0060_B_FREEWD</vt:lpstr>
      <vt:lpstr>UNJC0060_B_HIDE_COLUMN</vt:lpstr>
      <vt:lpstr>UNJC0060_B_HIDE_ROW</vt:lpstr>
      <vt:lpstr>UNJC0060_B_HOKOKUSHO_KEISHIKI</vt:lpstr>
      <vt:lpstr>UNJC0060_B_HYOJI_KENSU</vt:lpstr>
      <vt:lpstr>UNJC0060_B_IRAI_DATE</vt:lpstr>
      <vt:lpstr>UNJC0060_B_JUCHU_CD</vt:lpstr>
      <vt:lpstr>UNJC0060_B_JURI_NO</vt:lpstr>
      <vt:lpstr>UNJC0060_B_KANSEI_DATE</vt:lpstr>
      <vt:lpstr>UNJC0060_B_KEISHIKI_CD</vt:lpstr>
      <vt:lpstr>UNJC0060_B_KENMEI</vt:lpstr>
      <vt:lpstr>UNJC0060_B_KENSAKU_KENSU</vt:lpstr>
      <vt:lpstr>UNJC0060_B_LIST_CLEAR</vt:lpstr>
      <vt:lpstr>UNJC0060_B_LIST_START</vt:lpstr>
      <vt:lpstr>UNJC0060_B_MITSUMORI_NO</vt:lpstr>
      <vt:lpstr>UNJC0060_B_NEXT_PAGE_NO</vt:lpstr>
      <vt:lpstr>UNJC0060_B_NOHIN_DATE</vt:lpstr>
      <vt:lpstr>UNJC0060_B_NYURYOKU_DATE</vt:lpstr>
      <vt:lpstr>UNJC0060_B_NYURYOKU_TANTOSHA_MEI</vt:lpstr>
      <vt:lpstr>UNJC0060_B_NYURYOKUSHA_CD</vt:lpstr>
      <vt:lpstr>UNJC0060_B_PAGE_NO</vt:lpstr>
      <vt:lpstr>UNJC0060_B_PREV_PAGE_NO</vt:lpstr>
      <vt:lpstr>UNJC0060_B_ROW</vt:lpstr>
      <vt:lpstr>UNJC0060_B_SCROLL_LOCK</vt:lpstr>
      <vt:lpstr>UNJC0060_B_SEIKYUSAKI_CD</vt:lpstr>
      <vt:lpstr>UNJC0060_B_SEIKYUSAKI_MEI</vt:lpstr>
      <vt:lpstr>UNJC0060_B_SELECT_FLG_COPY_SAKI</vt:lpstr>
      <vt:lpstr>UNJC0060_B_SENTAKU</vt:lpstr>
      <vt:lpstr>UNJC0060_B_SHOSIKI_COPY_SAKI</vt:lpstr>
      <vt:lpstr>UNJC0060_B_STS</vt:lpstr>
      <vt:lpstr>UNJC0060_B_STS_CD</vt:lpstr>
      <vt:lpstr>UNJC0060_B_VIEW_CURRENT_PAGE</vt:lpstr>
      <vt:lpstr>UNJC0060_H_ATENA</vt:lpstr>
      <vt:lpstr>UNJC0060_H_ATENA_CD</vt:lpstr>
      <vt:lpstr>UNJC0060_H_BUNSEKI_HOKAN_STS</vt:lpstr>
      <vt:lpstr>UNJC0060_H_BUNSEKIKUBUN</vt:lpstr>
      <vt:lpstr>UNJC0060_H_BUNSEKIKUBUN_KBN</vt:lpstr>
      <vt:lpstr>UNJC0060_H_CHUDAN_STS</vt:lpstr>
      <vt:lpstr>UNJC0060_H_CHUKAN_DATE_END</vt:lpstr>
      <vt:lpstr>UNJC0060_H_CHUKAN_DATE_START</vt:lpstr>
      <vt:lpstr>UNJC0060_H_CHUKAN_STS</vt:lpstr>
      <vt:lpstr>UNJC0060_H_CHUSHI_STS</vt:lpstr>
      <vt:lpstr>UNJC0060_H_EIGYO_STS</vt:lpstr>
      <vt:lpstr>UNJC0060_H_EIGYO_TANTO_CD</vt:lpstr>
      <vt:lpstr>UNJC0060_H_EIGYO_TANTOSHA_MEI</vt:lpstr>
      <vt:lpstr>UNJC0060_H_FORM_UPPER_LEFT</vt:lpstr>
      <vt:lpstr>UNJC0060_H_FREEWD_1</vt:lpstr>
      <vt:lpstr>UNJC0060_H_FREEWD_2</vt:lpstr>
      <vt:lpstr>UNJC0060_H_FREEWD_3</vt:lpstr>
      <vt:lpstr>UNJC0060_H_FREEWD_KBN</vt:lpstr>
      <vt:lpstr>UNJC0060_H_GIJUTSU_STS</vt:lpstr>
      <vt:lpstr>UNJC0060_H_HIDE_COLUMN</vt:lpstr>
      <vt:lpstr>UNJC0060_H_HIDE_ROW</vt:lpstr>
      <vt:lpstr>UNJC0060_H_HOKOKU_KEISHIKI</vt:lpstr>
      <vt:lpstr>UNJC0060_H_HOKOKU_KEISHIKI_CD</vt:lpstr>
      <vt:lpstr>UNJC0060_H_INIT_HEADER_FLG_COPY_SAKI</vt:lpstr>
      <vt:lpstr>UNJC0060_H_IRAI_DATE_END</vt:lpstr>
      <vt:lpstr>UNJC0060_H_IRAI_DATE_START</vt:lpstr>
      <vt:lpstr>UNJC0060_H_JURI_NO</vt:lpstr>
      <vt:lpstr>UNJC0060_H_KAKUNIN2_STS</vt:lpstr>
      <vt:lpstr>UNJC0060_H_KAKUTEIMI_STS</vt:lpstr>
      <vt:lpstr>UNJC0060_H_KANSEI_DATE_END</vt:lpstr>
      <vt:lpstr>UNJC0060_H_KANSEI_DATE_START</vt:lpstr>
      <vt:lpstr>UNJC0060_H_MITSUMORI_NO</vt:lpstr>
      <vt:lpstr>UNJC0060_H_NOHIN_DATE_END</vt:lpstr>
      <vt:lpstr>UNJC0060_H_NOHIN_DATE_START</vt:lpstr>
      <vt:lpstr>UNJC0060_H_NOHIN_STS</vt:lpstr>
      <vt:lpstr>UNJC0060_H_NYURYOKU_DATE_END</vt:lpstr>
      <vt:lpstr>UNJC0060_H_NYURYOKU_DATE_START</vt:lpstr>
      <vt:lpstr>UNJC0060_H_NYURYOKUSHA_CD</vt:lpstr>
      <vt:lpstr>UNJC0060_H_NYURYOKUSHA_MEI</vt:lpstr>
      <vt:lpstr>UNJC0060_H_SEIKYUSAKI_CD</vt:lpstr>
      <vt:lpstr>UNJC0060_H_SEIKYUSAKI_MEI</vt:lpstr>
      <vt:lpstr>UNJC0060_H_SIRYO_MEI</vt:lpstr>
      <vt:lpstr>UNJC0060_H_SIRYO_SHURUI</vt:lpstr>
      <vt:lpstr>UNJC0060_H_SOKUHO_STS</vt:lpstr>
      <vt:lpstr>UNJC0060_H_TEISEI_STS</vt:lpstr>
      <vt:lpstr>UNJC0060_H_UKETSUKE_STS</vt:lpstr>
      <vt:lpstr>UNJC0060_IF_ACTIVE_CELL_NAME</vt:lpstr>
      <vt:lpstr>UNJC0060_IF_ACTIVE_COLUMN</vt:lpstr>
      <vt:lpstr>UNJC0060_IF_ACTIVE_ROW</vt:lpstr>
      <vt:lpstr>UNJC0060_IF_ACTIVE_SHEET</vt:lpstr>
      <vt:lpstr>UNJC0060_IF_B_FLG_COPY_MOTO</vt:lpstr>
      <vt:lpstr>UNJC0060_IF_B_LIST_COPY_MOTO</vt:lpstr>
      <vt:lpstr>UNJC0060_IF_B_LIST_DEFAULT</vt:lpstr>
      <vt:lpstr>UNJC0060_IF_CREATE_W_SERIAL</vt:lpstr>
      <vt:lpstr>UNJC0060_IF_DATA_SEARCH_FLG</vt:lpstr>
      <vt:lpstr>UNJC0060_IF_INIT_HEADER_COPY_MOTO</vt:lpstr>
      <vt:lpstr>UNJC0060_IF_INIT_HEADER_COPY_SAKI</vt:lpstr>
      <vt:lpstr>UNJC0060_IF_INIT_HEADER_FLG_COPY_MOTO</vt:lpstr>
      <vt:lpstr>UNJC0060_IF_LIST_BUNSEKI_KBN_HOHO_KENSU</vt:lpstr>
      <vt:lpstr>UNJC0060_IF_LIST_BUNSEKI_KBN_TENKAIICHI</vt:lpstr>
      <vt:lpstr>UNJC0060_IF_SAVE_COPY_MOTO</vt:lpstr>
      <vt:lpstr>UNJC0060_IF_SAVE_COPY_SAKI</vt:lpstr>
      <vt:lpstr>UNJC0060_IF_SAVE_COPY_START</vt:lpstr>
      <vt:lpstr>UNJC0060_IF_SAVE_COUNT</vt:lpstr>
      <vt:lpstr>UNJC0060_IF_SAVE_ERROR_CHECK</vt:lpstr>
      <vt:lpstr>UNJC0060_IF_SAVE_ERROR_MESSAGE</vt:lpstr>
      <vt:lpstr>UNJC0060_IF_SAVE_KENSU</vt:lpstr>
      <vt:lpstr>UNJC0060_IF_SAVE_RESULT_CD</vt:lpstr>
      <vt:lpstr>UNJC0060_IF_SAVE_RESULT_MESSAGE</vt:lpstr>
      <vt:lpstr>UNJC0060_IF_SAVE_START</vt:lpstr>
      <vt:lpstr>UNJC0060_IF_SAVE_W_MODE</vt:lpstr>
      <vt:lpstr>UNJC0060_IF_SAVE_W_SERIAL</vt:lpstr>
      <vt:lpstr>UNJC0060_IF_SAVE_W_USER_ID</vt:lpstr>
      <vt:lpstr>UNJC0060_SQL_ATENA_CD</vt:lpstr>
      <vt:lpstr>UNJC0060_SQL_ATENA_MEI</vt:lpstr>
      <vt:lpstr>UNJC0060_SQL_BUNSEKI_HOKAN_STS</vt:lpstr>
      <vt:lpstr>UNJC0060_SQL_BUNSEKI_KBN_LIST</vt:lpstr>
      <vt:lpstr>UNJC0060_SQL_BUNSEKIKUBUN_KBN</vt:lpstr>
      <vt:lpstr>UNJC0060_SQL_CHUDAN_STS</vt:lpstr>
      <vt:lpstr>UNJC0060_SQL_CHUKAN_DATE_END</vt:lpstr>
      <vt:lpstr>UNJC0060_SQL_CHUKAN_DATE_START</vt:lpstr>
      <vt:lpstr>UNJC0060_SQL_CHUKAN_STS</vt:lpstr>
      <vt:lpstr>UNJC0060_SQL_CHUSHI_STS</vt:lpstr>
      <vt:lpstr>UNJC0060_SQL_EIGYO_STS</vt:lpstr>
      <vt:lpstr>UNJC0060_SQL_EIGYO_TANTO_CD</vt:lpstr>
      <vt:lpstr>UNJC0060_SQL_FREEWD_1</vt:lpstr>
      <vt:lpstr>UNJC0060_SQL_FREEWD_2</vt:lpstr>
      <vt:lpstr>UNJC0060_SQL_FREEWD_3</vt:lpstr>
      <vt:lpstr>UNJC0060_SQL_FREEWD_KBN</vt:lpstr>
      <vt:lpstr>UNJC0060_SQL_FREEWORD1</vt:lpstr>
      <vt:lpstr>UNJC0060_SQL_FREEWORD2</vt:lpstr>
      <vt:lpstr>UNJC0060_SQL_FREEWORD3</vt:lpstr>
      <vt:lpstr>UNJC0060_SQL_GIJUTSU_STS</vt:lpstr>
      <vt:lpstr>UNJC0060_SQL_HOKOKU_KEISHIKI_CD</vt:lpstr>
      <vt:lpstr>UNJC0060_SQL_IRAI_DATE_END</vt:lpstr>
      <vt:lpstr>UNJC0060_SQL_IRAI_DATE_START</vt:lpstr>
      <vt:lpstr>UNJC0060_SQL_JOKEN_COPY_MOTO</vt:lpstr>
      <vt:lpstr>UNJC0060_SQL_JOKEN_COPY_SAKI</vt:lpstr>
      <vt:lpstr>UNJC0060_SQL_JURI_NO</vt:lpstr>
      <vt:lpstr>UNJC0060_SQL_KAKUNIN2_STS</vt:lpstr>
      <vt:lpstr>UNJC0060_SQL_KAKUTEIMI_STS</vt:lpstr>
      <vt:lpstr>UNJC0060_SQL_KANSEI_DATE_END</vt:lpstr>
      <vt:lpstr>UNJC0060_SQL_KANSEI_DATE_START</vt:lpstr>
      <vt:lpstr>UNJC0060_SQL_KEIRYOHOKOKUSHO</vt:lpstr>
      <vt:lpstr>UNJC0060_SQL_MITSUMORI_NO</vt:lpstr>
      <vt:lpstr>UNJC0060_SQL_NOHIN_DATE_END</vt:lpstr>
      <vt:lpstr>UNJC0060_SQL_NOHIN_DATE_START</vt:lpstr>
      <vt:lpstr>UNJC0060_SQL_NOHIN_STS</vt:lpstr>
      <vt:lpstr>UNJC0060_SQL_NYURYOKU_DATE_END</vt:lpstr>
      <vt:lpstr>UNJC0060_SQL_NYURYOKU_DATE_START</vt:lpstr>
      <vt:lpstr>UNJC0060_SQL_NYURYOKUSHA_CD</vt:lpstr>
      <vt:lpstr>UNJC0060_SQL_SEIKYUSAKI_CD</vt:lpstr>
      <vt:lpstr>UNJC0060_SQL_SELECT_BUN_IRAI_PRINT_CNT</vt:lpstr>
      <vt:lpstr>UNJC0060_SQL_SELECT_BUN_REPORT_BAT_LIST</vt:lpstr>
      <vt:lpstr>UNJC0060_SQL_SELECT_INIT_SORT</vt:lpstr>
      <vt:lpstr>UNJC0060_SQL_SELECT_JURI_NO</vt:lpstr>
      <vt:lpstr>UNJC0060_SQL_SELECT_SORT</vt:lpstr>
      <vt:lpstr>UNJC0060_SQL_SELECT_W_BUN_IRAI_PRINT_UPDATE</vt:lpstr>
      <vt:lpstr>UNJC0060_SQL_SELECT_W_BUN_REPORT_BAT</vt:lpstr>
      <vt:lpstr>UNJC0060_SQL_SHIKENHOKOKUSHO</vt:lpstr>
      <vt:lpstr>UNJC0060_SQL_SHIRYO_MEI</vt:lpstr>
      <vt:lpstr>UNJC0060_SQL_SHIRYO_SHURUI</vt:lpstr>
      <vt:lpstr>UNJC0060_SQL_SOKUHO_STS</vt:lpstr>
      <vt:lpstr>UNJC0060_SQL_SORT</vt:lpstr>
      <vt:lpstr>UNJC0060_SQL_TEISEI_STS</vt:lpstr>
      <vt:lpstr>UNJC0060_SQL_UKETSUKE_STS</vt:lpstr>
      <vt:lpstr>UNJC0070_B_ALL_PAGE_SU</vt:lpstr>
      <vt:lpstr>UNJC0070_B_ATENA</vt:lpstr>
      <vt:lpstr>UNJC0070_B_ATENA_CD</vt:lpstr>
      <vt:lpstr>UNJC0070_B_BUNSEKI_KBN</vt:lpstr>
      <vt:lpstr>UNJC0070_B_CHUKAN_1</vt:lpstr>
      <vt:lpstr>UNJC0070_B_CHUKAN_2</vt:lpstr>
      <vt:lpstr>UNJC0070_B_CHUKAN_3</vt:lpstr>
      <vt:lpstr>UNJC0070_B_COPY_SAKI</vt:lpstr>
      <vt:lpstr>UNJC0070_B_CTRL_HYOJI_GYO_SU</vt:lpstr>
      <vt:lpstr>UNJC0070_B_EDA</vt:lpstr>
      <vt:lpstr>UNJC0070_B_EIGYO_TANTOSHA_MEI</vt:lpstr>
      <vt:lpstr>UNJC0070_B_EXIST_NEXT_PAGE</vt:lpstr>
      <vt:lpstr>UNJC0070_B_EXIST_PREV_PAGE</vt:lpstr>
      <vt:lpstr>UNJC0070_B_FLG</vt:lpstr>
      <vt:lpstr>UNJC0070_B_FORMAT_COPY_FLG</vt:lpstr>
      <vt:lpstr>UNJC0070_B_HIDE_COLUMN</vt:lpstr>
      <vt:lpstr>UNJC0070_B_HIDE_ROW</vt:lpstr>
      <vt:lpstr>UNJC0070_B_HOKOKUSHO_KEISHIKI</vt:lpstr>
      <vt:lpstr>UNJC0070_B_HYOJI_KENSU</vt:lpstr>
      <vt:lpstr>UNJC0070_B_IRAI_DATE</vt:lpstr>
      <vt:lpstr>UNJC0070_B_JURI_NO</vt:lpstr>
      <vt:lpstr>UNJC0070_B_KANSEI_DATE</vt:lpstr>
      <vt:lpstr>UNJC0070_B_KENSAKU_KENSU</vt:lpstr>
      <vt:lpstr>UNJC0070_B_LIST_CLEAR</vt:lpstr>
      <vt:lpstr>UNJC0070_B_LIST_START</vt:lpstr>
      <vt:lpstr>UNJC0070_B_MITSUMORI_NO</vt:lpstr>
      <vt:lpstr>UNJC0070_B_NEXT_PAGE_NO</vt:lpstr>
      <vt:lpstr>UNJC0070_B_NOHIN_DATE</vt:lpstr>
      <vt:lpstr>UNJC0070_B_NYURYOKU_TANTOSHA_MEI</vt:lpstr>
      <vt:lpstr>UNJC0070_B_PAGE_NO</vt:lpstr>
      <vt:lpstr>UNJC0070_B_PREV_PAGE_NO</vt:lpstr>
      <vt:lpstr>UNJC0070_B_ROW</vt:lpstr>
      <vt:lpstr>UNJC0070_B_SCROLL_LOCK</vt:lpstr>
      <vt:lpstr>UNJC0070_B_SEIKYUSAKI_CD</vt:lpstr>
      <vt:lpstr>UNJC0070_B_SEIKYUSAKI_MEI</vt:lpstr>
      <vt:lpstr>UNJC0070_B_SELECT_FLG_COPY_SAKI</vt:lpstr>
      <vt:lpstr>UNJC0070_B_SENTAKU</vt:lpstr>
      <vt:lpstr>UNJC0070_B_SIRYO_MEI</vt:lpstr>
      <vt:lpstr>UNJC0070_B_SIRYO_SHURUI</vt:lpstr>
      <vt:lpstr>UNJC0070_B_STS</vt:lpstr>
      <vt:lpstr>UNJC0070_B_VIEW_CURRENT_PAGE</vt:lpstr>
      <vt:lpstr>UNJC0070_H_ATENA</vt:lpstr>
      <vt:lpstr>UNJC0070_H_ATENA_CD</vt:lpstr>
      <vt:lpstr>UNJC0070_H_BUNSEKIKUBUN</vt:lpstr>
      <vt:lpstr>UNJC0070_H_BUNSEKIKUBUN_KBN</vt:lpstr>
      <vt:lpstr>UNJC0070_H_CHUDAN_STS</vt:lpstr>
      <vt:lpstr>UNJC0070_H_CHUKAN_DATE_END</vt:lpstr>
      <vt:lpstr>UNJC0070_H_CHUKAN_DATE_START</vt:lpstr>
      <vt:lpstr>UNJC0070_H_CHUKAN_STS</vt:lpstr>
      <vt:lpstr>UNJC0070_H_CHUSHI_STS</vt:lpstr>
      <vt:lpstr>UNJC0070_H_EDA</vt:lpstr>
      <vt:lpstr>UNJC0070_H_EIGYO_STS</vt:lpstr>
      <vt:lpstr>UNJC0070_H_EIGYO_TANTO_CD</vt:lpstr>
      <vt:lpstr>UNJC0070_H_EIGYO_TANTOSHA_MEI</vt:lpstr>
      <vt:lpstr>UNJC0070_H_FORM_UPPER_LEFT</vt:lpstr>
      <vt:lpstr>UNJC0070_H_FREEWD_1</vt:lpstr>
      <vt:lpstr>UNJC0070_H_FREEWD_2</vt:lpstr>
      <vt:lpstr>UNJC0070_H_FREEWD_3</vt:lpstr>
      <vt:lpstr>UNJC0070_H_FREEWD_KBN</vt:lpstr>
      <vt:lpstr>UNJC0070_H_GIJUTSU_STS</vt:lpstr>
      <vt:lpstr>UNJC0070_H_HIDE_COLUMN</vt:lpstr>
      <vt:lpstr>UNJC0070_H_HIDE_ROW</vt:lpstr>
      <vt:lpstr>UNJC0070_H_HOKOKU_KEISHIKI</vt:lpstr>
      <vt:lpstr>UNJC0070_H_HOKOKU_KEISHIKI_CD</vt:lpstr>
      <vt:lpstr>UNJC0070_H_INIT_HEADER_FLG_COPY_SAKI</vt:lpstr>
      <vt:lpstr>UNJC0070_H_IRAI_DATE_END</vt:lpstr>
      <vt:lpstr>UNJC0070_H_IRAI_DATE_START</vt:lpstr>
      <vt:lpstr>UNJC0070_H_JURI_NO</vt:lpstr>
      <vt:lpstr>UNJC0070_H_KAKUNIN2_STS</vt:lpstr>
      <vt:lpstr>UNJC0070_H_KAKUTEIMI_STS</vt:lpstr>
      <vt:lpstr>UNJC0070_H_KANSEI_DATE_END</vt:lpstr>
      <vt:lpstr>UNJC0070_H_KANSEI_DATE_START</vt:lpstr>
      <vt:lpstr>UNJC0070_H_MITSUMORI_NO</vt:lpstr>
      <vt:lpstr>UNJC0070_H_NOHIN_DATE_END</vt:lpstr>
      <vt:lpstr>UNJC0070_H_NOHIN_DATE_START</vt:lpstr>
      <vt:lpstr>UNJC0070_H_NOHIN_STS</vt:lpstr>
      <vt:lpstr>UNJC0070_H_NYURYOKU_DATE_END</vt:lpstr>
      <vt:lpstr>UNJC0070_H_NYURYOKU_DATE_START</vt:lpstr>
      <vt:lpstr>UNJC0070_H_NYURYOKUSHA_CD</vt:lpstr>
      <vt:lpstr>UNJC0070_H_NYURYOKUSHA_MEI</vt:lpstr>
      <vt:lpstr>UNJC0070_H_SEIKYUSAKI_CD</vt:lpstr>
      <vt:lpstr>UNJC0070_H_SEIKYUSAKI_MEI</vt:lpstr>
      <vt:lpstr>UNJC0070_H_SIRYO_MEI</vt:lpstr>
      <vt:lpstr>UNJC0070_H_SIRYO_SHURUI</vt:lpstr>
      <vt:lpstr>UNJC0070_H_SOKUHO_STS</vt:lpstr>
      <vt:lpstr>UNJC0070_H_TEISEI_STS</vt:lpstr>
      <vt:lpstr>UNJC0070_H_UKETSUKE_STS</vt:lpstr>
      <vt:lpstr>UNJC0070_IF_ACTIVE_CELL_NAME</vt:lpstr>
      <vt:lpstr>UNJC0070_IF_ACTIVE_COLUMN</vt:lpstr>
      <vt:lpstr>UNJC0070_IF_ACTIVE_ROW</vt:lpstr>
      <vt:lpstr>UNJC0070_IF_ACTIVE_SHEET</vt:lpstr>
      <vt:lpstr>UNJC0070_IF_B_FLG_COPY_MOTO</vt:lpstr>
      <vt:lpstr>UNJC0070_IF_B_LIST_COPY_MOTO</vt:lpstr>
      <vt:lpstr>UNJC0070_IF_B_LIST_DEFAULT</vt:lpstr>
      <vt:lpstr>UNJC0070_IF_CREATE_W_SERIAL</vt:lpstr>
      <vt:lpstr>UNJC0070_IF_DATA_SEARCH_FLG</vt:lpstr>
      <vt:lpstr>UNJC0070_IF_INIT_HEADER_COPY_MOTO</vt:lpstr>
      <vt:lpstr>UNJC0070_IF_INIT_HEADER_COPY_SAKI</vt:lpstr>
      <vt:lpstr>UNJC0070_IF_INIT_HEADER_FLG_COPY_MOTO</vt:lpstr>
      <vt:lpstr>UNJC0070_IF_LIST_BUNSEKI_KBN_HOHO_KENSU</vt:lpstr>
      <vt:lpstr>UNJC0070_IF_LIST_BUNSEKI_KBN_TENKAIICHI</vt:lpstr>
      <vt:lpstr>UNJC0070_IF_SAVE_COPY_MOTO</vt:lpstr>
      <vt:lpstr>UNJC0070_IF_SAVE_COPY_SAKI</vt:lpstr>
      <vt:lpstr>UNJC0070_IF_SAVE_COPY_START</vt:lpstr>
      <vt:lpstr>UNJC0070_IF_SAVE_COUNT</vt:lpstr>
      <vt:lpstr>UNJC0070_IF_SAVE_ERROR_CHECK</vt:lpstr>
      <vt:lpstr>UNJC0070_IF_SAVE_ERROR_MESSAGE</vt:lpstr>
      <vt:lpstr>UNJC0070_IF_SAVE_KENSU</vt:lpstr>
      <vt:lpstr>UNJC0070_IF_SAVE_RESULT_CD</vt:lpstr>
      <vt:lpstr>UNJC0070_IF_SAVE_RESULT_MESSAGE</vt:lpstr>
      <vt:lpstr>UNJC0070_IF_SAVE_START</vt:lpstr>
      <vt:lpstr>UNJC0070_IF_SAVE_W_MODE</vt:lpstr>
      <vt:lpstr>UNJC0070_IF_SAVE_W_SERIAL</vt:lpstr>
      <vt:lpstr>UNJC0070_IF_SAVE_W_USER_ID</vt:lpstr>
      <vt:lpstr>UNJC0070_SQL_ATENA_CD</vt:lpstr>
      <vt:lpstr>UNJC0070_SQL_ATENA_MEI</vt:lpstr>
      <vt:lpstr>UNJC0070_SQL_BUNSEKI_KBN_LIST</vt:lpstr>
      <vt:lpstr>UNJC0070_SQL_BUNSEKIKUBUN_KBN</vt:lpstr>
      <vt:lpstr>UNJC0070_SQL_CHUDAN_STS</vt:lpstr>
      <vt:lpstr>UNJC0070_SQL_CHUKAN_DATE_END</vt:lpstr>
      <vt:lpstr>UNJC0070_SQL_CHUKAN_DATE_START</vt:lpstr>
      <vt:lpstr>UNJC0070_SQL_CHUKAN_STS</vt:lpstr>
      <vt:lpstr>UNJC0070_SQL_CHUSHI_STS</vt:lpstr>
      <vt:lpstr>UNJC0070_SQL_EDA</vt:lpstr>
      <vt:lpstr>UNJC0070_SQL_EIGYO_STS</vt:lpstr>
      <vt:lpstr>UNJC0070_SQL_EIGYO_TANTO_CD</vt:lpstr>
      <vt:lpstr>UNJC0070_SQL_FREEWD_1</vt:lpstr>
      <vt:lpstr>UNJC0070_SQL_FREEWD_2</vt:lpstr>
      <vt:lpstr>UNJC0070_SQL_FREEWD_3</vt:lpstr>
      <vt:lpstr>UNJC0070_SQL_FREEWD_KBN</vt:lpstr>
      <vt:lpstr>UNJC0070_SQL_FREEWORD1</vt:lpstr>
      <vt:lpstr>UNJC0070_SQL_FREEWORD2</vt:lpstr>
      <vt:lpstr>UNJC0070_SQL_FREEWORD3</vt:lpstr>
      <vt:lpstr>UNJC0070_SQL_GIJUTSU_STS</vt:lpstr>
      <vt:lpstr>UNJC0070_SQL_HOKOKU_KEISHIKI_CD</vt:lpstr>
      <vt:lpstr>UNJC0070_SQL_IRAI_DATE_END</vt:lpstr>
      <vt:lpstr>UNJC0070_SQL_IRAI_DATE_START</vt:lpstr>
      <vt:lpstr>UNJC0070_SQL_JOKEN_COPY_MOTO</vt:lpstr>
      <vt:lpstr>UNJC0070_SQL_JOKEN_COPY_SAKI</vt:lpstr>
      <vt:lpstr>UNJC0070_SQL_JURI_NO</vt:lpstr>
      <vt:lpstr>UNJC0070_SQL_KAKUNIN2_STS</vt:lpstr>
      <vt:lpstr>UNJC0070_SQL_KAKUTEIMI_STS</vt:lpstr>
      <vt:lpstr>UNJC0070_SQL_KANSEI_DATE_END</vt:lpstr>
      <vt:lpstr>UNJC0070_SQL_KANSEI_DATE_START</vt:lpstr>
      <vt:lpstr>UNJC0070_SQL_MITSUMORI_NO</vt:lpstr>
      <vt:lpstr>UNJC0070_SQL_NOHIN_DATE_END</vt:lpstr>
      <vt:lpstr>UNJC0070_SQL_NOHIN_DATE_START</vt:lpstr>
      <vt:lpstr>UNJC0070_SQL_NOHIN_STS</vt:lpstr>
      <vt:lpstr>UNJC0070_SQL_NYURYOKU_DATE_END</vt:lpstr>
      <vt:lpstr>UNJC0070_SQL_NYURYOKU_DATE_START</vt:lpstr>
      <vt:lpstr>UNJC0070_SQL_NYURYOKUSHA_CD</vt:lpstr>
      <vt:lpstr>UNJC0070_SQL_SEIKYUSAKI_CD</vt:lpstr>
      <vt:lpstr>UNJC0070_SQL_SELECT_BUN_LABEL_BAT_LIST</vt:lpstr>
      <vt:lpstr>UNJC0070_SQL_SELECT_BUN_LABEL_PRINT_CNT</vt:lpstr>
      <vt:lpstr>UNJC0070_SQL_SELECT_INIT_SORT</vt:lpstr>
      <vt:lpstr>UNJC0070_SQL_SELECT_LABEL_DATA</vt:lpstr>
      <vt:lpstr>UNJC0070_SQL_SELECT_SORT</vt:lpstr>
      <vt:lpstr>UNJC0070_SQL_SELECT_W_BUN_LABEL_BAT</vt:lpstr>
      <vt:lpstr>UNJC0070_SQL_SELECT_W_BUN_LABEL_UPDATE</vt:lpstr>
      <vt:lpstr>UNJC0070_SQL_SHIRYO_MEI</vt:lpstr>
      <vt:lpstr>UNJC0070_SQL_SHIRYO_SHURUI</vt:lpstr>
      <vt:lpstr>UNJC0070_SQL_SOKUHO_STS</vt:lpstr>
      <vt:lpstr>UNJC0070_SQL_SORT</vt:lpstr>
      <vt:lpstr>UNJC0070_SQL_TEISEI_STS</vt:lpstr>
      <vt:lpstr>UNJC0070_SQL_UKETSUKE_STS</vt:lpstr>
      <vt:lpstr>UNJC0180_B_ALL_PAGE_SU</vt:lpstr>
      <vt:lpstr>UNJC0180_B_COPY_SAKI</vt:lpstr>
      <vt:lpstr>UNJC0180_B_CTRL_HYOJI_GYO_SU</vt:lpstr>
      <vt:lpstr>UNJC0180_B_DataListStart</vt:lpstr>
      <vt:lpstr>UNJC0180_B_EXIST_NEXT_PAGE</vt:lpstr>
      <vt:lpstr>UNJC0180_B_EXIST_PREV_PAGE</vt:lpstr>
      <vt:lpstr>UNJC0180_B_FORMAT_COPY_FLG</vt:lpstr>
      <vt:lpstr>UNJC0180_B_HIDE_COLUMN</vt:lpstr>
      <vt:lpstr>UNJC0180_B_HIDE_ROW</vt:lpstr>
      <vt:lpstr>UNJC0180_B_HYOJI_KENSU</vt:lpstr>
      <vt:lpstr>UNJC0180_B_ITEMS_NUM</vt:lpstr>
      <vt:lpstr>UNJC0180_B_KENSAKU_KENSU</vt:lpstr>
      <vt:lpstr>UNJC0180_B_LAYOUTCOPY_START</vt:lpstr>
      <vt:lpstr>UNJC0180_B_NEXT_PAGE_NO</vt:lpstr>
      <vt:lpstr>UNJC0180_B_PAGE_NO</vt:lpstr>
      <vt:lpstr>UNJC0180_B_PREV_PAGE_NO</vt:lpstr>
      <vt:lpstr>UNJC0180_B_SAMPLE_NUM</vt:lpstr>
      <vt:lpstr>UNJC0180_B_SCROLL_LOCK</vt:lpstr>
      <vt:lpstr>UNJC0180_H_ATENA</vt:lpstr>
      <vt:lpstr>UNJC0180_H_ATENA_CD</vt:lpstr>
      <vt:lpstr>UNJC0180_H_ATENA_CD_S</vt:lpstr>
      <vt:lpstr>UNJC0180_H_ATENA_S</vt:lpstr>
      <vt:lpstr>UNJC0180_H_BUNSEKI_HOHO</vt:lpstr>
      <vt:lpstr>UNJC0180_H_BUNSEKI_HOHO_S</vt:lpstr>
      <vt:lpstr>UNJC0180_H_BUNSEKI_KOMOKU_CD</vt:lpstr>
      <vt:lpstr>UNJC0180_H_BUNSEKI_KOMOKU_CD_S</vt:lpstr>
      <vt:lpstr>UNJC0180_H_BUNSEKI_KOMOKU_MEI</vt:lpstr>
      <vt:lpstr>UNJC0180_H_BUNSEKI_KOMOKU_MEI_S</vt:lpstr>
      <vt:lpstr>UNJC0180_H_BUSHO_CD</vt:lpstr>
      <vt:lpstr>UNJC0180_H_BUSHO_CD_S</vt:lpstr>
      <vt:lpstr>UNJC0180_H_BUSHO_MEI</vt:lpstr>
      <vt:lpstr>UNJC0180_H_BUSHO_MEI_S</vt:lpstr>
      <vt:lpstr>UNJC0180_H_EDA</vt:lpstr>
      <vt:lpstr>UNJC0180_H_EDA_S</vt:lpstr>
      <vt:lpstr>UNJC0180_H_EIGYO_TANTOSHA_CD</vt:lpstr>
      <vt:lpstr>UNJC0180_H_EIGYO_TANTOSHA_CD_S</vt:lpstr>
      <vt:lpstr>UNJC0180_H_EIGYO_TANTOSHA_MEI</vt:lpstr>
      <vt:lpstr>UNJC0180_H_EIGYO_TANTOSHA_MEI_S</vt:lpstr>
      <vt:lpstr>UNJC0180_H_FREEWD_1</vt:lpstr>
      <vt:lpstr>UNJC0180_H_FREEWD_1_S</vt:lpstr>
      <vt:lpstr>UNJC0180_H_FREEWD_2</vt:lpstr>
      <vt:lpstr>UNJC0180_H_FREEWD_2_S</vt:lpstr>
      <vt:lpstr>UNJC0180_H_FREEWD_3</vt:lpstr>
      <vt:lpstr>UNJC0180_H_FREEWD_3_S</vt:lpstr>
      <vt:lpstr>UNJC0180_H_FREEWD_KBN</vt:lpstr>
      <vt:lpstr>UNJC0180_H_HIDE_COLUMN</vt:lpstr>
      <vt:lpstr>UNJC0180_H_HIDE_ROW</vt:lpstr>
      <vt:lpstr>UNJC0180_H_INIT_HEADER_COPY_SAKI</vt:lpstr>
      <vt:lpstr>UNJC0180_H_INIT_HEADER_FLG_COPY_SAKI</vt:lpstr>
      <vt:lpstr>UNJC0180_H_IRAI_DATE_END</vt:lpstr>
      <vt:lpstr>UNJC0180_H_IRAI_DATE_END_S</vt:lpstr>
      <vt:lpstr>UNJC0180_H_IRAI_DATE_START</vt:lpstr>
      <vt:lpstr>UNJC0180_H_IRAI_DATE_START_S</vt:lpstr>
      <vt:lpstr>UNJC0180_H_JURI_NO</vt:lpstr>
      <vt:lpstr>UNJC0180_H_JURI_NO_S</vt:lpstr>
      <vt:lpstr>UNJC0180_H_KANRYO_DATE_END</vt:lpstr>
      <vt:lpstr>UNJC0180_H_KANRYO_DATE_END_S</vt:lpstr>
      <vt:lpstr>UNJC0180_H_KANRYO_DATE_START</vt:lpstr>
      <vt:lpstr>UNJC0180_H_KANRYO_DATE_START_S</vt:lpstr>
      <vt:lpstr>UNJC0180_H_KANSEI_DATE_END</vt:lpstr>
      <vt:lpstr>UNJC0180_H_KANSEI_DATE_END_S</vt:lpstr>
      <vt:lpstr>UNJC0180_H_KANSEI_DATE_START</vt:lpstr>
      <vt:lpstr>UNJC0180_H_KANSEI_DATE_START_S</vt:lpstr>
      <vt:lpstr>UNJC0180_H_NOHIN_DATE_END</vt:lpstr>
      <vt:lpstr>UNJC0180_H_NOHIN_DATE_END_S</vt:lpstr>
      <vt:lpstr>UNJC0180_H_NOHIN_DATE_START</vt:lpstr>
      <vt:lpstr>UNJC0180_H_NOHIN_DATE_START_S</vt:lpstr>
      <vt:lpstr>UNJC0180_H_NYURYOKU_DATE_END</vt:lpstr>
      <vt:lpstr>UNJC0180_H_NYURYOKU_DATE_END_S</vt:lpstr>
      <vt:lpstr>UNJC0180_H_NYURYOKU_DATE_START</vt:lpstr>
      <vt:lpstr>UNJC0180_H_NYURYOKU_DATE_START_S</vt:lpstr>
      <vt:lpstr>UNJC0180_H_SEIKYUSAKI_CD</vt:lpstr>
      <vt:lpstr>UNJC0180_H_SEIKYUSAKI_CD_S</vt:lpstr>
      <vt:lpstr>UNJC0180_H_SEIKYUSAKI_MEI</vt:lpstr>
      <vt:lpstr>UNJC0180_H_SEIKYUSAKI_MEI_S</vt:lpstr>
      <vt:lpstr>UNJC0180_H_SIRYO_SHURUI</vt:lpstr>
      <vt:lpstr>UNJC0180_H_SIRYO_SHURUI_S</vt:lpstr>
      <vt:lpstr>UNJC0180_IF_ACTIVE_CELL_NAME</vt:lpstr>
      <vt:lpstr>UNJC0180_IF_ACTIVE_COLUMN</vt:lpstr>
      <vt:lpstr>UNJC0180_IF_ACTIVE_ROW</vt:lpstr>
      <vt:lpstr>UNJC0180_IF_ACTIVE_SHEET</vt:lpstr>
      <vt:lpstr>UNJC0180_IF_COPYSTART</vt:lpstr>
      <vt:lpstr>UNJC0180_IF_DATA_SEARCH_FLG</vt:lpstr>
      <vt:lpstr>UNJC0180_IF_EXCEL_COPY_SAKI</vt:lpstr>
      <vt:lpstr>UNJC0180_IF_EXCEL_DATA_CNT</vt:lpstr>
      <vt:lpstr>UNJC0180_IF_EXCEL_FILE_NAME</vt:lpstr>
      <vt:lpstr>UNJC0180_IF_EXCEL_ItemsMaxCount</vt:lpstr>
      <vt:lpstr>UNJC0180_IF_EXCEL_LIST_COPY_MOTO</vt:lpstr>
      <vt:lpstr>UNJC0180_IF_EXCEL_LIST_START</vt:lpstr>
      <vt:lpstr>UNJC0180_IF_HIDE_COLUMN</vt:lpstr>
      <vt:lpstr>UNJC0180_IF_INIT_HEADER_COPY_MOTO</vt:lpstr>
      <vt:lpstr>UNJC0180_IF_INIT_HEADER_FLG_COPY_MOTO</vt:lpstr>
      <vt:lpstr>UNJC0180_IF_ITEMS_HEADER_COPY</vt:lpstr>
      <vt:lpstr>UNJC0180_IF_ITEMSCOPY</vt:lpstr>
      <vt:lpstr>UNJC0180_IF_ItemsMaxCount</vt:lpstr>
      <vt:lpstr>UNJC0180_IF_LOOPCOPYSTART</vt:lpstr>
      <vt:lpstr>UNJC0180_IF_SENTAKU</vt:lpstr>
      <vt:lpstr>UNJC0180_IF_SETTING</vt:lpstr>
      <vt:lpstr>UNJC0180_IF_W_SERIAL</vt:lpstr>
      <vt:lpstr>UNJC0180_IF_W_SERIAL_CREATE</vt:lpstr>
      <vt:lpstr>UNJC0180_IF_W_USER_ID</vt:lpstr>
      <vt:lpstr>UNJC0180_PRINT_COPY_SAKI</vt:lpstr>
      <vt:lpstr>UNJC0180_PRINT_IF_COPY_MOTO</vt:lpstr>
      <vt:lpstr>UNJC0180_PRINT_IF_DataListStart</vt:lpstr>
      <vt:lpstr>UNJC0180_PRINT_IF_ITEMS_NUM</vt:lpstr>
      <vt:lpstr>UNJC0180_PRINT_IF_LIST_CLEAR</vt:lpstr>
      <vt:lpstr>UNJC0180_PRINT_IF_SAMPLE_NUM</vt:lpstr>
      <vt:lpstr>UNJC0180_SQL_CheckCount</vt:lpstr>
      <vt:lpstr>UNJC0180_SQL_CheckItemsCount</vt:lpstr>
      <vt:lpstr>UNJC0180_SQL_DataCount</vt:lpstr>
      <vt:lpstr>UNJC0180_SQL_DataSearch</vt:lpstr>
      <vt:lpstr>UNJC0180_SQL_DataSearch_ItemsCount</vt:lpstr>
      <vt:lpstr>UNJC0180_SQL_DataSearch_PageView</vt:lpstr>
      <vt:lpstr>UNJC0180_SQL_Excel_DataSearch</vt:lpstr>
      <vt:lpstr>UNJC0180_SQL_EXCEL_ItemsMaxCount</vt:lpstr>
      <vt:lpstr>UNJC0180_SQL_HAKKO</vt:lpstr>
      <vt:lpstr>UNJC0180_SQL_INIT_SORT</vt:lpstr>
      <vt:lpstr>UNJC0180_SQL_ItemsCount</vt:lpstr>
      <vt:lpstr>UNJC0180_SQL_POP_SORT</vt:lpstr>
      <vt:lpstr>UNJC0180_SQL_SORT</vt:lpstr>
      <vt:lpstr>UNJC0190_B_ALL_PAGE_SU</vt:lpstr>
      <vt:lpstr>UNJC0190_B_BIKO</vt:lpstr>
      <vt:lpstr>UNJC0190_B_ColumnNameList</vt:lpstr>
      <vt:lpstr>UNJC0190_B_COPY_SAKI</vt:lpstr>
      <vt:lpstr>UNJC0190_B_CTRL_HYOJI_GYO_SU</vt:lpstr>
      <vt:lpstr>UNJC0190_B_DataStart</vt:lpstr>
      <vt:lpstr>UNJC0190_B_DECISION_NEXT_PAGE</vt:lpstr>
      <vt:lpstr>UNJC0190_B_DECISION_PREV_PAGE</vt:lpstr>
      <vt:lpstr>UNJC0190_B_EDA_COUNT</vt:lpstr>
      <vt:lpstr>UNJC0190_B_FORMAT_COPY_FLG</vt:lpstr>
      <vt:lpstr>UNJC0190_B_HIDE_COLUMN</vt:lpstr>
      <vt:lpstr>UNJC0190_B_HIDE_COLUMN_2</vt:lpstr>
      <vt:lpstr>UNJC0190_B_HIDE_COLUMN_3_END</vt:lpstr>
      <vt:lpstr>UNJC0190_B_HIDE_COLUMN_3_START</vt:lpstr>
      <vt:lpstr>UNJC0190_B_HIDE_COLUMN_4</vt:lpstr>
      <vt:lpstr>UNJC0190_B_HIDE_COLUMN_5_END</vt:lpstr>
      <vt:lpstr>UNJC0190_B_HIDE_COLUMN_5_START</vt:lpstr>
      <vt:lpstr>UNJC0190_B_HIDE_COLUMN_END</vt:lpstr>
      <vt:lpstr>UNJC0190_B_HIDE_COLUMN_START</vt:lpstr>
      <vt:lpstr>UNJC0190_B_HIDE_ROW</vt:lpstr>
      <vt:lpstr>UNJC0190_B_HYOJI_KENSU</vt:lpstr>
      <vt:lpstr>UNJC0190_B_JURI_COUNT</vt:lpstr>
      <vt:lpstr>UNJC0190_B_KENSAKU_KENSU</vt:lpstr>
      <vt:lpstr>UNJC0190_B_NEXT_PAGE_NO</vt:lpstr>
      <vt:lpstr>UNJC0190_B_PAGE_NO</vt:lpstr>
      <vt:lpstr>UNJC0190_B_PREV_PAGE_NO</vt:lpstr>
      <vt:lpstr>UNJC0190_B_ROWCLEAR</vt:lpstr>
      <vt:lpstr>UNJC0190_B_ROWCLEAR_SHEETNAME</vt:lpstr>
      <vt:lpstr>UNJC0190_B_SCROLL_LOCK</vt:lpstr>
      <vt:lpstr>UNJC0190_B_SOKUTEI_DATE</vt:lpstr>
      <vt:lpstr>UNJC0190_B_SOKUTEISHA_CD</vt:lpstr>
      <vt:lpstr>UNJC0190_B_SOKUTEISHA_MEI</vt:lpstr>
      <vt:lpstr>UNJC0190_B_SYOUHIN_BUNRUI_MEI</vt:lpstr>
      <vt:lpstr>UNJC0190_B_TITLE_SOKUTEISHA_CD</vt:lpstr>
      <vt:lpstr>UNJC0190_B_TITLE_STATE_CD</vt:lpstr>
      <vt:lpstr>UNJC0190_B_TitleStart</vt:lpstr>
      <vt:lpstr>UNJC0190_H_ATENA</vt:lpstr>
      <vt:lpstr>UNJC0190_H_ATENA_CD</vt:lpstr>
      <vt:lpstr>UNJC0190_H_ATENA_CD_S</vt:lpstr>
      <vt:lpstr>UNJC0190_H_ATENA_S</vt:lpstr>
      <vt:lpstr>UNJC0190_H_BUNSEKI_HOHO</vt:lpstr>
      <vt:lpstr>UNJC0190_H_BUNSEKI_HOHO_S</vt:lpstr>
      <vt:lpstr>UNJC0190_H_BUNSEKI_KOMOKU_CD</vt:lpstr>
      <vt:lpstr>UNJC0190_H_BUNSEKI_KOMOKU_CD_S</vt:lpstr>
      <vt:lpstr>UNJC0190_H_BUNSEKI_KOMOKU_MEI</vt:lpstr>
      <vt:lpstr>UNJC0190_H_BUNSEKI_KOMOKU_MEI_S</vt:lpstr>
      <vt:lpstr>UNJC0190_H_BUSHO_CD</vt:lpstr>
      <vt:lpstr>UNJC0190_H_BUSHO_CD_S</vt:lpstr>
      <vt:lpstr>UNJC0190_H_BUSHO_MEI</vt:lpstr>
      <vt:lpstr>UNJC0190_H_BUSHO_MEI_S</vt:lpstr>
      <vt:lpstr>UNJC0190_H_EDA</vt:lpstr>
      <vt:lpstr>UNJC0190_H_EDA_S</vt:lpstr>
      <vt:lpstr>UNJC0190_H_FREEWD_1</vt:lpstr>
      <vt:lpstr>UNJC0190_H_FREEWD_1_S</vt:lpstr>
      <vt:lpstr>UNJC0190_H_FREEWD_2</vt:lpstr>
      <vt:lpstr>UNJC0190_H_FREEWD_2_S</vt:lpstr>
      <vt:lpstr>UNJC0190_H_FREEWD_3</vt:lpstr>
      <vt:lpstr>UNJC0190_H_FREEWD_3_S</vt:lpstr>
      <vt:lpstr>UNJC0190_H_FREEWD_KBN</vt:lpstr>
      <vt:lpstr>UNJC0190_H_HIDE_COLUMN</vt:lpstr>
      <vt:lpstr>UNJC0190_H_HIDE_ROW</vt:lpstr>
      <vt:lpstr>UNJC0190_H_INIT_HEADER_COPY_SAKI</vt:lpstr>
      <vt:lpstr>UNJC0190_H_INPUT_CHECK</vt:lpstr>
      <vt:lpstr>UNJC0190_H_IRAI_DATE_END</vt:lpstr>
      <vt:lpstr>UNJC0190_H_IRAI_DATE_END_S</vt:lpstr>
      <vt:lpstr>UNJC0190_H_IRAI_DATE_START</vt:lpstr>
      <vt:lpstr>UNJC0190_H_IRAI_DATE_START_S</vt:lpstr>
      <vt:lpstr>UNJC0190_H_JOTAI</vt:lpstr>
      <vt:lpstr>UNJC0190_H_JOTAI_S</vt:lpstr>
      <vt:lpstr>UNJC0190_H_JURI_NO</vt:lpstr>
      <vt:lpstr>UNJC0190_H_JURI_NO_S</vt:lpstr>
      <vt:lpstr>UNJC0190_H_KANRYO_DATE_END</vt:lpstr>
      <vt:lpstr>UNJC0190_H_KANRYO_DATE_END_S</vt:lpstr>
      <vt:lpstr>UNJC0190_H_KANRYO_DATE_START</vt:lpstr>
      <vt:lpstr>UNJC0190_H_KANRYO_DATE_START_S</vt:lpstr>
      <vt:lpstr>UNJC0190_H_NYURYOKU_DATE_END</vt:lpstr>
      <vt:lpstr>UNJC0190_H_NYURYOKU_DATE_END_S</vt:lpstr>
      <vt:lpstr>UNJC0190_H_NYURYOKU_DATE_START</vt:lpstr>
      <vt:lpstr>UNJC0190_H_NYURYOKU_DATE_START_S</vt:lpstr>
      <vt:lpstr>UNJC0190_H_SIRYO_MEI</vt:lpstr>
      <vt:lpstr>UNJC0190_H_SIRYO_MEI_S</vt:lpstr>
      <vt:lpstr>UNJC0190_H_SIRYO_SHURUI</vt:lpstr>
      <vt:lpstr>UNJC0190_H_SIRYO_SHURUI_S</vt:lpstr>
      <vt:lpstr>UNJC0190_H_SOKUTEI_DATE_END</vt:lpstr>
      <vt:lpstr>UNJC0190_H_SOKUTEI_DATE_END_S</vt:lpstr>
      <vt:lpstr>UNJC0190_H_SOKUTEI_DATE_START</vt:lpstr>
      <vt:lpstr>UNJC0190_H_SOKUTEI_DATE_START_S</vt:lpstr>
      <vt:lpstr>UNJC0190_H_SOKUTEI_SHA_CD</vt:lpstr>
      <vt:lpstr>UNJC0190_H_SOKUTEI_SHA_CD_S</vt:lpstr>
      <vt:lpstr>UNJC0190_H_SOKUTEI_SHA_MEI</vt:lpstr>
      <vt:lpstr>UNJC0190_H_SOKUTEI_SHA_MEI_S</vt:lpstr>
      <vt:lpstr>UNJC0190_H_SYOUHIN_BUNRUI_CD</vt:lpstr>
      <vt:lpstr>UNJC0190_H_SYOUHIN_BUNRUI_CD_S</vt:lpstr>
      <vt:lpstr>UNJC0190_H_SYOUHIN_BUNRUI_MEI</vt:lpstr>
      <vt:lpstr>UNJC0190_H_SYOUHIN_BUNRUI_MEI_S</vt:lpstr>
      <vt:lpstr>UNJC0190_IF_ACTIVE_CELL_NAME</vt:lpstr>
      <vt:lpstr>UNJC0190_IF_ACTIVE_COLUMN</vt:lpstr>
      <vt:lpstr>UNJC0190_IF_ACTIVE_ROW</vt:lpstr>
      <vt:lpstr>UNJC0190_IF_ACTIVE_SHEET</vt:lpstr>
      <vt:lpstr>UNJC0190_IF_BUTTON_06_HYOJI</vt:lpstr>
      <vt:lpstr>UNJC0190_IF_BUTTON_06_NAME</vt:lpstr>
      <vt:lpstr>UNJC0190_IF_BUTTON_07_HYOJI</vt:lpstr>
      <vt:lpstr>UNJC0190_IF_BUTTON_10_HYOJI</vt:lpstr>
      <vt:lpstr>UNJC0190_IF_BUTTON_10_NAME</vt:lpstr>
      <vt:lpstr>UNJC0190_IF_BUTTON_19_HYOJI</vt:lpstr>
      <vt:lpstr>UNJC0190_IF_BUTTON_20_HYOJI</vt:lpstr>
      <vt:lpstr>UNJC0190_IF_ColumnNameList</vt:lpstr>
      <vt:lpstr>UNJC0190_IF_DATA_SEARCH_FLG</vt:lpstr>
      <vt:lpstr>UNJC0190_IF_EXCEL_COPY_SAKI</vt:lpstr>
      <vt:lpstr>UNJC0190_IF_EXCEL_DATA_CNT</vt:lpstr>
      <vt:lpstr>UNJC0190_IF_EXCEL_DataStart</vt:lpstr>
      <vt:lpstr>UNJC0190_IF_EXCEL_FILE_NAME</vt:lpstr>
      <vt:lpstr>UNJC0190_IF_EXCEL_HIDE_COLUMN_2</vt:lpstr>
      <vt:lpstr>UNJC0190_IF_EXCEL_HIDE_COLUMN_3_END</vt:lpstr>
      <vt:lpstr>UNJC0190_IF_EXCEL_HIDE_COLUMN_3_START</vt:lpstr>
      <vt:lpstr>UNJC0190_IF_EXCEL_HIDE_COLUMN_4</vt:lpstr>
      <vt:lpstr>UNJC0190_IF_EXCEL_HIDE_COLUMN_5_END</vt:lpstr>
      <vt:lpstr>UNJC0190_IF_EXCEL_HIDE_COLUMN_5_START</vt:lpstr>
      <vt:lpstr>UNJC0190_IF_EXCEL_HIDE_COLUMN_END</vt:lpstr>
      <vt:lpstr>UNJC0190_IF_EXCEL_HIDE_COLUMN_START</vt:lpstr>
      <vt:lpstr>UNJC0190_IF_EXCEL_LIST_START</vt:lpstr>
      <vt:lpstr>UNJC0190_IF_EXCEL_TitleStart</vt:lpstr>
      <vt:lpstr>UNJC0190_IF_INIT_HEADER_COPY_MOTO</vt:lpstr>
      <vt:lpstr>UNJC0190_IF_INIT_JOTAI</vt:lpstr>
      <vt:lpstr>UNJC0190_IF_ItemizedSampleMasterList</vt:lpstr>
      <vt:lpstr>UNJC0190_IF_ItemizedSampleMasterNumber</vt:lpstr>
      <vt:lpstr>UNJC0190_IF_JOTAI</vt:lpstr>
      <vt:lpstr>UNJC0190_IF_KENSAKU_FLG</vt:lpstr>
      <vt:lpstr>UNJC0190_IF_LAYOUT_HEADER_COPY</vt:lpstr>
      <vt:lpstr>UNJC0190_IF_LAYOUT_KOUMOKU_NAME_COPY</vt:lpstr>
      <vt:lpstr>UNJC0190_IF_LayoutBond</vt:lpstr>
      <vt:lpstr>UNJC0190_IF_LAYOUTCOPY</vt:lpstr>
      <vt:lpstr>UNJC0190_IF_LayoutLoop</vt:lpstr>
      <vt:lpstr>UNJC0190_IF_LayoutStart</vt:lpstr>
      <vt:lpstr>UNJC0190_IF_MODE</vt:lpstr>
      <vt:lpstr>UNJC0190_IF_NEXTMODE</vt:lpstr>
      <vt:lpstr>UNJC0190_IF_StatusList</vt:lpstr>
      <vt:lpstr>UNJC0190_IF_StatusList_CodeToName</vt:lpstr>
      <vt:lpstr>UNJC0190_IF_StatusMasterData</vt:lpstr>
      <vt:lpstr>UNJC0190_IF_StatusMasterData_Count</vt:lpstr>
      <vt:lpstr>UNJC0190_IF_StatusMasterJOTAI</vt:lpstr>
      <vt:lpstr>UNJC0190_IF_W_SERIAL</vt:lpstr>
      <vt:lpstr>UNJC0190_IF_W_SERIAL_CREATE</vt:lpstr>
      <vt:lpstr>UNJC0190_IF_W_USER_ID</vt:lpstr>
      <vt:lpstr>UNJC0190_PRINT_DataStart</vt:lpstr>
      <vt:lpstr>UNJC0190_PRINT_IF_COPY_SAKI</vt:lpstr>
      <vt:lpstr>UNJC0190_PRINT_IF_HYOJI_KENSU</vt:lpstr>
      <vt:lpstr>UNJC0190_PRINT_IF_LAYOUT_HEADER_COPY</vt:lpstr>
      <vt:lpstr>UNJC0190_PRINT_IF_LayoutBond</vt:lpstr>
      <vt:lpstr>UNJC0190_PRINT_IF_LAYOUTCOPY</vt:lpstr>
      <vt:lpstr>UNJC0190_PRINT_IF_LayoutLoop</vt:lpstr>
      <vt:lpstr>UNJC0190_PRINT_IF_LayoutStart</vt:lpstr>
      <vt:lpstr>UNJC0190_PRINT_TitleStart</vt:lpstr>
      <vt:lpstr>UNJC0190_SQL_BIKO_SEARCH</vt:lpstr>
      <vt:lpstr>UNJC0190_SQL_DataCount</vt:lpstr>
      <vt:lpstr>UNJC0190_SQL_DataSearch_Excel</vt:lpstr>
      <vt:lpstr>UNJC0190_SQL_DataSearch_PageView</vt:lpstr>
      <vt:lpstr>UNJC0190_SQL_DataSearch_Print</vt:lpstr>
      <vt:lpstr>UNJC0190_SQL_GetAnalysisOrdersData</vt:lpstr>
      <vt:lpstr>UNJC0190_SQL_GetAnalysisOrdersData_VariableItem</vt:lpstr>
      <vt:lpstr>UNJC0190_SQL_GetItemizedSampleMaster</vt:lpstr>
      <vt:lpstr>UNJC0190_SQL_GetStatusMaster</vt:lpstr>
      <vt:lpstr>UNJC0190_SQL_JuriCount</vt:lpstr>
      <vt:lpstr>UNJC0190_SQL_KOMOKU_SEARCH</vt:lpstr>
      <vt:lpstr>UNJC0190_SQL_SaveAnalysisOrdersData</vt:lpstr>
      <vt:lpstr>UNJC0190_SQL_SYOHINBUNRUIKBN_SEARCH</vt:lpstr>
      <vt:lpstr>UNJC0210_B_ALL_PAGE_NUM</vt:lpstr>
      <vt:lpstr>UNJC0210_B_ATENA</vt:lpstr>
      <vt:lpstr>UNJC0210_B_BIKO</vt:lpstr>
      <vt:lpstr>UNJC0210_B_BODY_CHECK_COPY_SAKI</vt:lpstr>
      <vt:lpstr>UNJC0210_B_BODY_COPY_SAKI</vt:lpstr>
      <vt:lpstr>UNJC0210_B_BUNSEKI_HOHO</vt:lpstr>
      <vt:lpstr>UNJC0210_B_BUSHO_MEI</vt:lpstr>
      <vt:lpstr>UNJC0210_B_CHUKAN_DATE</vt:lpstr>
      <vt:lpstr>UNJC0210_B_DATA_START</vt:lpstr>
      <vt:lpstr>UNJC0210_B_DataList</vt:lpstr>
      <vt:lpstr>UNJC0210_B_EDA</vt:lpstr>
      <vt:lpstr>UNJC0210_B_EXIST_NEXT_PAGE</vt:lpstr>
      <vt:lpstr>UNJC0210_B_EXIST_PREV_PAGE</vt:lpstr>
      <vt:lpstr>UNJC0210_B_HIDE_COLUMN</vt:lpstr>
      <vt:lpstr>UNJC0210_B_HIDE_ROW</vt:lpstr>
      <vt:lpstr>UNJC0210_B_IRAI_DATE</vt:lpstr>
      <vt:lpstr>UNJC0210_B_JOTAI</vt:lpstr>
      <vt:lpstr>UNJC0210_B_JURI_NO</vt:lpstr>
      <vt:lpstr>UNJC0210_B_KANRYO_DATE</vt:lpstr>
      <vt:lpstr>UNJC0210_B_KANSEI_DATE</vt:lpstr>
      <vt:lpstr>UNJC0210_B_KOMOKU_MEI</vt:lpstr>
      <vt:lpstr>UNJC0210_B_NEXT_PAGE_NO</vt:lpstr>
      <vt:lpstr>UNJC0210_B_NOHIN_DATE</vt:lpstr>
      <vt:lpstr>UNJC0210_B_PAGE_MAXVIEWNUM</vt:lpstr>
      <vt:lpstr>UNJC0210_B_PAGE_NO</vt:lpstr>
      <vt:lpstr>UNJC0210_B_PREV_PAGE_NO</vt:lpstr>
      <vt:lpstr>UNJC0210_B_PRINT_MARK</vt:lpstr>
      <vt:lpstr>UNJC0210_B_SCROLL_LOCK</vt:lpstr>
      <vt:lpstr>UNJC0210_B_SEARCH_NUM</vt:lpstr>
      <vt:lpstr>UNJC0210_B_SEIKYUSAKI_MEI</vt:lpstr>
      <vt:lpstr>UNJC0210_B_SENTAKU</vt:lpstr>
      <vt:lpstr>UNJC0210_B_SENTAKU_FLG</vt:lpstr>
      <vt:lpstr>UNJC0210_B_SHIRYO_MEI</vt:lpstr>
      <vt:lpstr>UNJC0210_B_SHIRYO_SHURUI</vt:lpstr>
      <vt:lpstr>UNJC0210_B_SOKUTEI_DATE</vt:lpstr>
      <vt:lpstr>UNJC0210_B_SOKUTEI_USER</vt:lpstr>
      <vt:lpstr>UNJC0210_B_VIEW_NUM</vt:lpstr>
      <vt:lpstr>UNJC0210_B_W_ROW</vt:lpstr>
      <vt:lpstr>UNJC0210_B_W_SERIAL</vt:lpstr>
      <vt:lpstr>UNJC0210_B_W_USER_ID</vt:lpstr>
      <vt:lpstr>UNJC0210_H_ATENA</vt:lpstr>
      <vt:lpstr>UNJC0210_H_ATENA_CD</vt:lpstr>
      <vt:lpstr>UNJC0210_H_ATENA_CD_S</vt:lpstr>
      <vt:lpstr>UNJC0210_H_ATENA_S</vt:lpstr>
      <vt:lpstr>UNJC0210_H_BUNSEKI_HOHO</vt:lpstr>
      <vt:lpstr>UNJC0210_H_BUNSEKI_HOHO_S</vt:lpstr>
      <vt:lpstr>UNJC0210_H_BUNSEKI_KOMOKU_CD</vt:lpstr>
      <vt:lpstr>UNJC0210_H_BUNSEKI_KOMOKU_CD_S</vt:lpstr>
      <vt:lpstr>UNJC0210_H_BUNSEKI_KOMOKU_MEI</vt:lpstr>
      <vt:lpstr>UNJC0210_H_BUNSEKI_KOMOKU_MEI_S</vt:lpstr>
      <vt:lpstr>UNJC0210_H_BUSHO_CD</vt:lpstr>
      <vt:lpstr>UNJC0210_H_BUSHO_CD_S</vt:lpstr>
      <vt:lpstr>UNJC0210_H_BUSHO_MEI</vt:lpstr>
      <vt:lpstr>UNJC0210_H_BUSHO_MEI_S</vt:lpstr>
      <vt:lpstr>UNJC0210_H_EDA</vt:lpstr>
      <vt:lpstr>UNJC0210_H_EDA_S</vt:lpstr>
      <vt:lpstr>UNJC0210_H_FREEWD_1</vt:lpstr>
      <vt:lpstr>UNJC0210_H_FREEWD_1_S</vt:lpstr>
      <vt:lpstr>UNJC0210_H_FREEWD_2</vt:lpstr>
      <vt:lpstr>UNJC0210_H_FREEWD_2_S</vt:lpstr>
      <vt:lpstr>UNJC0210_H_FREEWD_3</vt:lpstr>
      <vt:lpstr>UNJC0210_H_FREEWD_3_S</vt:lpstr>
      <vt:lpstr>UNJC0210_H_FREEWD_KBN</vt:lpstr>
      <vt:lpstr>UNJC0210_H_FREEWD_KBN_S</vt:lpstr>
      <vt:lpstr>UNJC0210_H_HIDE_COLUMN</vt:lpstr>
      <vt:lpstr>UNJC0210_H_HIDE_ROW</vt:lpstr>
      <vt:lpstr>UNJC0210_H_HOUKOKU_DATE_END</vt:lpstr>
      <vt:lpstr>UNJC0210_H_HOUKOKU_DATE_END_S</vt:lpstr>
      <vt:lpstr>UNJC0210_H_HOUKOKU_DATE_START</vt:lpstr>
      <vt:lpstr>UNJC0210_H_HOUKOKU_DATE_START_S</vt:lpstr>
      <vt:lpstr>UNJC0210_H_INIT_HEADER_COPY_SAKI</vt:lpstr>
      <vt:lpstr>UNJC0210_H_INIT_HEADER_FLG_COPY_SAKI</vt:lpstr>
      <vt:lpstr>UNJC0210_H_IRAI_DATE_END</vt:lpstr>
      <vt:lpstr>UNJC0210_H_IRAI_DATE_END_S</vt:lpstr>
      <vt:lpstr>UNJC0210_H_IRAI_DATE_START</vt:lpstr>
      <vt:lpstr>UNJC0210_H_IRAI_DATE_START_S</vt:lpstr>
      <vt:lpstr>UNJC0210_H_JOTAI_END_S</vt:lpstr>
      <vt:lpstr>UNJC0210_H_JOTAI_START</vt:lpstr>
      <vt:lpstr>UNJC0210_H_JOTAI_START_CD</vt:lpstr>
      <vt:lpstr>UNJC0210_H_JOTAI_START_CD_S</vt:lpstr>
      <vt:lpstr>UNJC0210_H_JOTAI_START_S</vt:lpstr>
      <vt:lpstr>UNJC0210_H_JURI_NO</vt:lpstr>
      <vt:lpstr>UNJC0210_H_JURI_NO_S</vt:lpstr>
      <vt:lpstr>UNJC0210_H_KANRYO_DATE_END</vt:lpstr>
      <vt:lpstr>UNJC0210_H_KANRYO_DATE_END_S</vt:lpstr>
      <vt:lpstr>UNJC0210_H_KANRYO_DATE_START</vt:lpstr>
      <vt:lpstr>UNJC0210_H_KANRYO_DATE_START_S</vt:lpstr>
      <vt:lpstr>UNJC0210_H_NOUHIN_DATE_END</vt:lpstr>
      <vt:lpstr>UNJC0210_H_NOUHIN_DATE_END_S</vt:lpstr>
      <vt:lpstr>UNJC0210_H_NOUHIN_DATE_START</vt:lpstr>
      <vt:lpstr>UNJC0210_H_NOUHIN_DATE_START_S</vt:lpstr>
      <vt:lpstr>UNJC0210_H_NYURYOKU_DATE_END</vt:lpstr>
      <vt:lpstr>UNJC0210_H_NYURYOKU_DATE_END_S</vt:lpstr>
      <vt:lpstr>UNJC0210_H_NYURYOKU_DATE_START</vt:lpstr>
      <vt:lpstr>UNJC0210_H_NYURYOKU_DATE_START_S</vt:lpstr>
      <vt:lpstr>UNJC0210_H_PRINT_VIEW</vt:lpstr>
      <vt:lpstr>UNJC0210_H_PRINT_VIEW_S</vt:lpstr>
      <vt:lpstr>UNJC0210_H_SEIKYU_CD</vt:lpstr>
      <vt:lpstr>UNJC0210_H_SEIKYU_CD_S</vt:lpstr>
      <vt:lpstr>UNJC0210_H_SEIKYU_MEI</vt:lpstr>
      <vt:lpstr>UNJC0210_H_SEIKYU_MEI_S</vt:lpstr>
      <vt:lpstr>UNJC0210_H_SIRYO_MEI</vt:lpstr>
      <vt:lpstr>UNJC0210_H_SIRYO_MEI_S</vt:lpstr>
      <vt:lpstr>UNJC0210_H_SIRYO_SHURUI</vt:lpstr>
      <vt:lpstr>UNJC0210_H_SIRYO_SHURUI_S</vt:lpstr>
      <vt:lpstr>UNJC0210_H_SOKUHOU_DATE_END</vt:lpstr>
      <vt:lpstr>UNJC0210_H_SOKUHOU_DATE_END_S</vt:lpstr>
      <vt:lpstr>UNJC0210_H_SOKUHOU_DATE_START</vt:lpstr>
      <vt:lpstr>UNJC0210_H_SOKUHOU_DATE_START_S</vt:lpstr>
      <vt:lpstr>UNJC0210_H_SOKUTEI_DATE_END</vt:lpstr>
      <vt:lpstr>UNJC0210_H_SOKUTEI_DATE_END_S</vt:lpstr>
      <vt:lpstr>UNJC0210_H_SOKUTEI_DATE_START</vt:lpstr>
      <vt:lpstr>UNJC0210_H_SOKUTEI_DATE_START_S</vt:lpstr>
      <vt:lpstr>UNJC0210_H_SOKUTEI_SHA_CD</vt:lpstr>
      <vt:lpstr>UNJC0210_H_SOKUTEI_SHA_CD_S</vt:lpstr>
      <vt:lpstr>UNJC0210_H_SOKUTEI_SHA_MEI</vt:lpstr>
      <vt:lpstr>UNJC0210_H_SOKUTEI_SHA_MEI_S</vt:lpstr>
      <vt:lpstr>UNJC0210_H_SYOUHIN_BUNRUI_CD</vt:lpstr>
      <vt:lpstr>UNJC0210_H_SYOUHIN_BUNRUI_CD_S</vt:lpstr>
      <vt:lpstr>UNJC0210_H_SYOUHIN_BUNRUI_MEI</vt:lpstr>
      <vt:lpstr>UNJC0210_H_SYOUHIN_BUNRUI_MEI_S</vt:lpstr>
      <vt:lpstr>UNJC0210_IF_ACTIVE_CELL_NAME</vt:lpstr>
      <vt:lpstr>UNJC0210_IF_ACTIVE_COLUMN</vt:lpstr>
      <vt:lpstr>UNJC0210_IF_ACTIVE_ROW</vt:lpstr>
      <vt:lpstr>UNJC0210_IF_ACTIVE_SHEET</vt:lpstr>
      <vt:lpstr>UNJC0210_IF_BODY_CHECK_COPY_MOTO</vt:lpstr>
      <vt:lpstr>UNJC0210_IF_BODY_COPY_MOTO</vt:lpstr>
      <vt:lpstr>UNJC0210_IF_DATA_SEARCH_FLG</vt:lpstr>
      <vt:lpstr>UNJC0210_IF_EXCEL_COPY_SAKI</vt:lpstr>
      <vt:lpstr>UNJC0210_IF_EXCEL_DATA_CNT</vt:lpstr>
      <vt:lpstr>UNJC0210_IF_EXCEL_FILE_NAME</vt:lpstr>
      <vt:lpstr>UNJC0210_IF_EXCEL_LIST_COPY_MOTO</vt:lpstr>
      <vt:lpstr>UNJC0210_IF_EXCEL_LIST_START</vt:lpstr>
      <vt:lpstr>UNJC0210_IF_INIT_HEADER_COPY_MOTO</vt:lpstr>
      <vt:lpstr>UNJC0210_IF_INIT_HEADER_FLG_COPY_MOTO</vt:lpstr>
      <vt:lpstr>UNJC0210_IF_JOTAI_START</vt:lpstr>
      <vt:lpstr>UNJC0210_IF_LIST_JOTAI_KENSU</vt:lpstr>
      <vt:lpstr>UNJC0210_IF_LIST_JOTAI_TENKAIICHI</vt:lpstr>
      <vt:lpstr>UNJC0210_IF_SEARCH_CHECK</vt:lpstr>
      <vt:lpstr>UNJC0210_IF_SENTAKU</vt:lpstr>
      <vt:lpstr>UNJC0210_IF_W_MODE</vt:lpstr>
      <vt:lpstr>UNJC0210_IF_W_SERIAL</vt:lpstr>
      <vt:lpstr>UNJC0210_IF_W_SERIAL_CREATE</vt:lpstr>
      <vt:lpstr>UNJC0210_IF_W_USER_ID</vt:lpstr>
      <vt:lpstr>UNJC0210_PRINT_COPY_START</vt:lpstr>
      <vt:lpstr>UNJC0210_PRINT_IF_ColumnNameList</vt:lpstr>
      <vt:lpstr>UNJC0210_PRINT_IF_COPY_AREA</vt:lpstr>
      <vt:lpstr>UNJC0210_PRINT_IF_COPY_AREA_SUB</vt:lpstr>
      <vt:lpstr>UNJC0210_PRINT_IF_DATA_LIST_CLEAR</vt:lpstr>
      <vt:lpstr>UNJC0210_PRINT_IF_ERROR_FLG</vt:lpstr>
      <vt:lpstr>UNJC0210_PRINT_IF_ItemizedSampleMasterList</vt:lpstr>
      <vt:lpstr>UNJC0210_PRINT_IF_ItemizedSampleMasterList_End</vt:lpstr>
      <vt:lpstr>UNJC0210_PRINT_IF_ItemizedSampleMasterNumber</vt:lpstr>
      <vt:lpstr>UNJC0210_PRINT_IF_LabelList</vt:lpstr>
      <vt:lpstr>UNJC0210_PRINT_IF_LabelList_End</vt:lpstr>
      <vt:lpstr>UNJC0210_PRINT_IF_LabelListNum</vt:lpstr>
      <vt:lpstr>UNJC0210_PRINT_IF_MASTER_LIST_CLEAR</vt:lpstr>
      <vt:lpstr>UNJC0210_PRINT_IF_PASTE_AREA</vt:lpstr>
      <vt:lpstr>UNJC0210_PRINT_IF_PASTE_AREA_SUB</vt:lpstr>
      <vt:lpstr>UNJC0210_PRINT_IF_PRINT_COUNT</vt:lpstr>
      <vt:lpstr>UNJC0210_PRINT_IF_SUB_Layout</vt:lpstr>
      <vt:lpstr>UNJC0210_PRINT_IF_SUB_LayoutBase</vt:lpstr>
      <vt:lpstr>UNJC0210_SQL_COUNT</vt:lpstr>
      <vt:lpstr>UNJC0210_SQL_DEFAULT_JOTAI</vt:lpstr>
      <vt:lpstr>UNJC0210_SQL_DISP_LIST</vt:lpstr>
      <vt:lpstr>UNJC0210_SQL_EXCEL_LOAD</vt:lpstr>
      <vt:lpstr>UNJC0210_SQL_INIT_SORT</vt:lpstr>
      <vt:lpstr>UNJC0210_SQL_JOTAI_LIST</vt:lpstr>
      <vt:lpstr>UNJC0210_SQL_PRINT_COUNT</vt:lpstr>
      <vt:lpstr>UNJC0210_SQL_PRINT_LOAD</vt:lpstr>
      <vt:lpstr>UNJC0210_SQL_PRINT_SAMPLE_DATA</vt:lpstr>
      <vt:lpstr>UNJC0210_SQL_SEARCH_LOAD</vt:lpstr>
      <vt:lpstr>UNJC0210_SQL_SHOHIN_BUNRUI_SEARCH</vt:lpstr>
      <vt:lpstr>UNJC0210_SQL_SORT</vt:lpstr>
      <vt:lpstr>UNJC0210_SQL_SORT_SEARCH</vt:lpstr>
      <vt:lpstr>UNJC0210_SQL_TABLE_UPDATE</vt:lpstr>
      <vt:lpstr>UNJC0220_B_ALL_KENSU</vt:lpstr>
      <vt:lpstr>UNJC0220_B_ALL_PAGE_SU</vt:lpstr>
      <vt:lpstr>UNJC0220_B_BACK_PAGE</vt:lpstr>
      <vt:lpstr>UNJC0220_B_BACK_PAGE_NO</vt:lpstr>
      <vt:lpstr>UNJC0220_B_BARA_TANI</vt:lpstr>
      <vt:lpstr>UNJC0220_B_HIDE_COLUMN</vt:lpstr>
      <vt:lpstr>UNJC0220_B_HIDE_ROW</vt:lpstr>
      <vt:lpstr>UNJC0220_B_HOKAN_BASHO_KBN_MEI</vt:lpstr>
      <vt:lpstr>UNJC0220_B_HYOJI_GYO_SU</vt:lpstr>
      <vt:lpstr>UNJC0220_B_HYOJI_KENSU</vt:lpstr>
      <vt:lpstr>UNJC0220_B_IRISU</vt:lpstr>
      <vt:lpstr>UNJC0220_B_IRISU_TANI</vt:lpstr>
      <vt:lpstr>UNJC0220_B_JURI_NO</vt:lpstr>
      <vt:lpstr>UNJC0220_B_KOBAIHIN_CD</vt:lpstr>
      <vt:lpstr>UNJC0220_B_LIST_CLEAR</vt:lpstr>
      <vt:lpstr>UNJC0220_B_LIST_COPY_FLG</vt:lpstr>
      <vt:lpstr>UNJC0220_B_LIST_COPY_SAKI</vt:lpstr>
      <vt:lpstr>UNJC0220_B_LIST_END</vt:lpstr>
      <vt:lpstr>UNJC0220_B_LIST_START</vt:lpstr>
      <vt:lpstr>UNJC0220_B_MAKER_CD</vt:lpstr>
      <vt:lpstr>UNJC0220_B_MAKER_MEI</vt:lpstr>
      <vt:lpstr>UNJC0220_B_NEXT_PAGE</vt:lpstr>
      <vt:lpstr>UNJC0220_B_NEXT_PAGE_NO</vt:lpstr>
      <vt:lpstr>UNJC0220_B_NYURYOKUSHA_MEI</vt:lpstr>
      <vt:lpstr>UNJC0220_B_NYUSHUKKO_NO</vt:lpstr>
      <vt:lpstr>UNJC0220_B_PAGE_NO</vt:lpstr>
      <vt:lpstr>UNJC0220_B_SCROLL_LOCK</vt:lpstr>
      <vt:lpstr>UNJC0220_B_SELECT_GYO_NO</vt:lpstr>
      <vt:lpstr>UNJC0220_B_SELECT_NYUSHUKKO_NO</vt:lpstr>
      <vt:lpstr>UNJC0220_B_SENTAKU</vt:lpstr>
      <vt:lpstr>UNJC0220_B_SHIIRESAKI_CD</vt:lpstr>
      <vt:lpstr>UNJC0220_B_SHIIRESAKI_MEI</vt:lpstr>
      <vt:lpstr>UNJC0220_B_SHUKKO_JIYU</vt:lpstr>
      <vt:lpstr>UNJC0220_B_SHUKKO_SURYO</vt:lpstr>
      <vt:lpstr>UNJC0220_B_TANKA</vt:lpstr>
      <vt:lpstr>UNJC0220_B_UKEIRE_DATE</vt:lpstr>
      <vt:lpstr>UNJC0220_B_ZAIKO_NO</vt:lpstr>
      <vt:lpstr>UNJC0220_H_COPY_CELL_SAKI</vt:lpstr>
      <vt:lpstr>UNJC0220_H_FREEWD_1</vt:lpstr>
      <vt:lpstr>UNJC0220_H_FREEWD_1_S</vt:lpstr>
      <vt:lpstr>UNJC0220_H_FREEWD_2</vt:lpstr>
      <vt:lpstr>UNJC0220_H_FREEWD_2_S</vt:lpstr>
      <vt:lpstr>UNJC0220_H_FREEWD_3</vt:lpstr>
      <vt:lpstr>UNJC0220_H_FREEWD_3_S</vt:lpstr>
      <vt:lpstr>UNJC0220_H_FREEWD_KBN</vt:lpstr>
      <vt:lpstr>UNJC0220_H_FREEWD_KBN_DISP</vt:lpstr>
      <vt:lpstr>UNJC0220_H_FREEWD_KBN_S</vt:lpstr>
      <vt:lpstr>UNJC0220_H_HIDE_COLUMN</vt:lpstr>
      <vt:lpstr>UNJC0220_H_HIDE_ROW</vt:lpstr>
      <vt:lpstr>UNJC0220_H_HOKAN_BASHO_KBN</vt:lpstr>
      <vt:lpstr>UNJC0220_H_HOKAN_BASHO_KBN_MEI</vt:lpstr>
      <vt:lpstr>UNJC0220_H_HOKAN_BASHO_KBN_MEI_S</vt:lpstr>
      <vt:lpstr>UNJC0220_H_HOKAN_BASHO_KBN_S</vt:lpstr>
      <vt:lpstr>UNJC0220_H_INIT_HEADER_DATA_COPY_SAKI</vt:lpstr>
      <vt:lpstr>UNJC0220_H_JURI_NO</vt:lpstr>
      <vt:lpstr>UNJC0220_H_JURI_NO_S</vt:lpstr>
      <vt:lpstr>UNJC0220_H_KOBAIHIN_CD</vt:lpstr>
      <vt:lpstr>UNJC0220_H_KOBAIHIN_CD_S</vt:lpstr>
      <vt:lpstr>UNJC0220_H_KOBAIHIN_MEI</vt:lpstr>
      <vt:lpstr>UNJC0220_H_KOBAIHIN_MEI_S</vt:lpstr>
      <vt:lpstr>UNJC0220_H_MAKER_CD</vt:lpstr>
      <vt:lpstr>UNJC0220_H_MAKER_CD_S</vt:lpstr>
      <vt:lpstr>UNJC0220_H_MAKER_MEI</vt:lpstr>
      <vt:lpstr>UNJC0220_H_MAKER_MEI_S</vt:lpstr>
      <vt:lpstr>UNJC0220_H_NYURYOKUSHA_CD</vt:lpstr>
      <vt:lpstr>UNJC0220_H_NYURYOKUSHA_CD_S</vt:lpstr>
      <vt:lpstr>UNJC0220_H_NYURYOKUSHA_MEI</vt:lpstr>
      <vt:lpstr>UNJC0220_H_NYURYOKUSHA_MEI_S</vt:lpstr>
      <vt:lpstr>UNJC0220_H_NYUSHUKKO_NO</vt:lpstr>
      <vt:lpstr>UNJC0220_H_NYUSHUKKO_NO_S</vt:lpstr>
      <vt:lpstr>UNJC0220_H_SHIIRESAKI_CD</vt:lpstr>
      <vt:lpstr>UNJC0220_H_SHIIRESAKI_CD_S</vt:lpstr>
      <vt:lpstr>UNJC0220_H_SHIIRESAKI_MEI</vt:lpstr>
      <vt:lpstr>UNJC0220_H_SHIIRESAKI_MEI_S</vt:lpstr>
      <vt:lpstr>UNJC0220_H_SHUKKO_DATE_END</vt:lpstr>
      <vt:lpstr>UNJC0220_H_SHUKKO_DATE_END_S</vt:lpstr>
      <vt:lpstr>UNJC0220_H_SHUKKO_DATE_START</vt:lpstr>
      <vt:lpstr>UNJC0220_H_SHUKKO_DATE_START_S</vt:lpstr>
      <vt:lpstr>UNJC0220_H_ZAIKO_NO</vt:lpstr>
      <vt:lpstr>UNJC0220_H_ZAIKO_NO_S</vt:lpstr>
      <vt:lpstr>UNJC0220_IF_ACTIVE_CELL_NAME</vt:lpstr>
      <vt:lpstr>UNJC0220_IF_ACTIVE_COLUMN</vt:lpstr>
      <vt:lpstr>UNJC0220_IF_ACTIVE_ROW</vt:lpstr>
      <vt:lpstr>UNJC0220_IF_ACTIVE_SHEET</vt:lpstr>
      <vt:lpstr>UNJC0220_IF_DATA_SEARCH_FLG</vt:lpstr>
      <vt:lpstr>UNJC0220_IF_EXCEL_FILE_NAME</vt:lpstr>
      <vt:lpstr>UNJC0220_IF_INIT_HEADER_COPY_MOTO</vt:lpstr>
      <vt:lpstr>UNJC0220_IF_INIT_HEADER_DATA_COPY_MOTO</vt:lpstr>
      <vt:lpstr>UNJC0220_IF_LIST_COPY_MOTO</vt:lpstr>
      <vt:lpstr>UNJC0220_IF_LIST_DEFAULT</vt:lpstr>
      <vt:lpstr>UNJC0220_IF_PRINT_COUNT</vt:lpstr>
      <vt:lpstr>UNJC0220_IF_PRINT_SHOSHIKI_COPY_FLG</vt:lpstr>
      <vt:lpstr>UNJC0220_IF_PRINT_SHOSHIKI_COPY_MOTO</vt:lpstr>
      <vt:lpstr>UNJC0220_IF_PRINT_SHOSHIKI_COPY_SAKI</vt:lpstr>
      <vt:lpstr>UNJC0220_IF_PRINT_START</vt:lpstr>
      <vt:lpstr>UNJC0220_SQL_DEFAULT_SORT</vt:lpstr>
      <vt:lpstr>UNJC0220_SQL_EXCEL_LIST</vt:lpstr>
      <vt:lpstr>UNJC0220_SQL_SHUKKO_KENSAKU_LIST</vt:lpstr>
      <vt:lpstr>UNJC0220_SQL_SHUKKO_KENSAKU_LIST_CNT</vt:lpstr>
      <vt:lpstr>UNJC0220_SQL_SORT</vt:lpstr>
      <vt:lpstr>UNJC0220_SQL_SORT_BY</vt:lpstr>
      <vt:lpstr>UNJC0230_B_BARA_TANI</vt:lpstr>
      <vt:lpstr>UNJC0230_B_BIKO</vt:lpstr>
      <vt:lpstr>UNJC0230_B_CODE_AREA</vt:lpstr>
      <vt:lpstr>UNJC0230_B_COPY_SAKI</vt:lpstr>
      <vt:lpstr>UNJC0230_B_HIDE_COLUMN</vt:lpstr>
      <vt:lpstr>UNJC0230_B_HIDE_ROW</vt:lpstr>
      <vt:lpstr>UNJC0230_B_HOKAN_BASHO</vt:lpstr>
      <vt:lpstr>UNJC0230_B_HOKAN_BASHO_KBN</vt:lpstr>
      <vt:lpstr>UNJC0230_B_HOKAN_ZAIKO_SURYO</vt:lpstr>
      <vt:lpstr>UNJC0230_B_IRAI_NO</vt:lpstr>
      <vt:lpstr>UNJC0230_B_IRISU</vt:lpstr>
      <vt:lpstr>UNJC0230_B_IRISU_TANI</vt:lpstr>
      <vt:lpstr>UNJC0230_B_JIYU</vt:lpstr>
      <vt:lpstr>UNJC0230_B_JURI_NO</vt:lpstr>
      <vt:lpstr>UNJC0230_B_KENSHU_DATE</vt:lpstr>
      <vt:lpstr>UNJC0230_B_KOBAIHIN_CD</vt:lpstr>
      <vt:lpstr>UNJC0230_B_KOBAIHIN_MEI</vt:lpstr>
      <vt:lpstr>UNJC0230_B_MAKER_CD</vt:lpstr>
      <vt:lpstr>UNJC0230_B_MAKER_MEI</vt:lpstr>
      <vt:lpstr>UNJC0230_B_NYURYOKUSHA_CD</vt:lpstr>
      <vt:lpstr>UNJC0230_B_NYURYOKUSHA_MEI</vt:lpstr>
      <vt:lpstr>UNJC0230_B_NYUSHUKKO_NO</vt:lpstr>
      <vt:lpstr>UNJC0230_B_SHIIRESAKI_CD</vt:lpstr>
      <vt:lpstr>UNJC0230_B_SHIIRESAKI_MEI</vt:lpstr>
      <vt:lpstr>UNJC0230_B_SHIYAKU_FLG</vt:lpstr>
      <vt:lpstr>UNJC0230_B_SHUKKO_DATE</vt:lpstr>
      <vt:lpstr>UNJC0230_B_SURYO</vt:lpstr>
      <vt:lpstr>UNJC0230_B_SURYO_BEFORE</vt:lpstr>
      <vt:lpstr>UNJC0230_B_TANKA</vt:lpstr>
      <vt:lpstr>UNJC0230_B_UKEIRE_DATE</vt:lpstr>
      <vt:lpstr>UNJC0230_B_YOSAN_CD</vt:lpstr>
      <vt:lpstr>UNJC0230_B_YOSAN_MEI</vt:lpstr>
      <vt:lpstr>UNJC0230_B_ZAIKO_SURYO</vt:lpstr>
      <vt:lpstr>UNJC0230_H_COPY_SAKI</vt:lpstr>
      <vt:lpstr>UNJC0230_H_DATA_COUNT</vt:lpstr>
      <vt:lpstr>UNJC0230_H_DBS_01</vt:lpstr>
      <vt:lpstr>UNJC0230_H_HIDE_COLUMN</vt:lpstr>
      <vt:lpstr>UNJC0230_H_HIDE_ROW</vt:lpstr>
      <vt:lpstr>UNJC0230_H_ZAIKO_NO</vt:lpstr>
      <vt:lpstr>UNJC0230_IF_ACTIVE_CELL_NAME</vt:lpstr>
      <vt:lpstr>UNJC0230_IF_ACTIVE_COLUMN</vt:lpstr>
      <vt:lpstr>UNJC0230_IF_ACTIVE_ROW</vt:lpstr>
      <vt:lpstr>UNJC0230_IF_ACTIVE_SHEET</vt:lpstr>
      <vt:lpstr>UNJC0230_IF_BUTTON_06_HYOJI</vt:lpstr>
      <vt:lpstr>UNJC0230_IF_BUTTON_06_NAME</vt:lpstr>
      <vt:lpstr>UNJC0230_IF_BUTTON_07_HYOJI</vt:lpstr>
      <vt:lpstr>UNJC0230_IF_BUTTON_10_ERROR</vt:lpstr>
      <vt:lpstr>UNJC0230_IF_BUTTON_10_ERROR_MSG</vt:lpstr>
      <vt:lpstr>UNJC0230_IF_BUTTON_10_HYOJI</vt:lpstr>
      <vt:lpstr>UNJC0230_IF_BUTTON_10_NAME</vt:lpstr>
      <vt:lpstr>UNJC0230_IF_BUTTON_20_HYOJI</vt:lpstr>
      <vt:lpstr>UNJC0230_IF_COPY_B_INIT</vt:lpstr>
      <vt:lpstr>UNJC0230_IF_COPY_B_SANSHO</vt:lpstr>
      <vt:lpstr>UNJC0230_IF_COPY_B_SHINKI</vt:lpstr>
      <vt:lpstr>UNJC0230_IF_COPY_B_SHUSEI</vt:lpstr>
      <vt:lpstr>UNJC0230_IF_COPY_H_INIT</vt:lpstr>
      <vt:lpstr>UNJC0230_IF_COPY_H_SANSHO</vt:lpstr>
      <vt:lpstr>UNJC0230_IF_COPY_H_SHINKI</vt:lpstr>
      <vt:lpstr>UNJC0230_IF_COPY_H_SHUSEI</vt:lpstr>
      <vt:lpstr>UNJC0230_IF_DATA_SEARCH_FLG</vt:lpstr>
      <vt:lpstr>UNJC0230_IF_EXCEL_FILE_NAME</vt:lpstr>
      <vt:lpstr>UNJC0230_IF_INPUT_CHECK</vt:lpstr>
      <vt:lpstr>UNJC0230_IF_INPUT_ERROR_MESSAGE</vt:lpstr>
      <vt:lpstr>UNJC0230_IF_MODE</vt:lpstr>
      <vt:lpstr>UNJC0230_IF_REF_NO</vt:lpstr>
      <vt:lpstr>UNJC0230_IF_SAVE_CHECK_ERROR_KOMOKU</vt:lpstr>
      <vt:lpstr>UNJC0230_IF_SAVE_CHECK_RESULT</vt:lpstr>
      <vt:lpstr>UNJC0230_IF_SAVE_ERROR_CHECK</vt:lpstr>
      <vt:lpstr>UNJC0230_IF_SAVE_ERROR_MESSAGE</vt:lpstr>
      <vt:lpstr>UNJC0230_IF_SAVE_KENSU</vt:lpstr>
      <vt:lpstr>UNJC0230_IF_SAVE_NYURYOKUSHA_CD</vt:lpstr>
      <vt:lpstr>UNJC0230_IF_SAVE_RESULT_CD</vt:lpstr>
      <vt:lpstr>UNJC0230_IF_SAVE_RESULT_MESSAGE</vt:lpstr>
      <vt:lpstr>UNJC0230_IF_SAVE_RESULT_NYUSHUKKO_NO</vt:lpstr>
      <vt:lpstr>UNJC0230_IF_SAVE_SHUKKO_DATE</vt:lpstr>
      <vt:lpstr>UNJC0230_IF_SAVE_SHUKKO_SURYO</vt:lpstr>
      <vt:lpstr>UNJC0230_IF_SAVE_START</vt:lpstr>
      <vt:lpstr>UNJC0230_IF_SAVE_ZAIKO_NO</vt:lpstr>
      <vt:lpstr>UNJC0230_IF_SHIYAKU_FLG</vt:lpstr>
      <vt:lpstr>UNJC0230_IF_W_MODE</vt:lpstr>
      <vt:lpstr>UNJC0230_IF_W_SERIAL</vt:lpstr>
      <vt:lpstr>UNJC0230_IF_W_SERIAL_CREATE</vt:lpstr>
      <vt:lpstr>UNJC0230_IF_W_USER_ID</vt:lpstr>
      <vt:lpstr>UNJC0230_SQL_DATA</vt:lpstr>
      <vt:lpstr>UNJC0230_SQL_DATA_COUNT</vt:lpstr>
      <vt:lpstr>UNJC0230_SQL_DEFAULT_NYURYOKUSHA</vt:lpstr>
      <vt:lpstr>UNJC0230_SQL_PROC</vt:lpstr>
      <vt:lpstr>UNJC0240_B_ALL_KENSU</vt:lpstr>
      <vt:lpstr>UNJC0240_B_ALL_PAGE_SU</vt:lpstr>
      <vt:lpstr>UNJC0240_B_BACK_PAGE</vt:lpstr>
      <vt:lpstr>UNJC0240_B_BACK_PAGE_NO</vt:lpstr>
      <vt:lpstr>UNJC0240_B_BARA_TANI</vt:lpstr>
      <vt:lpstr>UNJC0240_B_GYO</vt:lpstr>
      <vt:lpstr>UNJC0240_B_HIDE_COLUMN</vt:lpstr>
      <vt:lpstr>UNJC0240_B_HIDE_ROW</vt:lpstr>
      <vt:lpstr>UNJC0240_B_HOKAN_BASHO</vt:lpstr>
      <vt:lpstr>UNJC0240_B_HYOJI_GYO_SU</vt:lpstr>
      <vt:lpstr>UNJC0240_B_HYOJI_KENSU</vt:lpstr>
      <vt:lpstr>UNJC0240_B_IRISU</vt:lpstr>
      <vt:lpstr>UNJC0240_B_IRISU_TANI</vt:lpstr>
      <vt:lpstr>UNJC0240_B_KOBAIHIN_CD</vt:lpstr>
      <vt:lpstr>UNJC0240_B_KOBAIHIN_MEI</vt:lpstr>
      <vt:lpstr>UNJC0240_B_LIST_CLEAR</vt:lpstr>
      <vt:lpstr>UNJC0240_B_LIST_COPY_FLG</vt:lpstr>
      <vt:lpstr>UNJC0240_B_LIST_COPY_SAKI</vt:lpstr>
      <vt:lpstr>UNJC0240_B_LIST_END</vt:lpstr>
      <vt:lpstr>UNJC0240_B_LIST_START</vt:lpstr>
      <vt:lpstr>UNJC0240_B_MAKER_CD</vt:lpstr>
      <vt:lpstr>UNJC0240_B_MAKER_MEI</vt:lpstr>
      <vt:lpstr>UNJC0240_B_NEXT_PAGE</vt:lpstr>
      <vt:lpstr>UNJC0240_B_NEXT_PAGE_NO</vt:lpstr>
      <vt:lpstr>UNJC0240_B_NYUKO_DATE</vt:lpstr>
      <vt:lpstr>UNJC0240_B_PAGE_NO</vt:lpstr>
      <vt:lpstr>UNJC0240_B_SCROLL_LOCK</vt:lpstr>
      <vt:lpstr>UNJC0240_B_SHIIRESAKI_CD</vt:lpstr>
      <vt:lpstr>UNJC0240_B_SHIIRESAKI_MEI</vt:lpstr>
      <vt:lpstr>UNJC0240_B_SHUKKO_DATE</vt:lpstr>
      <vt:lpstr>UNJC0240_B_ZAIKO_SU</vt:lpstr>
      <vt:lpstr>UNJC0240_H_COPY_CELL_SAKI</vt:lpstr>
      <vt:lpstr>UNJC0240_H_DOKU_FLG</vt:lpstr>
      <vt:lpstr>UNJC0240_H_DOKU_FLG_S</vt:lpstr>
      <vt:lpstr>UNJC0240_H_FREEWD_1</vt:lpstr>
      <vt:lpstr>UNJC0240_H_FREEWD_1_S</vt:lpstr>
      <vt:lpstr>UNJC0240_H_FREEWD_2</vt:lpstr>
      <vt:lpstr>UNJC0240_H_FREEWD_2_S</vt:lpstr>
      <vt:lpstr>UNJC0240_H_FREEWD_3</vt:lpstr>
      <vt:lpstr>UNJC0240_H_FREEWD_3_S</vt:lpstr>
      <vt:lpstr>UNJC0240_H_FREEWD_KBN</vt:lpstr>
      <vt:lpstr>UNJC0240_H_FREEWD_KBN_DISP</vt:lpstr>
      <vt:lpstr>UNJC0240_H_FREEWD_KBN_S</vt:lpstr>
      <vt:lpstr>UNJC0240_H_HIDE_COLUMN</vt:lpstr>
      <vt:lpstr>UNJC0240_H_HIDE_ROW</vt:lpstr>
      <vt:lpstr>UNJC0240_H_HOKAN_BASHO_KBN</vt:lpstr>
      <vt:lpstr>UNJC0240_H_HOKAN_BASHO_KBN_MEI</vt:lpstr>
      <vt:lpstr>UNJC0240_H_HOKAN_BASHO_KBN_MEI_S</vt:lpstr>
      <vt:lpstr>UNJC0240_H_HOKAN_BASHO_KBN_S</vt:lpstr>
      <vt:lpstr>UNJC0240_H_INIT_HEADER_DATA_COPY_SAKI</vt:lpstr>
      <vt:lpstr>UNJC0240_H_KOBAIHIN_CD</vt:lpstr>
      <vt:lpstr>UNJC0240_H_KOBAIHIN_CD_S</vt:lpstr>
      <vt:lpstr>UNJC0240_H_KOBAIHIN_MEI</vt:lpstr>
      <vt:lpstr>UNJC0240_H_KOBAIHIN_MEI_S</vt:lpstr>
      <vt:lpstr>UNJC0240_H_MAKER_CD</vt:lpstr>
      <vt:lpstr>UNJC0240_H_MAKER_CD_S</vt:lpstr>
      <vt:lpstr>UNJC0240_H_MAKER_MEI</vt:lpstr>
      <vt:lpstr>UNJC0240_H_MAKER_MEI_S</vt:lpstr>
      <vt:lpstr>UNJC0240_H_NYUKO_DATE_END</vt:lpstr>
      <vt:lpstr>UNJC0240_H_NYUKO_DATE_END_S</vt:lpstr>
      <vt:lpstr>UNJC0240_H_NYUKO_DATE_START</vt:lpstr>
      <vt:lpstr>UNJC0240_H_NYUKO_DATE_START_S</vt:lpstr>
      <vt:lpstr>UNJC0240_H_SHIIRESAKI_CD</vt:lpstr>
      <vt:lpstr>UNJC0240_H_SHIIRESAKI_CD_S</vt:lpstr>
      <vt:lpstr>UNJC0240_H_SHIIRESAKI_MEI</vt:lpstr>
      <vt:lpstr>UNJC0240_H_SHIIRESAKI_MEI_S</vt:lpstr>
      <vt:lpstr>UNJC0240_H_SHUKKO_DATE_END</vt:lpstr>
      <vt:lpstr>UNJC0240_H_SHUKKO_DATE_END_S</vt:lpstr>
      <vt:lpstr>UNJC0240_H_SHUKKO_DATE_START</vt:lpstr>
      <vt:lpstr>UNJC0240_H_SHUKKO_DATE_START_S</vt:lpstr>
      <vt:lpstr>UNJC0240_IF_ACTIVE_CELL_NAME</vt:lpstr>
      <vt:lpstr>UNJC0240_IF_ACTIVE_COLUMN</vt:lpstr>
      <vt:lpstr>UNJC0240_IF_ACTIVE_ROW</vt:lpstr>
      <vt:lpstr>UNJC0240_IF_ACTIVE_SHEET</vt:lpstr>
      <vt:lpstr>UNJC0240_IF_DATA_SEARCH_FLG</vt:lpstr>
      <vt:lpstr>UNJC0240_IF_EXCEL_FILE_NAME</vt:lpstr>
      <vt:lpstr>UNJC0240_IF_INIT_HEADER_COPY_MOTO</vt:lpstr>
      <vt:lpstr>UNJC0240_IF_INIT_HEADER_DATA_COPY_MOTO</vt:lpstr>
      <vt:lpstr>UNJC0240_IF_LIST_COPY_MOTO</vt:lpstr>
      <vt:lpstr>UNJC0240_IF_LIST_DEFAULT</vt:lpstr>
      <vt:lpstr>UNJC0240_IF_PRINT_COUNT</vt:lpstr>
      <vt:lpstr>UNJC0240_IF_PRINT_SHOSHIKI_COPY_FLA</vt:lpstr>
      <vt:lpstr>UNJC0240_IF_PRINT_SHOSHIKI_COPY_MOTO</vt:lpstr>
      <vt:lpstr>UNJC0240_IF_PRINT_SHOSHIKI_COPY_SAKI</vt:lpstr>
      <vt:lpstr>UNJC0240_IF_PRINT_START</vt:lpstr>
      <vt:lpstr>UNJC0240_SQL_DEFAULT_SORT</vt:lpstr>
      <vt:lpstr>UNJC0240_SQL_EXCEL_LIST</vt:lpstr>
      <vt:lpstr>UNJC0240_SQL_SORT</vt:lpstr>
      <vt:lpstr>UNJC0240_SQL_SORT_BY</vt:lpstr>
      <vt:lpstr>UNJC0240_SQL_ZAIKO_KENSAKU_LIST</vt:lpstr>
      <vt:lpstr>UNJC0240_SQL_ZAIKO_KENSAKU_LIST_CNT</vt:lpstr>
      <vt:lpstr>UNJC0250_B_BARA_TANI</vt:lpstr>
      <vt:lpstr>UNJC0250_B_CODE_AREA</vt:lpstr>
      <vt:lpstr>UNJC0250_B_COPY_SAKI</vt:lpstr>
      <vt:lpstr>UNJC0250_B_HIDE_COLUMN</vt:lpstr>
      <vt:lpstr>UNJC0250_B_HIDE_ROW</vt:lpstr>
      <vt:lpstr>UNJC0250_B_HOKAN_BASHO</vt:lpstr>
      <vt:lpstr>UNJC0250_B_HOKAN_BASHO_KBN</vt:lpstr>
      <vt:lpstr>UNJC0250_B_IRISU</vt:lpstr>
      <vt:lpstr>UNJC0250_B_IRISU_TANI</vt:lpstr>
      <vt:lpstr>UNJC0250_B_KOBAIHIN_CD</vt:lpstr>
      <vt:lpstr>UNJC0250_B_KOBAIHIN_MEI</vt:lpstr>
      <vt:lpstr>UNJC0250_B_LAST_NYUKO_DATE</vt:lpstr>
      <vt:lpstr>UNJC0250_B_LAST_SHUKKO_DATE</vt:lpstr>
      <vt:lpstr>UNJC0250_B_MAKER_CD</vt:lpstr>
      <vt:lpstr>UNJC0250_B_MAKER_MEI</vt:lpstr>
      <vt:lpstr>UNJC0250_B_SHIIRESAKI_CD</vt:lpstr>
      <vt:lpstr>UNJC0250_B_SHIIRESAKI_MEI</vt:lpstr>
      <vt:lpstr>UNJC0250_B_SHIYAKU_FLG</vt:lpstr>
      <vt:lpstr>UNJC0250_B_TANKA</vt:lpstr>
      <vt:lpstr>UNJC0250_B_ZAIKO_SURYO</vt:lpstr>
      <vt:lpstr>UNJC0250_H_COPY_SAKI</vt:lpstr>
      <vt:lpstr>UNJC0250_H_DATA_COUNT</vt:lpstr>
      <vt:lpstr>UNJC0250_H_DBS_01</vt:lpstr>
      <vt:lpstr>UNJC0250_H_HIDE_COLUMN</vt:lpstr>
      <vt:lpstr>UNJC0250_H_HIDE_ROW</vt:lpstr>
      <vt:lpstr>UNJC0250_H_ZAIKO_NO</vt:lpstr>
      <vt:lpstr>UNJC0250_IF_ACTIVE_CELL_NAME</vt:lpstr>
      <vt:lpstr>UNJC0250_IF_ACTIVE_COLUMN</vt:lpstr>
      <vt:lpstr>UNJC0250_IF_ACTIVE_ROW</vt:lpstr>
      <vt:lpstr>UNJC0250_IF_ACTIVE_SHEET</vt:lpstr>
      <vt:lpstr>UNJC0250_IF_BUTTON_06_HYOJI</vt:lpstr>
      <vt:lpstr>UNJC0250_IF_BUTTON_06_NAME</vt:lpstr>
      <vt:lpstr>UNJC0250_IF_BUTTON_07_HYOJI</vt:lpstr>
      <vt:lpstr>UNJC0250_IF_BUTTON_10_HYOJI</vt:lpstr>
      <vt:lpstr>UNJC0250_IF_BUTTON_10_NAME</vt:lpstr>
      <vt:lpstr>UNJC0250_IF_BUTTON_20_HYOJI</vt:lpstr>
      <vt:lpstr>UNJC0250_IF_COPY_B_INIT</vt:lpstr>
      <vt:lpstr>UNJC0250_IF_COPY_B_SANSHO</vt:lpstr>
      <vt:lpstr>UNJC0250_IF_COPY_B_SHINKI</vt:lpstr>
      <vt:lpstr>UNJC0250_IF_COPY_B_SHUSEI</vt:lpstr>
      <vt:lpstr>UNJC0250_IF_COPY_H_INIT</vt:lpstr>
      <vt:lpstr>UNJC0250_IF_COPY_H_SANSHO</vt:lpstr>
      <vt:lpstr>UNJC0250_IF_COPY_H_SHINKI</vt:lpstr>
      <vt:lpstr>UNJC0250_IF_COPY_H_SHUSEI</vt:lpstr>
      <vt:lpstr>UNJC0250_IF_DATA_SEARCH_FLG</vt:lpstr>
      <vt:lpstr>UNJC0250_IF_EXCEL_FILE_NAME</vt:lpstr>
      <vt:lpstr>UNJC0250_IF_INPUT_CHECK</vt:lpstr>
      <vt:lpstr>UNJC0250_IF_INPUT_ERROR_MESSAGE</vt:lpstr>
      <vt:lpstr>UNJC0250_IF_MODE</vt:lpstr>
      <vt:lpstr>UNJC0250_IF_REF_NO</vt:lpstr>
      <vt:lpstr>UNJC0250_IF_SAVE_CHECK_ERROR_KOMOKU</vt:lpstr>
      <vt:lpstr>UNJC0250_IF_SAVE_CHECK_RESULT</vt:lpstr>
      <vt:lpstr>UNJC0250_IF_SAVE_ERROR_CHECK</vt:lpstr>
      <vt:lpstr>UNJC0250_IF_SAVE_ERROR_MESSAGE</vt:lpstr>
      <vt:lpstr>UNJC0250_IF_SAVE_HOKAN_BASHO_KBN</vt:lpstr>
      <vt:lpstr>UNJC0250_IF_SAVE_KENSU</vt:lpstr>
      <vt:lpstr>UNJC0250_IF_SAVE_KOBAIHIN_CD</vt:lpstr>
      <vt:lpstr>UNJC0250_IF_SAVE_RESULT_CD</vt:lpstr>
      <vt:lpstr>UNJC0250_IF_SAVE_RESULT_MESSAGE</vt:lpstr>
      <vt:lpstr>UNJC0250_IF_SAVE_RESULT_ZAIKO_NO</vt:lpstr>
      <vt:lpstr>UNJC0250_IF_SAVE_START</vt:lpstr>
      <vt:lpstr>UNJC0250_IF_SAVE_ZAIKO_NO</vt:lpstr>
      <vt:lpstr>UNJC0250_IF_SAVE_ZAIKO_SURYO</vt:lpstr>
      <vt:lpstr>UNJC0250_IF_SHIYAKU_FLG</vt:lpstr>
      <vt:lpstr>UNJC0250_IF_W_MODE</vt:lpstr>
      <vt:lpstr>UNJC0250_IF_W_SERIAL</vt:lpstr>
      <vt:lpstr>UNJC0250_IF_W_SERIAL_CREATE</vt:lpstr>
      <vt:lpstr>UNJC0250_IF_W_USER_ID</vt:lpstr>
      <vt:lpstr>UNJC0250_SQL_DATA</vt:lpstr>
      <vt:lpstr>UNJC0250_SQL_DATA_COUNT</vt:lpstr>
      <vt:lpstr>UNJC0250_SQL_PROC</vt:lpstr>
      <vt:lpstr>UNJC1020_B_ALL_KENSU</vt:lpstr>
      <vt:lpstr>UNJC1020_B_ALL_PAGE_SU</vt:lpstr>
      <vt:lpstr>UNJC1020_B_BACK_PAGE</vt:lpstr>
      <vt:lpstr>UNJC1020_B_BACK_PAGE_NO</vt:lpstr>
      <vt:lpstr>UNJC1020_B_HIDE_COLUMN</vt:lpstr>
      <vt:lpstr>UNJC1020_B_HIDE_ROW</vt:lpstr>
      <vt:lpstr>UNJC1020_B_HYOJI_GYO_SU</vt:lpstr>
      <vt:lpstr>UNJC1020_B_HYOJI_KENSU</vt:lpstr>
      <vt:lpstr>UNJC1020_B_JURI_No</vt:lpstr>
      <vt:lpstr>UNJC1020_B_LIST_CLEAR</vt:lpstr>
      <vt:lpstr>UNJC1020_B_LIST_COPY_FLAG</vt:lpstr>
      <vt:lpstr>UNJC1020_B_LIST_COPY_SAKI</vt:lpstr>
      <vt:lpstr>UNJC1020_B_LIST_END</vt:lpstr>
      <vt:lpstr>UNJC1020_B_LIST_START</vt:lpstr>
      <vt:lpstr>UNJC1020_B_NEXT_PAGE</vt:lpstr>
      <vt:lpstr>UNJC1020_B_NEXT_PAGE_NO</vt:lpstr>
      <vt:lpstr>UNJC1020_B_PAGE_NO</vt:lpstr>
      <vt:lpstr>UNJC1020_B_SCROLL_LOCK</vt:lpstr>
      <vt:lpstr>UNJC1020_B_SELECT_GYO_NO</vt:lpstr>
      <vt:lpstr>UNJC1020_B_SELECT_JURI_No</vt:lpstr>
      <vt:lpstr>UNJC1020_B_SENTAKU</vt:lpstr>
      <vt:lpstr>UNJC1020_H_COPY_CELL_SAKI</vt:lpstr>
      <vt:lpstr>UNJC1020_H_DEMPYO_HAKKO</vt:lpstr>
      <vt:lpstr>UNJC1020_H_DEMPYO_HAKKO_CD</vt:lpstr>
      <vt:lpstr>UNJC1020_H_DOKUGEKI_FLG</vt:lpstr>
      <vt:lpstr>UNJC1020_H_EIGYO_TANTO_CD</vt:lpstr>
      <vt:lpstr>UNJC1020_H_EIGYO_TANTO_MEI</vt:lpstr>
      <vt:lpstr>UNJC1020_H_FLG_COPY_SAKI</vt:lpstr>
      <vt:lpstr>UNJC1020_H_FREEWD_1</vt:lpstr>
      <vt:lpstr>UNJC1020_H_FREEWD_2</vt:lpstr>
      <vt:lpstr>UNJC1020_H_FREEWD_3</vt:lpstr>
      <vt:lpstr>UNJC1020_H_FREEWD_KBN</vt:lpstr>
      <vt:lpstr>UNJC1020_H_FREEWD_KBN_DISP</vt:lpstr>
      <vt:lpstr>UNJC1020_H_HASSO_MEI</vt:lpstr>
      <vt:lpstr>UNJC1020_H_HASSOSAKI_CD</vt:lpstr>
      <vt:lpstr>UNJC1020_H_HASSOSAKI_MEI</vt:lpstr>
      <vt:lpstr>UNJC1020_H_HIDE_COLUMN</vt:lpstr>
      <vt:lpstr>UNJC1020_H_HIDE_ROW</vt:lpstr>
      <vt:lpstr>UNJC1020_H_JUCHU_DATE_1</vt:lpstr>
      <vt:lpstr>UNJC1020_H_JUCHU_DATE_2</vt:lpstr>
      <vt:lpstr>UNJC1020_H_JURI_NO_1</vt:lpstr>
      <vt:lpstr>UNJC1020_H_JURI_NO_2</vt:lpstr>
      <vt:lpstr>UNJC1020_H_KIKAI_FLG</vt:lpstr>
      <vt:lpstr>UNJC1020_H_KOJI_FLG</vt:lpstr>
      <vt:lpstr>UNJC1020_H_MAKER_CD</vt:lpstr>
      <vt:lpstr>UNJC1020_H_MAKER_MEI</vt:lpstr>
      <vt:lpstr>UNJC1020_H_MITSUMORI_NO</vt:lpstr>
      <vt:lpstr>UNJC1020_H_NOHIN_DATE_1</vt:lpstr>
      <vt:lpstr>UNJC1020_H_NOHIN_DATE_2</vt:lpstr>
      <vt:lpstr>UNJC1020_H_NYURYOKU_CD</vt:lpstr>
      <vt:lpstr>UNJC1020_H_NYURYOKUSHA_MEI</vt:lpstr>
      <vt:lpstr>UNJC1020_H_OEM_DAIRITEN_FLG</vt:lpstr>
      <vt:lpstr>UNJC1020_H_SAKUJO_FLG</vt:lpstr>
      <vt:lpstr>UNJC1020_H_SEIKYUSAKI_CD</vt:lpstr>
      <vt:lpstr>UNJC1020_H_SEIKYUSAKI_MEI</vt:lpstr>
      <vt:lpstr>UNJC1020_H_SHIIRESAKI_CD</vt:lpstr>
      <vt:lpstr>UNJC1020_H_SHIIRESAKI_MEI</vt:lpstr>
      <vt:lpstr>UNJC1020_H_SHOHIN_BUNRUI</vt:lpstr>
      <vt:lpstr>UNJC1020_H_SHOHIN_BUNRUI_CD</vt:lpstr>
      <vt:lpstr>UNJC1020_H_SHOHIN_CD</vt:lpstr>
      <vt:lpstr>UNJC1020_H_SHOHIN_MEI</vt:lpstr>
      <vt:lpstr>UNJC1020_H_SHORIMI_FLG</vt:lpstr>
      <vt:lpstr>UNJC1020_H_SHUKKA_FLG</vt:lpstr>
      <vt:lpstr>UNJC1020_H_ZAIKO_ARI_FLG</vt:lpstr>
      <vt:lpstr>UNJC1020_H_ZAIKO_NASHI_FLG</vt:lpstr>
      <vt:lpstr>UNJC1020_IF_ACTIVE_CELL_NAME</vt:lpstr>
      <vt:lpstr>UNJC1020_IF_ACTIVE_COLUMN</vt:lpstr>
      <vt:lpstr>UNJC1020_IF_ACTIVE_ROW</vt:lpstr>
      <vt:lpstr>UNJC1020_IF_ACTIVE_SHEET</vt:lpstr>
      <vt:lpstr>UNJC1020_IF_CELL_CLEAR</vt:lpstr>
      <vt:lpstr>UNJC1020_IF_CELL_CLEAR_FLG</vt:lpstr>
      <vt:lpstr>UNJC1020_IF_DATA_SEARCH_FLG</vt:lpstr>
      <vt:lpstr>UNJC1020_IF_EXCEL_FILE_NAME</vt:lpstr>
      <vt:lpstr>UNJC1020_IF_JURI_NO</vt:lpstr>
      <vt:lpstr>UNJC1020_IF_LIST_COPY_MOTO</vt:lpstr>
      <vt:lpstr>UNJC1020_IF_LIST_DEFAULT</vt:lpstr>
      <vt:lpstr>UNJC1020_IF_LIST_DEMPYO_HAKKO_KENSU</vt:lpstr>
      <vt:lpstr>UNJC1020_IF_LIST_DEMPYO_HAKKO_START</vt:lpstr>
      <vt:lpstr>UNJC1020_IF_MODE</vt:lpstr>
      <vt:lpstr>UNJC1020_IF_PRINT_COUNT</vt:lpstr>
      <vt:lpstr>UNJC1020_IF_PRINT_SHOSHIKI_COPY_MOTO</vt:lpstr>
      <vt:lpstr>UNJC1020_IF_PRINT_SHOSHIKI_COPY_SAKI</vt:lpstr>
      <vt:lpstr>UNJC1020_IF_PRINT_START</vt:lpstr>
      <vt:lpstr>UNJC1020_IF_W_SERIAL</vt:lpstr>
      <vt:lpstr>UNJC1020_IF_W_SERIAL_CREATE</vt:lpstr>
      <vt:lpstr>UNJC1020_IF_W_USER_ID</vt:lpstr>
      <vt:lpstr>UNJC1020_SQL_COPY_MOTO</vt:lpstr>
      <vt:lpstr>UNJC1020_SQL_COPY_SAKI</vt:lpstr>
      <vt:lpstr>UNJC1020_SQL_DEMPYO_HAKKO</vt:lpstr>
      <vt:lpstr>UNJC1020_SQL_FREEWD_1</vt:lpstr>
      <vt:lpstr>UNJC1020_SQL_FREEWD_2</vt:lpstr>
      <vt:lpstr>UNJC1020_SQL_FREEWD_3</vt:lpstr>
      <vt:lpstr>UNJC1020_SQL_SELECT_HAN_JUCHU_LIST</vt:lpstr>
      <vt:lpstr>UNJC1020_SQL_SELECT_HAN_JUCHU_LIST_CNT</vt:lpstr>
      <vt:lpstr>UNJC1020_SQL_SELECT_HAN_JUCHU_PRINT</vt:lpstr>
      <vt:lpstr>UNJC1020_SQL_SELECT_INIT_SORT</vt:lpstr>
      <vt:lpstr>UNJC1020_SQL_SORT</vt:lpstr>
      <vt:lpstr>UNJC1020_SQL_SORT_BY</vt:lpstr>
      <vt:lpstr>UNJC1030_B_AITE_SHOHIN_MEI_BUF</vt:lpstr>
      <vt:lpstr>UNJC1030_B_ARARIEKI</vt:lpstr>
      <vt:lpstr>UNJC1030_B_ARARIRITSU</vt:lpstr>
      <vt:lpstr>UNJC1030_B_BAIKA_TENKAI</vt:lpstr>
      <vt:lpstr>UNJC1030_B_BARA_TANI</vt:lpstr>
      <vt:lpstr>UNJC1030_B_BARA_TANI_TENKAI</vt:lpstr>
      <vt:lpstr>UNJC1030_B_COPY_GYO_SUSHIKI</vt:lpstr>
      <vt:lpstr>UNJC1030_B_DOKU_TENKAI</vt:lpstr>
      <vt:lpstr>UNJC1030_B_DOKUGEKI</vt:lpstr>
      <vt:lpstr>UNJC1030_B_GENKA_KINGAKU</vt:lpstr>
      <vt:lpstr>UNJC1030_B_GENKA_SURYO</vt:lpstr>
      <vt:lpstr>UNJC1030_B_GENKA_TENKAI</vt:lpstr>
      <vt:lpstr>UNJC1030_B_GENTANKA</vt:lpstr>
      <vt:lpstr>UNJC1030_B_GYO</vt:lpstr>
      <vt:lpstr>UNJC1030_B_GYO_COUNT</vt:lpstr>
      <vt:lpstr>UNJC1030_B_GYO_DECREMENT</vt:lpstr>
      <vt:lpstr>UNJC1030_B_GYO_INCREMENT</vt:lpstr>
      <vt:lpstr>UNJC1030_B_HAMBAI_KINGAKU</vt:lpstr>
      <vt:lpstr>UNJC1030_B_HAMBAI_TANKA</vt:lpstr>
      <vt:lpstr>UNJC1030_B_HIDE_COLUMN</vt:lpstr>
      <vt:lpstr>UNJC1030_B_HIDE_ROW</vt:lpstr>
      <vt:lpstr>UNJC1030_B_HYOJI_SHOHIN_MEI</vt:lpstr>
      <vt:lpstr>UNJC1030_B_IRISU</vt:lpstr>
      <vt:lpstr>UNJC1030_B_IRISU_TANI</vt:lpstr>
      <vt:lpstr>UNJC1030_B_IRISU_TANI_TENKAI</vt:lpstr>
      <vt:lpstr>UNJC1030_B_JUCHU_SURYO</vt:lpstr>
      <vt:lpstr>UNJC1030_B_JUCHU_TANI</vt:lpstr>
      <vt:lpstr>UNJC1030_B_JURI_NO</vt:lpstr>
      <vt:lpstr>UNJC1030_B_LIST_CLEAR_AREA</vt:lpstr>
      <vt:lpstr>UNJC1030_B_LIST_DELETE_AREA</vt:lpstr>
      <vt:lpstr>UNJC1030_B_LIST_INSERT_AREA</vt:lpstr>
      <vt:lpstr>UNJC1030_B_LIST_INSERT_COPY_AREA</vt:lpstr>
      <vt:lpstr>UNJC1030_B_LIST_INSERT_SELECT_CELL</vt:lpstr>
      <vt:lpstr>UNJC1030_B_LIST_INSERT_TYPE</vt:lpstr>
      <vt:lpstr>UNJC1030_B_LIST_START</vt:lpstr>
      <vt:lpstr>UNJC1030_B_MAKER_CD</vt:lpstr>
      <vt:lpstr>UNJC1030_B_MAKER_CD_TENKAI</vt:lpstr>
      <vt:lpstr>UNJC1030_B_MAKER_MEI</vt:lpstr>
      <vt:lpstr>UNJC1030_B_MAKER_MEI_TENKAI</vt:lpstr>
      <vt:lpstr>UNJC1030_B_MULTI_SELECT_COPY_SAKI</vt:lpstr>
      <vt:lpstr>UNJC1030_B_ROW_KBN</vt:lpstr>
      <vt:lpstr>UNJC1030_B_SCROLL_LOCK</vt:lpstr>
      <vt:lpstr>UNJC1030_B_SHIIRE_IRISU_TENKAI</vt:lpstr>
      <vt:lpstr>UNJC1030_B_SHIIRE_TANI_TENKAI</vt:lpstr>
      <vt:lpstr>UNJC1030_B_SHIIRESAKI_CD</vt:lpstr>
      <vt:lpstr>UNJC1030_B_SHIIRESAKI_CD_TENKAI</vt:lpstr>
      <vt:lpstr>UNJC1030_B_SHIIRESAKI_MEI</vt:lpstr>
      <vt:lpstr>UNJC1030_B_SHIIRESAKI_MEI_TENKAI</vt:lpstr>
      <vt:lpstr>UNJC1030_B_SHOHIN_CD</vt:lpstr>
      <vt:lpstr>UNJC1030_B_SHOHIN_CD_TENKAI</vt:lpstr>
      <vt:lpstr>UNJC1030_B_SHOHIN_MEI</vt:lpstr>
      <vt:lpstr>UNJC1030_B_SHOHIN_MEI_BUF</vt:lpstr>
      <vt:lpstr>UNJC1030_B_SHOHIN_MEI_TENKAI</vt:lpstr>
      <vt:lpstr>UNJC1030_B_TEIKA</vt:lpstr>
      <vt:lpstr>UNJC1030_B_TEIKA_TENKAI</vt:lpstr>
      <vt:lpstr>UNJC1030_B_TEKIYO</vt:lpstr>
      <vt:lpstr>UNJC1030_B_TOTAL</vt:lpstr>
      <vt:lpstr>UNJC1030_H_ADDRESS_1</vt:lpstr>
      <vt:lpstr>UNJC1030_H_ADDRESS_2</vt:lpstr>
      <vt:lpstr>UNJC1030_H_ARARIEKI</vt:lpstr>
      <vt:lpstr>UNJC1030_H_ARARIRITSU</vt:lpstr>
      <vt:lpstr>UNJC1030_H_COPY_SAKI</vt:lpstr>
      <vt:lpstr>UNJC1030_H_DEMPYO_HAKKO</vt:lpstr>
      <vt:lpstr>UNJC1030_H_DEMPYO_HAKKO_CD</vt:lpstr>
      <vt:lpstr>UNJC1030_H_EIGYO_TANTO_CD</vt:lpstr>
      <vt:lpstr>UNJC1030_H_EIGYO_TANTO_MEI</vt:lpstr>
      <vt:lpstr>UNJC1030_H_FAX</vt:lpstr>
      <vt:lpstr>UNJC1030_H_FLG_COPY_MOTO</vt:lpstr>
      <vt:lpstr>UNJC1030_H_FLG_COPY_SAKI</vt:lpstr>
      <vt:lpstr>UNJC1030_H_GENKA_TOTAL</vt:lpstr>
      <vt:lpstr>UNJC1030_H_HAMBAI_SHOHIN_KBN</vt:lpstr>
      <vt:lpstr>UNJC1030_H_HAMBAI_SHOHIN_KBN_CD</vt:lpstr>
      <vt:lpstr>UNJC1030_H_HASSO_CD</vt:lpstr>
      <vt:lpstr>UNJC1030_H_HASSO_MEI</vt:lpstr>
      <vt:lpstr>UNJC1030_H_HASSO_TANTO</vt:lpstr>
      <vt:lpstr>UNJC1030_H_HASSO_TEL</vt:lpstr>
      <vt:lpstr>UNJC1030_H_HIDE_COLUMN</vt:lpstr>
      <vt:lpstr>UNJC1030_H_HIDE_ROW</vt:lpstr>
      <vt:lpstr>UNJC1030_H_JUCHU_DATE</vt:lpstr>
      <vt:lpstr>UNJC1030_H_JURI_NO</vt:lpstr>
      <vt:lpstr>UNJC1030_H_KENMEI</vt:lpstr>
      <vt:lpstr>UNJC1030_H_KOMI_TOTAL</vt:lpstr>
      <vt:lpstr>UNJC1030_H_MAKER_CHOKUSO_FLG</vt:lpstr>
      <vt:lpstr>UNJC1030_H_MITSU_NO</vt:lpstr>
      <vt:lpstr>UNJC1030_H_NOHIN_DATE</vt:lpstr>
      <vt:lpstr>UNJC1030_H_NUKI_TOTAL</vt:lpstr>
      <vt:lpstr>UNJC1030_H_NYURYOKU_DATETIME</vt:lpstr>
      <vt:lpstr>UNJC1030_H_NYURYOKU_MEI</vt:lpstr>
      <vt:lpstr>UNJC1030_H_NYURYOKUSHA_CD</vt:lpstr>
      <vt:lpstr>UNJC1030_H_REF_JURI_NO</vt:lpstr>
      <vt:lpstr>UNJC1030_H_SEIKYU_TANTO_MEI</vt:lpstr>
      <vt:lpstr>UNJC1030_H_SEIKYUSAKI_CD</vt:lpstr>
      <vt:lpstr>UNJC1030_H_SEIKYUSAKI_HASU</vt:lpstr>
      <vt:lpstr>UNJC1030_H_SEIKYUSAKI_MEI</vt:lpstr>
      <vt:lpstr>UNJC1030_H_STS</vt:lpstr>
      <vt:lpstr>UNJC1030_H_STS_CD</vt:lpstr>
      <vt:lpstr>UNJC1030_H_TAX</vt:lpstr>
      <vt:lpstr>UNJC1030_H_TAX_RATE</vt:lpstr>
      <vt:lpstr>UNJC1030_H_YUBIN_NO</vt:lpstr>
      <vt:lpstr>UNJC1030_IF_ACTIVE_CELL_NAME</vt:lpstr>
      <vt:lpstr>UNJC1030_IF_ACTIVE_COLUMN</vt:lpstr>
      <vt:lpstr>UNJC1030_IF_ACTIVE_ROW</vt:lpstr>
      <vt:lpstr>UNJC1030_IF_ACTIVE_SHEET</vt:lpstr>
      <vt:lpstr>UNJC1030_IF_BUTTON_04_HYOJI</vt:lpstr>
      <vt:lpstr>UNJC1030_IF_BUTTON_06_HYOJI</vt:lpstr>
      <vt:lpstr>UNJC1030_IF_BUTTON_06_NAME</vt:lpstr>
      <vt:lpstr>UNJC1030_IF_BUTTON_07_HYOJI</vt:lpstr>
      <vt:lpstr>UNJC1030_IF_BUTTON_09_HYOJI</vt:lpstr>
      <vt:lpstr>UNJC1030_IF_BUTTON_10_HYOJI</vt:lpstr>
      <vt:lpstr>UNJC1030_IF_BUTTON_10_NAME</vt:lpstr>
      <vt:lpstr>UNJC1030_IF_BUTTON_11_HYOJI</vt:lpstr>
      <vt:lpstr>UNJC1030_IF_BUTTON_12_HYOJI</vt:lpstr>
      <vt:lpstr>UNJC1030_IF_BUTTON_13_HYOJI</vt:lpstr>
      <vt:lpstr>UNJC1030_IF_BUTTON_15_ERROR</vt:lpstr>
      <vt:lpstr>UNJC1030_IF_BUTTON_15_HYOJI</vt:lpstr>
      <vt:lpstr>UNJC1030_IF_BUTTON_17_HYOJI</vt:lpstr>
      <vt:lpstr>UNJC1030_IF_BUTTON_18_HYOJI</vt:lpstr>
      <vt:lpstr>UNJC1030_IF_BUTTON_19_HYOJI</vt:lpstr>
      <vt:lpstr>UNJC1030_IF_BUTTON_20_HYOJI</vt:lpstr>
      <vt:lpstr>UNJC1030_IF_COPY_B_COMMENT_SANSHO</vt:lpstr>
      <vt:lpstr>UNJC1030_IF_COPY_B_COMMENT_SHINKI</vt:lpstr>
      <vt:lpstr>UNJC1030_IF_COPY_B_COMMENT_SHUSEI</vt:lpstr>
      <vt:lpstr>UNJC1030_IF_COPY_B_GYO_SUSHIKI</vt:lpstr>
      <vt:lpstr>UNJC1030_IF_COPY_B_LIST_CLEAR</vt:lpstr>
      <vt:lpstr>UNJC1030_IF_COPY_B_MEISAI_ARARI_SUSHIKI</vt:lpstr>
      <vt:lpstr>UNJC1030_IF_COPY_B_MEISAI_KINGAKU_SUSHIKI</vt:lpstr>
      <vt:lpstr>UNJC1030_IF_COPY_B_MEISAI_SANSHO</vt:lpstr>
      <vt:lpstr>UNJC1030_IF_COPY_B_MEISAI_SHINKI</vt:lpstr>
      <vt:lpstr>UNJC1030_IF_COPY_B_MEISAI_SHUSEI</vt:lpstr>
      <vt:lpstr>UNJC1030_IF_COPY_B_MEISAI_TOTAL_SUSHIKI</vt:lpstr>
      <vt:lpstr>UNJC1030_IF_COPY_B_NEBIKI_DIR_SANSHO</vt:lpstr>
      <vt:lpstr>UNJC1030_IF_COPY_B_NEBIKI_DIR_SHINKI</vt:lpstr>
      <vt:lpstr>UNJC1030_IF_COPY_B_NEBIKI_DIR_SHUSEI</vt:lpstr>
      <vt:lpstr>UNJC1030_IF_COPY_B_NEBIKI_PER_SANSHO</vt:lpstr>
      <vt:lpstr>UNJC1030_IF_COPY_B_NEBIKI_PER_SHINKI</vt:lpstr>
      <vt:lpstr>UNJC1030_IF_COPY_B_NEBIKI_PER_SHUSEI</vt:lpstr>
      <vt:lpstr>UNJC1030_IF_COPY_B_NEBIKI_PER_SUSHIKI</vt:lpstr>
      <vt:lpstr>UNJC1030_IF_DATA_SEARCH_FLG</vt:lpstr>
      <vt:lpstr>UNJC1030_IF_EXCEL_FILE_NAME</vt:lpstr>
      <vt:lpstr>UNJC1030_IF_INPUT_CHECK</vt:lpstr>
      <vt:lpstr>UNJC1030_IF_INPUT_ERROR_MESSAGE</vt:lpstr>
      <vt:lpstr>UNJC1030_IF_JURI_NO</vt:lpstr>
      <vt:lpstr>UNJC1030_IF_LIST_DEMPYO_HAKKO_KBN_KENSU</vt:lpstr>
      <vt:lpstr>UNJC1030_IF_LIST_DEMPYO_HAKKO_KBN_START</vt:lpstr>
      <vt:lpstr>UNJC1030_IF_LIST_SHOHIN_KBN_KENSU</vt:lpstr>
      <vt:lpstr>UNJC1030_IF_LIST_SHOHIN_KBN_START</vt:lpstr>
      <vt:lpstr>UNJC1030_IF_MITSU_FLG</vt:lpstr>
      <vt:lpstr>UNJC1030_IF_MITSU_NO</vt:lpstr>
      <vt:lpstr>UNJC1030_IF_MODE</vt:lpstr>
      <vt:lpstr>UNJC1030_IF_MULTI_SELECT_CHECK</vt:lpstr>
      <vt:lpstr>UNJC1030_IF_MULTI_SELECT_COPY_MOTO</vt:lpstr>
      <vt:lpstr>UNJC1030_IF_MULTI_SELECT_FLG</vt:lpstr>
      <vt:lpstr>UNJC1030_IF_MULTI_SELECT_GENKA_SUSHIKI_COPY_SAKI</vt:lpstr>
      <vt:lpstr>UNJC1030_IF_MULTI_SELECT_GYO_INCREMENT</vt:lpstr>
      <vt:lpstr>UNJC1030_IF_MULTI_SELECT_GYO_SUSHIKI_COPY_SAKI</vt:lpstr>
      <vt:lpstr>UNJC1030_IF_MULTI_SELECT_KENSU</vt:lpstr>
      <vt:lpstr>UNJC1030_IF_MULTI_SELECT_KINGAKU_SUSHIKI_COPY_SAKI</vt:lpstr>
      <vt:lpstr>UNJC1030_IF_MULTI_SELECT_LIST_ARARI_AREA</vt:lpstr>
      <vt:lpstr>UNJC1030_IF_MULTI_SELECT_LIST_GYO</vt:lpstr>
      <vt:lpstr>UNJC1030_IF_MULTI_SELECT_LIST_KINGAKU</vt:lpstr>
      <vt:lpstr>UNJC1030_IF_MULTI_SELECT_LIST_SOSU</vt:lpstr>
      <vt:lpstr>UNJC1030_IF_MULTI_SELECT_SHOSHIKI_COPY_SAKI</vt:lpstr>
      <vt:lpstr>UNJC1030_IF_MULTI_SELECT_SOSU_SUSHIKI_COPY_SAKI</vt:lpstr>
      <vt:lpstr>UNJC1030_IF_MULTI_SELECT_TENKAI_KENSU</vt:lpstr>
      <vt:lpstr>UNJC1030_IF_MULTI_SELECT_TENKAI_START</vt:lpstr>
      <vt:lpstr>UNJC1030_IF_SANSHO_COPY_MOTO</vt:lpstr>
      <vt:lpstr>UNJC1030_IF_SANSHO_FLG</vt:lpstr>
      <vt:lpstr>UNJC1030_IF_SAVE_ADDRESS_1</vt:lpstr>
      <vt:lpstr>UNJC1030_IF_SAVE_ADDRESS_2</vt:lpstr>
      <vt:lpstr>UNJC1030_IF_SAVE_ARARIEKI</vt:lpstr>
      <vt:lpstr>UNJC1030_IF_SAVE_ARARIEKI_TOTAL</vt:lpstr>
      <vt:lpstr>UNJC1030_IF_SAVE_ARARIRITSU</vt:lpstr>
      <vt:lpstr>UNJC1030_IF_SAVE_ARARIRITSU_TOTAL</vt:lpstr>
      <vt:lpstr>UNJC1030_IF_SAVE_BARA_TANI</vt:lpstr>
      <vt:lpstr>UNJC1030_IF_SAVE_CHECK_ERROR_KOMOKU</vt:lpstr>
      <vt:lpstr>UNJC1030_IF_SAVE_CHECK_RESULT</vt:lpstr>
      <vt:lpstr>UNJC1030_IF_SAVE_CHECK_START</vt:lpstr>
      <vt:lpstr>UNJC1030_IF_SAVE_COPY_MOTO</vt:lpstr>
      <vt:lpstr>UNJC1030_IF_SAVE_COPY_SAKI</vt:lpstr>
      <vt:lpstr>UNJC1030_IF_SAVE_COPY_START</vt:lpstr>
      <vt:lpstr>UNJC1030_IF_SAVE_DEL_FLG</vt:lpstr>
      <vt:lpstr>UNJC1030_IF_SAVE_DEMPYO_HAKKO_KBN</vt:lpstr>
      <vt:lpstr>UNJC1030_IF_SAVE_EIGYO_TANTO_CD</vt:lpstr>
      <vt:lpstr>UNJC1030_IF_SAVE_ERROR_CHECK</vt:lpstr>
      <vt:lpstr>UNJC1030_IF_SAVE_ERROR_MESSAGE</vt:lpstr>
      <vt:lpstr>UNJC1030_IF_SAVE_FAX</vt:lpstr>
      <vt:lpstr>UNJC1030_IF_SAVE_GENKA_KINGAKU</vt:lpstr>
      <vt:lpstr>UNJC1030_IF_SAVE_GENKA_SURYO</vt:lpstr>
      <vt:lpstr>UNJC1030_IF_SAVE_GENKA_TOTAL</vt:lpstr>
      <vt:lpstr>UNJC1030_IF_SAVE_GENTANKA</vt:lpstr>
      <vt:lpstr>UNJC1030_IF_SAVE_GYO_NO</vt:lpstr>
      <vt:lpstr>UNJC1030_IF_SAVE_HAMBAI_KBN</vt:lpstr>
      <vt:lpstr>UNJC1030_IF_SAVE_HAMBAI_KINGAKU</vt:lpstr>
      <vt:lpstr>UNJC1030_IF_SAVE_HAMBAI_TANKA</vt:lpstr>
      <vt:lpstr>UNJC1030_IF_SAVE_HASSO_CD</vt:lpstr>
      <vt:lpstr>UNJC1030_IF_SAVE_HASSO_MEI</vt:lpstr>
      <vt:lpstr>UNJC1030_IF_SAVE_HASSO_TANTO_MEI</vt:lpstr>
      <vt:lpstr>UNJC1030_IF_SAVE_IRISU_TANI</vt:lpstr>
      <vt:lpstr>UNJC1030_IF_SAVE_JOGAI_GYO</vt:lpstr>
      <vt:lpstr>UNJC1030_IF_SAVE_JUCHU_DATE</vt:lpstr>
      <vt:lpstr>UNJC1030_IF_SAVE_JUCHU_SURYO</vt:lpstr>
      <vt:lpstr>UNJC1030_IF_SAVE_JUCHU_TANI</vt:lpstr>
      <vt:lpstr>UNJC1030_IF_SAVE_JURI_NO</vt:lpstr>
      <vt:lpstr>UNJC1030_IF_SAVE_KENMEI</vt:lpstr>
      <vt:lpstr>UNJC1030_IF_SAVE_KOMI_TOTAL</vt:lpstr>
      <vt:lpstr>UNJC1030_IF_SAVE_MAKER_CD</vt:lpstr>
      <vt:lpstr>UNJC1030_IF_SAVE_MAKER_CHOKUSO_FLG</vt:lpstr>
      <vt:lpstr>UNJC1030_IF_SAVE_MITSU_NO</vt:lpstr>
      <vt:lpstr>UNJC1030_IF_SAVE_NOHIN_DATE</vt:lpstr>
      <vt:lpstr>UNJC1030_IF_SAVE_NUKI_TOTAL</vt:lpstr>
      <vt:lpstr>UNJC1030_IF_SAVE_NYURYOKU_DATETIME</vt:lpstr>
      <vt:lpstr>UNJC1030_IF_SAVE_NYURYOKUSHA_CD</vt:lpstr>
      <vt:lpstr>UNJC1030_IF_SAVE_REF_JURI_NO</vt:lpstr>
      <vt:lpstr>UNJC1030_IF_SAVE_RESULT_CD</vt:lpstr>
      <vt:lpstr>UNJC1030_IF_SAVE_RESULT_JURI_NO</vt:lpstr>
      <vt:lpstr>UNJC1030_IF_SAVE_RESULT_MESSAGE</vt:lpstr>
      <vt:lpstr>UNJC1030_IF_SAVE_ROW_KBN</vt:lpstr>
      <vt:lpstr>UNJC1030_IF_SAVE_SEIKYUSAKI_CD</vt:lpstr>
      <vt:lpstr>UNJC1030_IF_SAVE_SEIKYUSAKI_TANTO_CD</vt:lpstr>
      <vt:lpstr>UNJC1030_IF_SAVE_SHIIRE_CD</vt:lpstr>
      <vt:lpstr>UNJC1030_IF_SAVE_SHOHIN_CD</vt:lpstr>
      <vt:lpstr>UNJC1030_IF_SAVE_SHOHIN_MEI</vt:lpstr>
      <vt:lpstr>UNJC1030_IF_SAVE_START</vt:lpstr>
      <vt:lpstr>UNJC1030_IF_SAVE_STS</vt:lpstr>
      <vt:lpstr>UNJC1030_IF_SAVE_TAX</vt:lpstr>
      <vt:lpstr>UNJC1030_IF_SAVE_TAX_RATE</vt:lpstr>
      <vt:lpstr>UNJC1030_IF_SAVE_TEIKA</vt:lpstr>
      <vt:lpstr>UNJC1030_IF_SAVE_TEKIYO</vt:lpstr>
      <vt:lpstr>UNJC1030_IF_SAVE_TEL</vt:lpstr>
      <vt:lpstr>UNJC1030_IF_SAVE_TOTAL</vt:lpstr>
      <vt:lpstr>UNJC1030_IF_SAVE_W_MODE</vt:lpstr>
      <vt:lpstr>UNJC1030_IF_SAVE_W_ROW</vt:lpstr>
      <vt:lpstr>UNJC1030_IF_SAVE_W_SERIAL</vt:lpstr>
      <vt:lpstr>UNJC1030_IF_SAVE_W_USER_ID</vt:lpstr>
      <vt:lpstr>UNJC1030_IF_SAVE_YUBIN</vt:lpstr>
      <vt:lpstr>UNJC1030_IF_SHINKI_COPY_MOTO</vt:lpstr>
      <vt:lpstr>UNJC1030_IF_SHUSEI_COPY_MOTO</vt:lpstr>
      <vt:lpstr>UNJC1030_IF_W_MODE</vt:lpstr>
      <vt:lpstr>UNJC1030_IF_W_SERIAL</vt:lpstr>
      <vt:lpstr>UNJC1030_IF_W_USER_ID</vt:lpstr>
      <vt:lpstr>UNJC1030_REPORT_DOKU_IF_BIKO</vt:lpstr>
      <vt:lpstr>UNJC1030_REPORT_DOKU_IF_COPY_MOTO</vt:lpstr>
      <vt:lpstr>UNJC1030_REPORT_DOKU_IF_COPY_MOTO_GYO</vt:lpstr>
      <vt:lpstr>UNJC1030_REPORT_DOKU_IF_DOKU_MEISHO</vt:lpstr>
      <vt:lpstr>UNJC1030_REPORT_DOKU_IF_DOKU_SURYO</vt:lpstr>
      <vt:lpstr>UNJC1030_REPORT_DOKU_IF_ERROR_CHECK</vt:lpstr>
      <vt:lpstr>UNJC1030_REPORT_DOKU_IF_IRISU</vt:lpstr>
      <vt:lpstr>UNJC1030_REPORT_DOKU_IF_IRISU_TANI</vt:lpstr>
      <vt:lpstr>UNJC1030_REPORT_DOKU_IF_JUCHU_SURYO</vt:lpstr>
      <vt:lpstr>UNJC1030_REPORT_DOKU_IF_JUCHU_SURYO_TANI</vt:lpstr>
      <vt:lpstr>UNJC1030_REPORT_DOKU_IF_JURI_NO</vt:lpstr>
      <vt:lpstr>UNJC1030_REPORT_DOKU_IF_KENSU</vt:lpstr>
      <vt:lpstr>UNJC1030_REPORT_DOKU_IF_NOHIN_DATE</vt:lpstr>
      <vt:lpstr>UNJC1030_REPORT_DOKU_IF_PRINT_AREA</vt:lpstr>
      <vt:lpstr>UNJC1030_REPORT_DOKU_IF_ROW_KBN</vt:lpstr>
      <vt:lpstr>UNJC1030_REPORT_DOKU_IF_SEIKYUSAKI_JUSHO</vt:lpstr>
      <vt:lpstr>UNJC1030_REPORT_DOKU_IF_SEIKYUSAKI_MEI</vt:lpstr>
      <vt:lpstr>UNJC1030_REPORT_DOKU_IF_TANTO_MEI</vt:lpstr>
      <vt:lpstr>UNJC1030_REPORT_DOKU_IF_TENKAI_START</vt:lpstr>
      <vt:lpstr>UNJC1030_REPORT_DOKU_START</vt:lpstr>
      <vt:lpstr>UNJC1030_REPORT_SHIYAKU_BOTTOM_START</vt:lpstr>
      <vt:lpstr>UNJC1030_REPORT_SHIYAKU_IF_BARA_TANI</vt:lpstr>
      <vt:lpstr>UNJC1030_REPORT_SHIYAKU_IF_BIKO</vt:lpstr>
      <vt:lpstr>UNJC1030_REPORT_SHIYAKU_IF_COPY_MOTO</vt:lpstr>
      <vt:lpstr>UNJC1030_REPORT_SHIYAKU_IF_COPY_MOTO_GYO</vt:lpstr>
      <vt:lpstr>UNJC1030_REPORT_SHIYAKU_IF_DOKU</vt:lpstr>
      <vt:lpstr>UNJC1030_REPORT_SHIYAKU_IF_EIGYO_TANTO_MEI</vt:lpstr>
      <vt:lpstr>UNJC1030_REPORT_SHIYAKU_IF_ERROR_CHECK</vt:lpstr>
      <vt:lpstr>UNJC1030_REPORT_SHIYAKU_IF_HAKKOSHA</vt:lpstr>
      <vt:lpstr>UNJC1030_REPORT_SHIYAKU_IF_HYOJI_GYO_SU</vt:lpstr>
      <vt:lpstr>UNJC1030_REPORT_SHIYAKU_IF_IRISU</vt:lpstr>
      <vt:lpstr>UNJC1030_REPORT_SHIYAKU_IF_JURI_NO</vt:lpstr>
      <vt:lpstr>UNJC1030_REPORT_SHIYAKU_IF_KENSU</vt:lpstr>
      <vt:lpstr>UNJC1030_REPORT_SHIYAKU_IF_NOHIN_DATE</vt:lpstr>
      <vt:lpstr>UNJC1030_REPORT_SHIYAKU_IF_PAGE_SU</vt:lpstr>
      <vt:lpstr>UNJC1030_REPORT_SHIYAKU_IF_PRINT_AREA</vt:lpstr>
      <vt:lpstr>UNJC1030_REPORT_SHIYAKU_IF_ROW_KBN</vt:lpstr>
      <vt:lpstr>UNJC1030_REPORT_SHIYAKU_IF_SEIKYUSAKI_MEI</vt:lpstr>
      <vt:lpstr>UNJC1030_REPORT_SHIYAKU_IF_SHIYAKU_MEI</vt:lpstr>
      <vt:lpstr>UNJC1030_REPORT_SHIYAKU_IF_SHIYAKU_NAIYO</vt:lpstr>
      <vt:lpstr>UNJC1030_REPORT_SHIYAKU_IF_SQL_HAKKOSHA</vt:lpstr>
      <vt:lpstr>UNJC1030_REPORT_SHIYAKU_IF_SURYO</vt:lpstr>
      <vt:lpstr>UNJC1030_REPORT_SHIYAKU_IF_TANI</vt:lpstr>
      <vt:lpstr>UNJC1030_REPORT_SHIYAKU_IF_TANTO_MEI</vt:lpstr>
      <vt:lpstr>UNJC1030_REPORT_SHIYAKU_IF_TEKIYO</vt:lpstr>
      <vt:lpstr>UNJC1030_REPORT_SHIYAKU_IF_TENKAI_START</vt:lpstr>
      <vt:lpstr>UNJC1030_REPORT_SHIYAKU_IF_USER_ID</vt:lpstr>
      <vt:lpstr>UNJC1030_REPORT_SHIYAKU_START</vt:lpstr>
      <vt:lpstr>UNJC1030_REPORT_SHIYAKU_TOP_START</vt:lpstr>
      <vt:lpstr>UNJC1030_SQL_HAN_JUCHU_B</vt:lpstr>
      <vt:lpstr>UNJC1030_SQL_HAN_JUCHU_B_MITSU</vt:lpstr>
      <vt:lpstr>UNJC1030_SQL_HAN_JUCHU_B_SANSHO</vt:lpstr>
      <vt:lpstr>UNJC1030_SQL_HAN_JUCHU_H</vt:lpstr>
      <vt:lpstr>UNJC1030_SQL_HAN_JUCHU_H_MITSU</vt:lpstr>
      <vt:lpstr>UNJC1030_SQL_HAN_JUCHU_H_SANSHO</vt:lpstr>
      <vt:lpstr>UNJC1030_SQL_HAN_STS_SHIKI</vt:lpstr>
      <vt:lpstr>UNJC1030_SQL_JURI_NO</vt:lpstr>
      <vt:lpstr>UNJC1030_SQL_MITSU_NO</vt:lpstr>
      <vt:lpstr>UNJC1030_SQL_MULTI_SELECT</vt:lpstr>
      <vt:lpstr>UNJC1030_SQL_NYURYOKUSHA</vt:lpstr>
      <vt:lpstr>UNJC1030_SQL_REPORT_DOKU</vt:lpstr>
      <vt:lpstr>UNJC1030_SQL_REPORT_SHIYAKU</vt:lpstr>
      <vt:lpstr>UNJC1030_SQL_SELECT_B</vt:lpstr>
      <vt:lpstr>UNJC1030_SQL_SELECT_H</vt:lpstr>
      <vt:lpstr>UNJC1030_SQL_SHOHIN_KBN</vt:lpstr>
      <vt:lpstr>UNJC1030_SQL_TAX_RATE</vt:lpstr>
      <vt:lpstr>UNJC0030_IF!必須チェック設定</vt:lpstr>
      <vt:lpstr>UNJC0230_IF!必須チェック設定</vt:lpstr>
      <vt:lpstr>UNJC0250_IF!必須チェック設定</vt:lpstr>
      <vt:lpstr>UNJC1030_IF!必須チェック設定</vt:lpstr>
    </vt:vector>
  </TitlesOfParts>
  <Company>MouseComputer PC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k.yamamoto</dc:creator>
  <cp:lastModifiedBy>永坂 朋子</cp:lastModifiedBy>
  <cp:lastPrinted>2017-09-07T06:35:25Z</cp:lastPrinted>
  <dcterms:created xsi:type="dcterms:W3CDTF">2012-09-11T00:34:42Z</dcterms:created>
  <dcterms:modified xsi:type="dcterms:W3CDTF">2017-09-27T06:16:20Z</dcterms:modified>
</cp:coreProperties>
</file>