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bsc_2015_UNISS\UNISS001\"/>
    </mc:Choice>
  </mc:AlternateContent>
  <bookViews>
    <workbookView xWindow="0" yWindow="0" windowWidth="28530" windowHeight="11100" tabRatio="905"/>
  </bookViews>
  <sheets>
    <sheet name="UNKB0190_H" sheetId="20" r:id="rId1"/>
    <sheet name="UNKB0190_B" sheetId="21" r:id="rId2"/>
    <sheet name="UNKB0190_IF" sheetId="33" r:id="rId3"/>
    <sheet name="UNKB0190_SQL" sheetId="32" r:id="rId4"/>
    <sheet name="UNKB0200_H" sheetId="22" r:id="rId5"/>
    <sheet name="UNKB0200_B" sheetId="23" r:id="rId6"/>
    <sheet name="UNKB0200_IF" sheetId="34" r:id="rId7"/>
    <sheet name="UNKB0200_SQL" sheetId="35" r:id="rId8"/>
    <sheet name="UNKB0210_H" sheetId="24" r:id="rId9"/>
    <sheet name="UNKB0210_B" sheetId="25" r:id="rId10"/>
    <sheet name="UNKB0210_IF" sheetId="28" r:id="rId11"/>
    <sheet name="UNKB0210_SQL" sheetId="29" r:id="rId12"/>
    <sheet name="UNKB_COMMON_SQL" sheetId="2" r:id="rId13"/>
    <sheet name="UNKB_COMMON" sheetId="3" r:id="rId14"/>
    <sheet name="UNKB_YOSAN_CD_IF" sheetId="36" r:id="rId15"/>
    <sheet name="UNKB_JURI_NO_IF" sheetId="37" r:id="rId16"/>
    <sheet name="Excel_Save_H" sheetId="30" r:id="rId17"/>
    <sheet name="Excel_Save_B" sheetId="31" r:id="rId18"/>
  </sheets>
  <functionGroups builtInGroupCount="18"/>
  <definedNames>
    <definedName name="_xlnm.Print_Area" localSheetId="0">UNKB0190_H!$G$1:$AS$11</definedName>
    <definedName name="_xlnm.Print_Area" localSheetId="2">OFFSET(UNKB0190_IF_PRINT_START,-1,0,1+UNKB0190_IF_PRINT_COUNT,COLUMNS(UNKB0190_IF_PRINT_SHOSHIKI_COPY_MOTO))</definedName>
    <definedName name="_xlnm.Print_Area" localSheetId="4">UNKB0200_H!$G$1:$AK$14</definedName>
    <definedName name="_xlnm.Print_Area" localSheetId="6">OFFSET(UNKB0200_IF_PRINT_START,-1,0,1+UNKB0200_IF_PRINT_COUNT,COLUMNS(UNKB0200_IF_PRINT_SHOSHIKI_COPY_MOTO))</definedName>
    <definedName name="_xlnm.Print_Area" localSheetId="9">OFFSET(UNKB0210_B_GYO,0,0,1+UNKB0210_B_GYO_COUNT,COLUMNS(UNKB0210_IF_COPY_B_MEISAI_SHINKI))</definedName>
    <definedName name="_xlnm.Print_Area" localSheetId="8">UNKB0210_H!$F$1:$Q$12</definedName>
    <definedName name="UNKB_COMMON_ACTIVE_SHEET_NAME">UNKB_COMMON!$D$4</definedName>
    <definedName name="UNKB_COMMON_CHANGE_CHECK">UNKB_COMMON!$D$2</definedName>
    <definedName name="UNKB_COMMON_CHANGE_CHECK_AREA">UNKB_COMMON!$D$7:$F$7</definedName>
    <definedName name="UNKB_COMMON_SQL_BUSHO_SEARCH">UNKB_COMMON_SQL!$D$16</definedName>
    <definedName name="UNKB_COMMON_SQL_IRAI_NO_SEARCH">UNKB_COMMON_SQL!$D$12</definedName>
    <definedName name="UNKB_COMMON_SQL_JURI_NO_SEARCH">UNKB_COMMON_SQL!$D$10</definedName>
    <definedName name="UNKB_COMMON_SQL_KOBAI_KBN_SEARCH">UNKB_COMMON_SQL!$D$19</definedName>
    <definedName name="UNKB_COMMON_SQL_KOBAI_NO_SEARCH">UNKB_COMMON_SQL!$D$11</definedName>
    <definedName name="UNKB_COMMON_SQL_KOBAIHIN_SEARCH">UNKB_COMMON_SQL!$D$15</definedName>
    <definedName name="UNKB_COMMON_SQL_MAKER_SEARCH">UNKB_COMMON_SQL!$D$21</definedName>
    <definedName name="UNKB_COMMON_SQL_NYUSHUKKO_NO_SEARCH">UNKB_COMMON_SQL!$D$13</definedName>
    <definedName name="UNKB_COMMON_SQL_SELECT_CTRL_HYOJI_GYO_SU">UNKB_COMMON_SQL!$D$2</definedName>
    <definedName name="UNKB_COMMON_SQL_SELECT_TAX_RATE">UNKB_COMMON_SQL!$D$3</definedName>
    <definedName name="UNKB_COMMON_SQL_SHAIN_SEARCH">UNKB_COMMON_SQL!$D$8</definedName>
    <definedName name="UNKB_COMMON_SQL_SHIIRE_NO_SEARCH">UNKB_COMMON_SQL!$D$23</definedName>
    <definedName name="UNKB_COMMON_SQL_SHIIRE_STS_SEARCH">UNKB_COMMON_SQL!$D$18</definedName>
    <definedName name="UNKB_COMMON_SQL_SHIIRESAKI_SEARCH">UNKB_COMMON_SQL!$D$9</definedName>
    <definedName name="UNKB_COMMON_SQL_YOSAN_SEARCH">UNKB_COMMON_SQL!$D$17</definedName>
    <definedName name="UNKB_JURI_NO_IF_KENSU">UNKB_JURI_NO_IF!$C$4</definedName>
    <definedName name="UNKB_JURI_NO_IF_LIST">OFFSET(UNKB_JURI_NO_IF_START,,,IF(UNKB_JURI_NO_IF_KENSU=0,1,UNKB_JURI_NO_IF_KENSU),1)</definedName>
    <definedName name="UNKB_JURI_NO_IF_START">UNKB_JURI_NO_IF!$B$7</definedName>
    <definedName name="UNKB_YOSAN_CD_IF_KENSU">UNKB_YOSAN_CD_IF!$C$4</definedName>
    <definedName name="UNKB_YOSAN_CD_IF_LIST">OFFSET(UNKB_YOSAN_CD_IF_START,,,IF(UNKB_YOSAN_CD_IF_KENSU=0,1,UNKB_YOSAN_CD_IF_KENSU),1)</definedName>
    <definedName name="UNKB_YOSAN_CD_IF_START">UNKB_YOSAN_CD_IF!$B$7</definedName>
    <definedName name="UNKB0190_B_ALL_KENSU">UNKB0190_B!$D$20</definedName>
    <definedName name="UNKB0190_B_ALL_PAGE_SU">UNKB0190_B!$D$22</definedName>
    <definedName name="UNKB0190_B_BACK_PAGE">UNKB0190_B!$D$36</definedName>
    <definedName name="UNKB0190_B_BACK_PAGE_NO">UNKB0190_B!$D$35</definedName>
    <definedName name="UNKB0190_B_BARA_TANI">UNKB0190_B!$U$16</definedName>
    <definedName name="UNKB0190_B_BIKO">UNKB0190_B!$AI$16</definedName>
    <definedName name="UNKB0190_B_CHUMON_NO">UNKB0190_B!$AL$16</definedName>
    <definedName name="UNKB0190_B_CHUMON_SOSU">UNKB0190_B!$X$16</definedName>
    <definedName name="UNKB0190_B_FREEWD">UNKB0190_B!$AT$16</definedName>
    <definedName name="UNKB0190_B_GOKEI_KINGAKU">UNKB0190_B!$Y$16</definedName>
    <definedName name="UNKB0190_B_HIDE_COLUMN">UNKB0190_B!$D$17</definedName>
    <definedName name="UNKB0190_B_HIDE_ROW">UNKB0190_B!$D$16</definedName>
    <definedName name="UNKB0190_B_HOKAN_BASHO">UNKB0190_B!$AB$16</definedName>
    <definedName name="UNKB0190_B_HYOJI_KENSU">UNKB0190_B!$D$23</definedName>
    <definedName name="UNKB0190_B_HYOUJI_GYO_SU">UNKB0190_B!$D$24</definedName>
    <definedName name="UNKB0190_B_IRAI_NO">UNKB0190_B!$AK$16</definedName>
    <definedName name="UNKB0190_B_IRISU">UNKB0190_B!$T$16</definedName>
    <definedName name="UNKB0190_B_IRISU_TANI">UNKB0190_B!$W$16</definedName>
    <definedName name="UNKB0190_B_JURI_NO">UNKB0190_B!$AH$16</definedName>
    <definedName name="UNKB0190_B_KENSHU_DATE">UNKB0190_B!$AA$16</definedName>
    <definedName name="UNKB0190_B_KOBAI_KBN">UNKB0190_B!$AO$16</definedName>
    <definedName name="UNKB0190_B_KOBAI_KBN_MEI">UNKB0190_B!$M$16</definedName>
    <definedName name="UNKB0190_B_KOBAI_STS">UNKB0190_B!$AP$16</definedName>
    <definedName name="UNKB0190_B_KOBAI_STS_MEI">UNKB0190_B!$N$16</definedName>
    <definedName name="UNKB0190_B_KOBAIHIN_CD">UNKB0190_B!$Q$16</definedName>
    <definedName name="UNKB0190_B_KOBAIHIN_MEI">UNKB0190_B!$R$16</definedName>
    <definedName name="UNKB0190_B_KOBAISHINSEI_NO">UNKB0190_B!$AJ$16</definedName>
    <definedName name="UNKB0190_B_LIST_CLEAR">UNKB0190_B!$D$31</definedName>
    <definedName name="UNKB0190_B_LIST_COPY_FLG">UNKB0190_B!$D$28</definedName>
    <definedName name="UNKB0190_B_LIST_COPY_SAKI">UNKB0190_B!$D$29</definedName>
    <definedName name="UNKB0190_B_LIST_END">UNKB0190_B!$D$27</definedName>
    <definedName name="UNKB0190_B_LIST_START">UNKB0190_B!$D$26</definedName>
    <definedName name="UNKB0190_B_MAKER_CD">UNKB0190_B!$AE$16</definedName>
    <definedName name="UNKB0190_B_MAKER_MEI">UNKB0190_B!$AF$16</definedName>
    <definedName name="UNKB0190_B_NEXT_PAGE">UNKB0190_B!$D$37</definedName>
    <definedName name="UNKB0190_B_NEXT_PAGE_NO">UNKB0190_B!$D$34</definedName>
    <definedName name="UNKB0190_B_PAGE_NO">UNKB0190_B!$D$21</definedName>
    <definedName name="UNKB0190_B_ROW">UNKB0190_B!$J$16</definedName>
    <definedName name="UNKB0190_B_SAVE_START">UNKB0190_B!$D$32</definedName>
    <definedName name="UNKB0190_B_SCROLL_LOCK">UNKB0190_B!$D$18</definedName>
    <definedName name="UNKB0190_B_SELECT_FLG">UNKB0190_B!$L$16</definedName>
    <definedName name="UNKB0190_B_SELECT_FLG_COPY_SAKI">UNKB0190_B!$D$30</definedName>
    <definedName name="UNKB0190_B_SEQ">UNKB0190_B!$AN$16</definedName>
    <definedName name="UNKB0190_B_SHIIRE_KEIJO">UNKB0190_B!$G$16</definedName>
    <definedName name="UNKB0190_B_SHIIRESAKI_CD">UNKB0190_B!$AC$16</definedName>
    <definedName name="UNKB0190_B_SHIIRESAKI_MEI">UNKB0190_B!$AD$16</definedName>
    <definedName name="UNKB0190_B_SHINSEI_DATE">UNKB0190_B!$P$16</definedName>
    <definedName name="UNKB0190_B_SHINSEISHA_CD">UNKB0190_B!$AR$16</definedName>
    <definedName name="UNKB0190_B_SHINSEISHA_MEI">UNKB0190_B!$O$16</definedName>
    <definedName name="UNKB0190_B_SHIRE_MIKEIJO_FLG">UNKB0190_B!$AS$16</definedName>
    <definedName name="UNKB0190_B_SURYO">UNKB0190_B!$V$16</definedName>
    <definedName name="UNKB0190_B_TANKA">UNKB0190_B!$S$16</definedName>
    <definedName name="UNKB0190_B_UKEIRE_DATE">UNKB0190_B!$Z$16</definedName>
    <definedName name="UNKB0190_B_YOSAN_CD">UNKB0190_B!$AG$16</definedName>
    <definedName name="UNKB0190_H_CHUMONSHO_STS">UNKB0190_H!$E$12</definedName>
    <definedName name="UNKB0190_H_CHUMONSHO_STS_S">UNKB0190_H!$E$32</definedName>
    <definedName name="UNKB0190_H_COPY_CELL_SAKI">UNKB0190_H!$I$6:$AR$10</definedName>
    <definedName name="UNKB0190_H_FREEWD_1">UNKB0190_H!$I$10</definedName>
    <definedName name="UNKB0190_H_FREEWD_1_S">UNKB0190_H!$E$54</definedName>
    <definedName name="UNKB0190_H_FREEWD_2">UNKB0190_H!$N$10</definedName>
    <definedName name="UNKB0190_H_FREEWD_2_S">UNKB0190_H!$E$55</definedName>
    <definedName name="UNKB0190_H_FREEWD_3">UNKB0190_H!$S$10</definedName>
    <definedName name="UNKB0190_H_FREEWD_3_S">UNKB0190_H!$E$56</definedName>
    <definedName name="UNKB0190_H_FREEWD_KBN">UNKB0190_H!$E$22</definedName>
    <definedName name="UNKB0190_H_FREEWD_KBN_DISP">UNKB0190_H!$M$10</definedName>
    <definedName name="UNKB0190_H_FREEWD_KBN_S">UNKB0190_H!$E$57</definedName>
    <definedName name="UNKB0190_H_GAICHU_KBN">UNKB0190_H!$E$8</definedName>
    <definedName name="UNKB0190_H_GAICHU_KBN_S">UNKB0190_H!$E$28</definedName>
    <definedName name="UNKB0190_H_HANBAI_KBN">UNKB0190_H!$E$11</definedName>
    <definedName name="UNKB0190_H_HANBAI_KBN_S">UNKB0190_H!$E$31</definedName>
    <definedName name="UNKB0190_H_HIDE_COLUMN">UNKB0190_H!$E$3</definedName>
    <definedName name="UNKB0190_H_HIDE_ROW">UNKB0190_H!$E$2</definedName>
    <definedName name="UNKB0190_H_ICHIBU_STS">UNKB0190_H!$E$13</definedName>
    <definedName name="UNKB0190_H_ICHIBU_STS_S">UNKB0190_H!$E$33</definedName>
    <definedName name="UNKB0190_H_INIT_HEADER_FLG_COPY_SAKI">UNKB0190_H!$E$7:$E$22</definedName>
    <definedName name="UNKB0190_H_JURI_NO">UNKB0190_H!$I$6</definedName>
    <definedName name="UNKB0190_H_JURI_NO_S">UNKB0190_H!$E$45</definedName>
    <definedName name="UNKB0190_H_KENSHU_DATE_END">UNKB0190_H!$V$8</definedName>
    <definedName name="UNKB0190_H_KENSHU_DATE_END_S">UNKB0190_H!$E$42</definedName>
    <definedName name="UNKB0190_H_KENSHU_DATE_START">UNKB0190_H!$Q$8</definedName>
    <definedName name="UNKB0190_H_KENSHU_DATE_START_S">UNKB0190_H!$E$41</definedName>
    <definedName name="UNKB0190_H_KENSHU_STS">UNKB0190_H!$E$15</definedName>
    <definedName name="UNKB0190_H_KENSHU_STS_S">UNKB0190_H!$E$35</definedName>
    <definedName name="UNKB0190_H_KOBAIHIN_CD">UNKB0190_H!$AD$6</definedName>
    <definedName name="UNKB0190_H_KOBAIHIN_CD_S">UNKB0190_H!$E$48</definedName>
    <definedName name="UNKB0190_H_KOBAIHIN_KBN">UNKB0190_H!$E$7</definedName>
    <definedName name="UNKB0190_H_KOBAIHIN_KBN_S">UNKB0190_H!$E$27</definedName>
    <definedName name="UNKB0190_H_KOBAIHIN_MEI">UNKB0190_H!$E$19</definedName>
    <definedName name="UNKB0190_H_KOBAIHIN_MEI_S">UNKB0190_H!$E$49</definedName>
    <definedName name="UNKB0190_H_MAKER_CD">UNKB0190_H!$AD$8</definedName>
    <definedName name="UNKB0190_H_MAKER_CD_S">UNKB0190_H!$E$52</definedName>
    <definedName name="UNKB0190_H_MAKER_MEI">UNKB0190_H!$E$21</definedName>
    <definedName name="UNKB0190_H_MAKER_MEI_S">UNKB0190_H!$E$53</definedName>
    <definedName name="UNKB0190_H_NYUKA_STS">UNKB0190_H!$E$14</definedName>
    <definedName name="UNKB0190_H_NYUKA_STS_S">UNKB0190_H!$E$34</definedName>
    <definedName name="UNKB0190_H_SHIIRESAKI_CD">UNKB0190_H!$AD$7</definedName>
    <definedName name="UNKB0190_H_SHIIRESAKI_CD_S">UNKB0190_H!$E$50</definedName>
    <definedName name="UNKB0190_H_SHIIRESAKI_MEI">UNKB0190_H!$E$20</definedName>
    <definedName name="UNKB0190_H_SHIIRESAKI_MEI_S">UNKB0190_H!$E$51</definedName>
    <definedName name="UNKB0190_H_SHINSEI_DATE_END">UNKB0190_H!$V$6</definedName>
    <definedName name="UNKB0190_H_SHINSEI_DATE_END_S">UNKB0190_H!$E$38</definedName>
    <definedName name="UNKB0190_H_SHINSEI_DATE_START">UNKB0190_H!$Q$6</definedName>
    <definedName name="UNKB0190_H_SHINSEI_DATE_START_S">UNKB0190_H!$E$37</definedName>
    <definedName name="UNKB0190_H_SHINSEISHA_CD">UNKB0190_H!$E$17</definedName>
    <definedName name="UNKB0190_H_SHINSEISHA_CD_S">UNKB0190_H!$E$43</definedName>
    <definedName name="UNKB0190_H_SHINSEISHA_MEI">UNKB0190_H!$I$8</definedName>
    <definedName name="UNKB0190_H_SHINSEISHA_MEI_S">UNKB0190_H!$E$44</definedName>
    <definedName name="UNKB0190_H_SHIRE_MIKEIJO_FLG">UNKB0190_H!$E$16</definedName>
    <definedName name="UNKB0190_H_SHIRE_MIKEIJO_FLG_S">UNKB0190_H!$E$36</definedName>
    <definedName name="UNKB0190_H_SHUZEN_KBN">UNKB0190_H!$E$9</definedName>
    <definedName name="UNKB0190_H_SHUZEN_KBN_S">UNKB0190_H!$E$29</definedName>
    <definedName name="UNKB0190_H_TOSHI_KBN">UNKB0190_H!$E$10</definedName>
    <definedName name="UNKB0190_H_TOSHI_KBN_S">UNKB0190_H!$E$30</definedName>
    <definedName name="UNKB0190_H_UKEIRE_DATE_END">UNKB0190_H!$V$7</definedName>
    <definedName name="UNKB0190_H_UKEIRE_DATE_END_S">UNKB0190_H!$E$40</definedName>
    <definedName name="UNKB0190_H_UKEIRE_DATE_START">UNKB0190_H!$Q$7</definedName>
    <definedName name="UNKB0190_H_UKEIRE_DATE_START_S">UNKB0190_H!$E$39</definedName>
    <definedName name="UNKB0190_H_YOSAN_CD">UNKB0190_H!$I$7</definedName>
    <definedName name="UNKB0190_H_YOSAN_CD_S">UNKB0190_H!$E$46</definedName>
    <definedName name="UNKB0190_H_YOSAN_MEI">UNKB0190_H!$E$18</definedName>
    <definedName name="UNKB0190_H_YOSAN_MEI_S">UNKB0190_H!$E$47</definedName>
    <definedName name="UNKB0190_IF_ACTIVE_CELL_NAME">UNKB0190_IF!$D$26</definedName>
    <definedName name="UNKB0190_IF_ACTIVE_COLUMN">UNKB0190_IF!$D$24</definedName>
    <definedName name="UNKB0190_IF_ACTIVE_ROW">UNKB0190_IF!$D$23</definedName>
    <definedName name="UNKB0190_IF_ACTIVE_SHEET">UNKB0190_IF!$D$22</definedName>
    <definedName name="UNKB0190_IF_B_FLG_COPY_MOTO">UNKB0190_IF!$D$6</definedName>
    <definedName name="UNKB0190_IF_DATA_SEARCH_FLG">UNKB0190_IF!$D$9</definedName>
    <definedName name="UNKB0190_IF_EXCEL_FILE_NAME">UNKB0190_IF!$CJ$10</definedName>
    <definedName name="UNKB0190_IF_INIT_HEADER_COPY_MOTO">UNKB0190_IF!$AW$3:$CF$7</definedName>
    <definedName name="UNKB0190_IF_INIT_HEADER_FLG_COPY_MOTO">UNKB0190_IF!$AT$5:$AT$20</definedName>
    <definedName name="UNKB0190_IF_KOBAI_NO">UNKB0190_IF!$D$10</definedName>
    <definedName name="UNKB0190_IF_LIST_COPY_MOTO">UNKB0190_IF!$D$5:$AQ$5</definedName>
    <definedName name="UNKB0190_IF_LIST_DEFAULT">UNKB0190_IF!$D$4:$AQ$4</definedName>
    <definedName name="UNKB0190_IF_PRINT_COUNT">UNKB0190_IF!$CJ$6</definedName>
    <definedName name="UNKB0190_IF_PRINT_SHOSHIKI_COPY_FLAG">UNKB0190_IF!$CJ$8</definedName>
    <definedName name="UNKB0190_IF_PRINT_SHOSHIKI_COPY_MOTO">UNKB0190_IF!$CL$3:$DQ$3</definedName>
    <definedName name="UNKB0190_IF_PRINT_SHOSHIKI_COPY_SAKI">UNKB0190_IF!$CJ$7</definedName>
    <definedName name="UNKB0190_IF_PRINT_START">UNKB0190_IF!$CL$5</definedName>
    <definedName name="UNKB0190_IF_SELECT_CNT">UNKB0190_IF!$D$12</definedName>
    <definedName name="UNKB0190_IF_W_SERIAL">UNKB0190_IF!$D$16</definedName>
    <definedName name="UNKB0190_IF_W_SERIAL_CREATE">UNKB0190_IF!$D$17</definedName>
    <definedName name="UNKB0190_IF_W_USER_ID">UNKB0190_IF!$D$15</definedName>
    <definedName name="UNKB0190_SQL_DEFAULT_SORT">UNKB0190_SQL!$F$66</definedName>
    <definedName name="UNKB0190_SQL_EXCEL_LIST">UNKB0190_SQL!$F$9</definedName>
    <definedName name="UNKB0190_SQL_SELECT_CNT">UNKB0190_SQL!$F$55</definedName>
    <definedName name="UNKB0190_SQL_SHIIRE_LIST">UNKB0190_SQL!$F$6</definedName>
    <definedName name="UNKB0190_SQL_SHIIRE_LIST_CNT">UNKB0190_SQL!$F$12</definedName>
    <definedName name="UNKB0190_SQL_SORT">UNKB0190_SQL!$F$53</definedName>
    <definedName name="UNKB0190_SQL_SORT_BY">UNKB0190_SQL!$F$62</definedName>
    <definedName name="UNKB0190_SQL_W_SHIIRE_LIST">UNKB0190_SQL!$F$49</definedName>
    <definedName name="UNKB0200_B_ALL_KENSU">UNKB0200_B!$D$20</definedName>
    <definedName name="UNKB0200_B_ALL_PAGE_SU">UNKB0200_B!$D$22</definedName>
    <definedName name="UNKB0200_B_BACK_PAGE">UNKB0200_B!$D$34</definedName>
    <definedName name="UNKB0200_B_BACK_PAGE_NO">UNKB0200_B!$D$33</definedName>
    <definedName name="UNKB0200_B_DEL_FLG">UNKB0200_B!$Q$16</definedName>
    <definedName name="UNKB0200_B_HIDE_COLUMN">UNKB0200_B!$D$17</definedName>
    <definedName name="UNKB0200_B_HIDE_ROW">UNKB0200_B!$D$16</definedName>
    <definedName name="UNKB0200_B_HYOJI_GYO_SU">UNKB0200_B!$D$24</definedName>
    <definedName name="UNKB0200_B_HYOJI_KENSU">UNKB0200_B!$D$23</definedName>
    <definedName name="UNKB0200_B_KOBAI_KBN">UNKB0200_B!$J$16</definedName>
    <definedName name="UNKB0200_B_LINK_DATE_TIME">UNKB0200_B!$P$16</definedName>
    <definedName name="UNKB0200_B_LIST_CLEAR">UNKB0200_B!$D$30</definedName>
    <definedName name="UNKB0200_B_LIST_COPY_FLG">UNKB0200_B!$D$28</definedName>
    <definedName name="UNKB0200_B_LIST_COPY_SAKI">UNKB0200_B!$D$29</definedName>
    <definedName name="UNKB0200_B_LIST_END">UNKB0200_B!$D$27</definedName>
    <definedName name="UNKB0200_B_LIST_START">UNKB0200_B!$D$26</definedName>
    <definedName name="UNKB0200_B_NEXT_PAGE">UNKB0200_B!$D$35</definedName>
    <definedName name="UNKB0200_B_NEXT_PAGE_NO">UNKB0200_B!$D$32</definedName>
    <definedName name="UNKB0200_B_PAGE_NO">UNKB0200_B!$D$21</definedName>
    <definedName name="UNKB0200_B_SCROLL_LOCK">UNKB0200_B!$D$18</definedName>
    <definedName name="UNKB0200_B_SELECT_GYO_NO">UNKB0200_B!$D$37</definedName>
    <definedName name="UNKB0200_B_SELECT_SHIIRE_NO">UNKB0200_B!$D$38</definedName>
    <definedName name="UNKB0200_B_SENTAKU">UNKB0200_B!$G$16</definedName>
    <definedName name="UNKB0200_B_SHIIRE_DATE">UNKB0200_B!$K$16</definedName>
    <definedName name="UNKB0200_B_SHIIRE_NO">UNKB0200_B!$H$16</definedName>
    <definedName name="UNKB0200_B_SHIIRESAKI_CD">UNKB0200_B!$M$16</definedName>
    <definedName name="UNKB0200_B_SHIIRESAKI_MEI">UNKB0200_B!$N$16</definedName>
    <definedName name="UNKB0200_B_SHOKAN_NO">UNKB0200_B!$O$16</definedName>
    <definedName name="UNKB0200_B_STS">UNKB0200_B!$I$16</definedName>
    <definedName name="UNKB0200_B_YOTEI_DATE">UNKB0200_B!$L$16</definedName>
    <definedName name="UNKB0200_H_COPY_CELL_SAKI">UNKB0200_H!$I$6:$AJ$13</definedName>
    <definedName name="UNKB0200_H_DEL_HYOJI_FLG">UNKB0200_H!$E$15</definedName>
    <definedName name="UNKB0200_H_DEL_HYOJI_FLG_S">UNKB0200_H!$E$34</definedName>
    <definedName name="UNKB0200_H_FREEWD_1">UNKB0200_H!$I$13</definedName>
    <definedName name="UNKB0200_H_FREEWD_1_S">UNKB0200_H!$E$54</definedName>
    <definedName name="UNKB0200_H_FREEWD_2">UNKB0200_H!$N$13</definedName>
    <definedName name="UNKB0200_H_FREEWD_2_S">UNKB0200_H!$E$55</definedName>
    <definedName name="UNKB0200_H_FREEWD_3">UNKB0200_H!$S$13</definedName>
    <definedName name="UNKB0200_H_FREEWD_3_S">UNKB0200_H!$E$56</definedName>
    <definedName name="UNKB0200_H_FREEWD_KBN">UNKB0200_H!$E$21</definedName>
    <definedName name="UNKB0200_H_FREEWD_KBN_DISP">UNKB0200_H!$M$13</definedName>
    <definedName name="UNKB0200_H_FREEWD_KBN_S">UNKB0200_H!$E$57</definedName>
    <definedName name="UNKB0200_H_GAICHU_KBN">UNKB0200_H!$E$11</definedName>
    <definedName name="UNKB0200_H_GAICHU_KBN_S">UNKB0200_H!$E$30</definedName>
    <definedName name="UNKB0200_H_HANBAI_KBN">UNKB0200_H!$E$14</definedName>
    <definedName name="UNKB0200_H_HANBAI_KBN_S">UNKB0200_H!$E$33</definedName>
    <definedName name="UNKB0200_H_HIDE_COLUMN">UNKB0200_H!$E$3</definedName>
    <definedName name="UNKB0200_H_HIDE_ROW">UNKB0200_H!$E$2</definedName>
    <definedName name="UNKB0200_H_INIT_HEADER_FLG_COPY_SAKI">UNKB0200_H!$E$7:$E$21</definedName>
    <definedName name="UNKB0200_H_IRAI_NO">UNKB0200_H!$AG$10</definedName>
    <definedName name="UNKB0200_H_IRAI_NO_S">UNKB0200_H!$E$53</definedName>
    <definedName name="UNKB0200_H_JURI_NO">UNKB0200_H!$I$10</definedName>
    <definedName name="UNKB0200_H_JURI_NO_S">UNKB0200_H!$E$41</definedName>
    <definedName name="UNKB0200_H_KOBAIHIN_CD">UNKB0200_H!$V$7</definedName>
    <definedName name="UNKB0200_H_KOBAIHIN_CD_S">UNKB0200_H!$E$46</definedName>
    <definedName name="UNKB0200_H_KOBAIHIN_KBN">UNKB0200_H!$E$10</definedName>
    <definedName name="UNKB0200_H_KOBAIHIN_KBN_S">UNKB0200_H!$E$29</definedName>
    <definedName name="UNKB0200_H_KOBAIHIN_MEI">UNKB0200_H!$E$18</definedName>
    <definedName name="UNKB0200_H_KOBAIHIN_MEI_S">UNKB0200_H!$E$47</definedName>
    <definedName name="UNKB0200_H_KOBAISHINSEI_NO">UNKB0200_H!$V$11</definedName>
    <definedName name="UNKB0200_H_KOBAISHINSEI_NO_S">UNKB0200_H!$E$52</definedName>
    <definedName name="UNKB0200_H_MAKER_CD">UNKB0200_H!$V$8</definedName>
    <definedName name="UNKB0200_H_MAKER_CD_S">UNKB0200_H!$E$48</definedName>
    <definedName name="UNKB0200_H_MAKER_MEI">UNKB0200_H!$E$20</definedName>
    <definedName name="UNKB0200_H_MAKER_MEI_S">UNKB0200_H!$E$49</definedName>
    <definedName name="UNKB0200_H_MITOTSUGO_STS">UNKB0200_H!$E$7</definedName>
    <definedName name="UNKB0200_H_MITOTSUGO_STS_S">UNKB0200_H!$E$26</definedName>
    <definedName name="UNKB0200_H_NYURYOKUSHA_CD">UNKB0200_H!$E$16</definedName>
    <definedName name="UNKB0200_H_NYURYOKUSHA_CD_S">UNKB0200_H!$E$50</definedName>
    <definedName name="UNKB0200_H_NYURYOKUSHA_MEI">UNKB0200_H!$V$10</definedName>
    <definedName name="UNKB0200_H_NYURYOKUSHA_MEI_S">UNKB0200_H!$E$51</definedName>
    <definedName name="UNKB0200_H_SHIIRE_DATE_END">UNKB0200_H!$N$7</definedName>
    <definedName name="UNKB0200_H_SHIIRE_DATE_END_S">UNKB0200_H!$E$38</definedName>
    <definedName name="UNKB0200_H_SHIIRE_DATE_START">UNKB0200_H!$I$7</definedName>
    <definedName name="UNKB0200_H_SHIIRE_DATE_START_S">UNKB0200_H!$E$37</definedName>
    <definedName name="UNKB0200_H_SHIIRE_LINK_STS">UNKB0200_H!$E$9</definedName>
    <definedName name="UNKB0200_H_SHIIRE_LINK_STS_S">UNKB0200_H!$E$28</definedName>
    <definedName name="UNKB0200_H_SHIIRE_NO_END">UNKB0200_H!$N$6</definedName>
    <definedName name="UNKB0200_H_SHIIRE_NO_END_S">UNKB0200_H!$E$36</definedName>
    <definedName name="UNKB0200_H_SHIIRE_NO_START">UNKB0200_H!$I$6</definedName>
    <definedName name="UNKB0200_H_SHIIRE_NO_START_S">UNKB0200_H!$E$35</definedName>
    <definedName name="UNKB0200_H_SHIIRESAKI_CD">UNKB0200_H!$V$6</definedName>
    <definedName name="UNKB0200_H_SHIIRESAKI_CD_S">UNKB0200_H!$E$44</definedName>
    <definedName name="UNKB0200_H_SHIIRESAKI_MEI">UNKB0200_H!$E$19</definedName>
    <definedName name="UNKB0200_H_SHIIRESAKI_MEI_S">UNKB0200_H!$E$45</definedName>
    <definedName name="UNKB0200_H_SHUZEN_KBN">UNKB0200_H!$E$12</definedName>
    <definedName name="UNKB0200_H_SHUZEN_KBN_S">UNKB0200_H!$E$31</definedName>
    <definedName name="UNKB0200_H_TOSHI_KBN">UNKB0200_H!$E$13</definedName>
    <definedName name="UNKB0200_H_TOSHI_KBN_S">UNKB0200_H!$E$32</definedName>
    <definedName name="UNKB0200_H_TOTSUGOSUMI_STS">UNKB0200_H!$E$8</definedName>
    <definedName name="UNKB0200_H_TOTSUGOSUMI_STS_S">UNKB0200_H!$E$27</definedName>
    <definedName name="UNKB0200_H_YOSAN_CD">UNKB0200_H!$I$11</definedName>
    <definedName name="UNKB0200_H_YOSAN_CD_S">UNKB0200_H!$E$42</definedName>
    <definedName name="UNKB0200_H_YOSAN_MEI">UNKB0200_H!$E$17</definedName>
    <definedName name="UNKB0200_H_YOSAN_MEI_S">UNKB0200_H!$E$43</definedName>
    <definedName name="UNKB0200_H_YOTEI_DATE_END">UNKB0200_H!$N$8</definedName>
    <definedName name="UNKB0200_H_YOTEI_DATE_END_S">UNKB0200_H!$E$40</definedName>
    <definedName name="UNKB0200_H_YOTEI_DATE_START">UNKB0200_H!$I$8</definedName>
    <definedName name="UNKB0200_H_YOTEI_DATE_START_S">UNKB0200_H!$E$39</definedName>
    <definedName name="UNKB0200_IF_ACTIVE_CELL_NAME">UNKB0200_IF!$D$16</definedName>
    <definedName name="UNKB0200_IF_ACTIVE_COLUMN">UNKB0200_IF!$D$14</definedName>
    <definedName name="UNKB0200_IF_ACTIVE_ROW">UNKB0200_IF!$D$13</definedName>
    <definedName name="UNKB0200_IF_ACTIVE_SHEET">UNKB0200_IF!$D$12</definedName>
    <definedName name="UNKB0200_IF_DATA_SEARCH_FLG">UNKB0200_IF!$D$8</definedName>
    <definedName name="UNKB0200_IF_EXCEL_FILE_NAME">UNKB0200_IF!$AZ$10</definedName>
    <definedName name="UNKB0200_IF_INIT_HEADER_COPY_MOTO">UNKB0200_IF!$T$4:$AU$11</definedName>
    <definedName name="UNKB0200_IF_INIT_HEADER_FLG_COPY_MOTO">UNKB0200_IF!$Q$5:$Q$19</definedName>
    <definedName name="UNKB0200_IF_LIST_COPY_MOTO">UNKB0200_IF!$D$5:$N$5</definedName>
    <definedName name="UNKB0200_IF_LIST_DEFAULT">UNKB0200_IF!$D$4:$N$4</definedName>
    <definedName name="UNKB0200_IF_PRINT_COUNT">UNKB0200_IF!$AZ$6</definedName>
    <definedName name="UNKB0200_IF_PRINT_SHOSHIKI_COPY_FLAG">UNKB0200_IF!$AZ$8</definedName>
    <definedName name="UNKB0200_IF_PRINT_SHOSHIKI_COPY_MOTO">UNKB0200_IF!$BB$3:$CV$3</definedName>
    <definedName name="UNKB0200_IF_PRINT_SHOSHIKI_COPY_SAKI">UNKB0200_IF!$AZ$7</definedName>
    <definedName name="UNKB0200_IF_PRINT_START">UNKB0200_IF!$BB$5</definedName>
    <definedName name="UNKB0200_SQL_DEFAULT_SORT">UNKB0200_SQL!$F$56</definedName>
    <definedName name="UNKB0200_SQL_EXCEL_LIST">UNKB0200_SQL!$F$9</definedName>
    <definedName name="UNKB0200_SQL_SHIIRE_LIST">UNKB0200_SQL!$F$6</definedName>
    <definedName name="UNKB0200_SQL_SHIIRE_LIST_CNT">UNKB0200_SQL!$F$12</definedName>
    <definedName name="UNKB0200_SQL_SORT">UNKB0200_SQL!$F$47</definedName>
    <definedName name="UNKB0200_SQL_SORT_BY">UNKB0200_SQL!$F$52</definedName>
    <definedName name="UNKB0210_B_BARA_TANI">UNKB0210_B!$O$16</definedName>
    <definedName name="UNKB0210_B_BARA_TANI_TENKAI">UNKB0210_B!$D$32</definedName>
    <definedName name="UNKB0210_B_BIKO">UNKB0210_B!$Y$16</definedName>
    <definedName name="UNKB0210_B_COPY_GYO_SUSHIKI">UNKB0210_B!$D$43</definedName>
    <definedName name="UNKB0210_B_COPY_MOTO_AREA">UNKB0210_B!$D$41</definedName>
    <definedName name="UNKB0210_B_COPY_MOTO_NAME">UNKB0210_B!$D$40</definedName>
    <definedName name="UNKB0210_B_COPY_SAKI_AREA">UNKB0210_B!$D$42</definedName>
    <definedName name="UNKB0210_B_GYO">UNKB0210_B!$G$16</definedName>
    <definedName name="UNKB0210_B_GYO_COUNT">UNKB0210_B!$D$23</definedName>
    <definedName name="UNKB0210_B_GYO_DECREMENT">UNKB0210_B!$D$25</definedName>
    <definedName name="UNKB0210_B_GYO_INCREMENT">UNKB0210_B!$D$24</definedName>
    <definedName name="UNKB0210_B_HIDE_COLUMN">UNKB0210_B!$D$17</definedName>
    <definedName name="UNKB0210_B_HIDE_ROW">UNKB0210_B!$D$16</definedName>
    <definedName name="UNKB0210_B_IRAI_NO">UNKB0210_B!$T$16</definedName>
    <definedName name="UNKB0210_B_IRISU">UNKB0210_B!$N$16</definedName>
    <definedName name="UNKB0210_B_IRISU_TANI">UNKB0210_B!$Q$16</definedName>
    <definedName name="UNKB0210_B_IRISU_TANI_TENKAI">UNKB0210_B!$D$31</definedName>
    <definedName name="UNKB0210_B_IRISU_TENKAI">UNKB0210_B!$D$30</definedName>
    <definedName name="UNKB0210_B_JURI_NO">UNKB0210_B!$X$16</definedName>
    <definedName name="UNKB0210_B_JURI_NO_TENKAI">UNKB0210_B!$D$37</definedName>
    <definedName name="UNKB0210_B_KOBAI_NO">UNKB0210_B!$Z$16</definedName>
    <definedName name="UNKB0210_B_KOBAI_SEQ">UNKB0210_B!$J$16</definedName>
    <definedName name="UNKB0210_B_KOBAIHIN_CD">UNKB0210_B!$K$16</definedName>
    <definedName name="UNKB0210_B_KOBAIHIN_CD_TENKAI">UNKB0210_B!$D$27</definedName>
    <definedName name="UNKB0210_B_KOBAIHIN_MEI">UNKB0210_B!$L$16</definedName>
    <definedName name="UNKB0210_B_KOBAIHIN_MEI_TENKAI">UNKB0210_B!$D$28</definedName>
    <definedName name="UNKB0210_B_LIST_CLEAR_AREA">UNKB0210_B!$D$48</definedName>
    <definedName name="UNKB0210_B_LIST_DELETE_AREA">UNKB0210_B!$D$51</definedName>
    <definedName name="UNKB0210_B_LIST_INSERT_AREA">UNKB0210_B!$D$50</definedName>
    <definedName name="UNKB0210_B_LIST_START">UNKB0210_B!$D$21</definedName>
    <definedName name="UNKB0210_B_MAKER_CD">UNKB0210_B!$U$16</definedName>
    <definedName name="UNKB0210_B_MAKER_CD_TENKAI">UNKB0210_B!$D$33</definedName>
    <definedName name="UNKB0210_B_MAKER_MEI">UNKB0210_B!$I$16</definedName>
    <definedName name="UNKB0210_B_MAKER_MEI_DISP">UNKB0210_B!$V$16</definedName>
    <definedName name="UNKB0210_B_MAKER_MEI_SUSHIKI">UNKB0210_B!$D$46</definedName>
    <definedName name="UNKB0210_B_MAKER_MEI_TENKAI">UNKB0210_B!$D$34</definedName>
    <definedName name="UNKB0210_B_MULTI_SELECT_COPY_SAKI">UNKB0210_B!$D$53</definedName>
    <definedName name="UNKB0210_B_SCROLL_LOCK">UNKB0210_B!$D$19</definedName>
    <definedName name="UNKB0210_B_SOSU">UNKB0210_B!$R$16</definedName>
    <definedName name="UNKB0210_B_SOSU_SUSHIKI">UNKB0210_B!$D$44</definedName>
    <definedName name="UNKB0210_B_SURYO">UNKB0210_B!$P$16</definedName>
    <definedName name="UNKB0210_B_TANKA">UNKB0210_B!$M$16</definedName>
    <definedName name="UNKB0210_B_TANKA_TENKAI">UNKB0210_B!$D$29</definedName>
    <definedName name="UNKB0210_B_TOTAL">UNKB0210_B!$S$16</definedName>
    <definedName name="UNKB0210_B_TOTAL_SUSHIKI">UNKB0210_B!$D$45</definedName>
    <definedName name="UNKB0210_B_YOSAN_CD">UNKB0210_B!$W$16</definedName>
    <definedName name="UNKB0210_B_YOSAN_CD_MEI">UNKB0210_B!$H$16</definedName>
    <definedName name="UNKB0210_B_YOSAN_CD_TENKAI">UNKB0210_B!$D$35</definedName>
    <definedName name="UNKB0210_B_YOSAN_MEI_TENKAI">UNKB0210_B!$D$36</definedName>
    <definedName name="UNKB0210_H_CHUKI">UNKB0210_H!$H$8</definedName>
    <definedName name="UNKB0210_H_CLEAR_AREA">UNKB0210_H!$D$6:$D$10</definedName>
    <definedName name="UNKB0210_H_COPY_SAKI">UNKB0210_H!$H$3:$P$11</definedName>
    <definedName name="UNKB0210_H_DENKU">UNKB0210_H!$P$7</definedName>
    <definedName name="UNKB0210_H_DENKU_CD">UNKB0210_H!$D$13</definedName>
    <definedName name="UNKB0210_H_HIDE_COLUMN">UNKB0210_H!$D$3</definedName>
    <definedName name="UNKB0210_H_HIDE_ROW">UNKB0210_H!$D$2</definedName>
    <definedName name="UNKB0210_H_KANJO_KAMOKU">UNKB0210_H!$M$8</definedName>
    <definedName name="UNKB0210_H_KANJO_KAMOKU_CD">UNKB0210_H!$D$14</definedName>
    <definedName name="UNKB0210_H_KOBAI_KBN">UNKB0210_H!$K$3</definedName>
    <definedName name="UNKB0210_H_KOBAI_KBN_CD">UNKB0210_H!$D$11</definedName>
    <definedName name="UNKB0210_H_KOMI_TOTAL">UNKB0210_H!$P$11</definedName>
    <definedName name="UNKB0210_H_NUKI_TOTAL">UNKB0210_H!$N$11</definedName>
    <definedName name="UNKB0210_H_NYURYOKUSHA_CD">UNKB0210_H!$D$6</definedName>
    <definedName name="UNKB0210_H_NYURYOKUSHA_MEI">UNKB0210_H!$K$4</definedName>
    <definedName name="UNKB0210_H_PAGE_NEXT">UNKB0210_H!$D$23</definedName>
    <definedName name="UNKB0210_H_PAGE_NO">UNKB0210_H!$D$21</definedName>
    <definedName name="UNKB0210_H_PAGE_PREV">UNKB0210_H!$D$22</definedName>
    <definedName name="UNKB0210_H_PAGE_TOTAL">UNKB0210_H!$D$20</definedName>
    <definedName name="UNKB0210_H_RENDO_KBN_CD">UNKB0210_H!$D$27</definedName>
    <definedName name="UNKB0210_H_SHIHARAI_DATE">UNKB0210_H!$N$3</definedName>
    <definedName name="UNKB0210_H_SHIIRE_DATE">UNKB0210_H!$H$3</definedName>
    <definedName name="UNKB0210_H_SHIIRE_KAMOKU">UNKB0210_H!$M$7</definedName>
    <definedName name="UNKB0210_H_SHIIRE_KAMOKU_CD">UNKB0210_H!$D$12</definedName>
    <definedName name="UNKB0210_H_SHIIRE_NO">UNKB0210_H!$H$4</definedName>
    <definedName name="UNKB0210_H_SHIIRESAKI_CD">UNKB0210_H!$H$7</definedName>
    <definedName name="UNKB0210_H_SHIIRESAKI_HASU">UNKB0210_H!$D$9</definedName>
    <definedName name="UNKB0210_H_SHIIRESAKI_MEI">UNKB0210_H!$D$8</definedName>
    <definedName name="UNKB0210_H_SHOKAN_NO">UNKB0210_H!$H$5</definedName>
    <definedName name="UNKB0210_H_SHOKAN_RENDO_DATE_TIME">UNKB0210_H!$D$10</definedName>
    <definedName name="UNKB0210_H_SHOKAN_RENDO_KBN">UNKB0210_H!$C$28</definedName>
    <definedName name="UNKB0210_H_STS">UNKB0210_H!$N$4</definedName>
    <definedName name="UNKB0210_H_STS_CD">UNKB0210_H!$D$7</definedName>
    <definedName name="UNKB0210_H_TAX">UNKB0210_H!$O$11</definedName>
    <definedName name="UNKB0210_H_TAX_RATE">UNKB0210_H!$D$18</definedName>
    <definedName name="UNKB0210_IF_ACTIVE_CELL_NAME">UNKB0210_IF!$D$30</definedName>
    <definedName name="UNKB0210_IF_ACTIVE_COLUMN">UNKB0210_IF!$D$28</definedName>
    <definedName name="UNKB0210_IF_ACTIVE_ROW">UNKB0210_IF!$D$27</definedName>
    <definedName name="UNKB0210_IF_ACTIVE_SHEET">UNKB0210_IF!$D$26</definedName>
    <definedName name="UNKB0210_IF_BUTTON_03_HYOJI">UNKB0210_IF!$D$38</definedName>
    <definedName name="UNKB0210_IF_BUTTON_04_HYOJI">UNKB0210_IF!$D$39</definedName>
    <definedName name="UNKB0210_IF_BUTTON_06_HYOJI">UNKB0210_IF!$D$40</definedName>
    <definedName name="UNKB0210_IF_BUTTON_06_NAME">UNKB0210_IF!$D$33</definedName>
    <definedName name="UNKB0210_IF_BUTTON_07_HYOJI">UNKB0210_IF!$D$41</definedName>
    <definedName name="UNKB0210_IF_BUTTON_08_HYOJI">UNKB0210_IF!$D$42</definedName>
    <definedName name="UNKB0210_IF_BUTTON_09_HYOJI">UNKB0210_IF!$D$43</definedName>
    <definedName name="UNKB0210_IF_BUTTON_10_HYOJI">UNKB0210_IF!$D$44</definedName>
    <definedName name="UNKB0210_IF_BUTTON_10_NAME">UNKB0210_IF!$D$34</definedName>
    <definedName name="UNKB0210_IF_BUTTON_11_HYOJI">UNKB0210_IF!$D$45</definedName>
    <definedName name="UNKB0210_IF_BUTTON_12_ERROR">UNKB0210_IF!$D$53</definedName>
    <definedName name="UNKB0210_IF_BUTTON_12_HYOJI">UNKB0210_IF!$D$46</definedName>
    <definedName name="UNKB0210_IF_BUTTON_15_HYOJI">UNKB0210_IF!$D$47</definedName>
    <definedName name="UNKB0210_IF_BUTTON_16_HYOJI">UNKB0210_IF!$D$48</definedName>
    <definedName name="UNKB0210_IF_BUTTON_17_HYOJI">UNKB0210_IF!$D$49</definedName>
    <definedName name="UNKB0210_IF_BUTTON_20_HYOJI">UNKB0210_IF!$D$50</definedName>
    <definedName name="UNKB0210_IF_COPY_B_GYO_SUSHIKI">UNKB0210_IF!$BA$5</definedName>
    <definedName name="UNKB0210_IF_COPY_B_LIST_CLEAR">UNKB0210_IF!$BA$14:$BT$14</definedName>
    <definedName name="UNKB0210_IF_COPY_B_MAKER_MEI_SUSHIKI">UNKB0210_IF!$BP$5</definedName>
    <definedName name="UNKB0210_IF_COPY_B_MEISAI_SANSHO">UNKB0210_IF!$BA$11:$BT$11</definedName>
    <definedName name="UNKB0210_IF_COPY_B_MEISAI_SHINKI">UNKB0210_IF!$BA$5:$BT$5</definedName>
    <definedName name="UNKB0210_IF_COPY_B_MEISAI_SHUSEI">UNKB0210_IF!$BA$8:$BT$8</definedName>
    <definedName name="UNKB0210_IF_COPY_B_SOSU_SUSHIKI">UNKB0210_IF!$BL$5</definedName>
    <definedName name="UNKB0210_IF_COPY_B_TOTAL_SUSHIKI">UNKB0210_IF!$BM$5</definedName>
    <definedName name="UNKB0210_IF_COPY_H_SANSHO">UNKB0210_IF!$AH$26:$AP$34</definedName>
    <definedName name="UNKB0210_IF_COPY_H_SHIIRE_DATE">UNKB0210_IF!$AD$5</definedName>
    <definedName name="UNKB0210_IF_COPY_H_SHINKI">UNKB0210_IF!$AH$4:$AP$12</definedName>
    <definedName name="UNKB0210_IF_COPY_H_SHUSEI">UNKB0210_IF!$AH$15:$AP$23</definedName>
    <definedName name="UNKB0210_IF_COPY_STS_LOCK">UNKB0210_IF!$AU$4</definedName>
    <definedName name="UNKB0210_IF_COPY_STS_LOCK_CHECK">UNKB0210_IF!$AU$5</definedName>
    <definedName name="UNKB0210_IF_DATA_SEARCH_FLG">UNKB0210_IF!$D$3</definedName>
    <definedName name="UNKB0210_IF_DEFAULT_CHECK">UNKB0210_IF!$D$22</definedName>
    <definedName name="UNKB0210_IF_EXCEL_FILE_NAME">UNKB0210_IF!$D$56</definedName>
    <definedName name="UNKB0210_IF_GET_SHIHARAI_DATE_CHECK">UNKB0210_IF!$D$21</definedName>
    <definedName name="UNKB0210_IF_INPUT_CHECK">UNKB0210_IF!$CE$26</definedName>
    <definedName name="UNKB0210_IF_INPUT_ERROR_MESSAGE">UNKB0210_IF!$CE$27</definedName>
    <definedName name="UNKB0210_IF_KOBAI_MODE">UNKB0210_IF!$D$17</definedName>
    <definedName name="UNKB0210_IF_LIST_DENKU">OFFSET(UNKB0210_IF_LIST_DENKU_START,,,IF(UNKB0210_IF_LIST_DENKU_KENSU=0,1,UNKB0210_IF_LIST_DENKU_KENSU),1)</definedName>
    <definedName name="UNKB0210_IF_LIST_DENKU_KENSU">UNKB0210_IF!$U$4</definedName>
    <definedName name="UNKB0210_IF_LIST_DENKU_START">UNKB0210_IF!$T$7</definedName>
    <definedName name="UNKB0210_IF_LIST_KANJO_KAMOKU">OFFSET(UNKB0210_IF_LIST_KANJO_KAMOKU_START,,,IF(UNKB0210_IF_LIST_KANJO_KAMOKU_KENSU=0,1,UNKB0210_IF_LIST_KANJO_KAMOKU_KENSU),1)</definedName>
    <definedName name="UNKB0210_IF_LIST_KANJO_KAMOKU_KENSU">UNKB0210_IF!$X$4</definedName>
    <definedName name="UNKB0210_IF_LIST_KANJO_KAMOKU_START">UNKB0210_IF!$W$7</definedName>
    <definedName name="UNKB0210_IF_LIST_KOBAI_KBN">OFFSET(UNKB0210_IF_LIST_KOBAI_KBN_START,,,IF(UNKB0210_IF_LIST_KOBAI_KBN_KENSU=0,1,UNKB0210_IF_LIST_KOBAI_KBN_KENSU),1)</definedName>
    <definedName name="UNKB0210_IF_LIST_KOBAI_KBN_KENSU">UNKB0210_IF!$L$4</definedName>
    <definedName name="UNKB0210_IF_LIST_KOBAI_KBN_START">UNKB0210_IF!$K$7</definedName>
    <definedName name="UNKB0210_IF_LIST_RENDO_KBN">OFFSET(UNKB0210_IF_LIST_RENDO_KBN_START,,,IF(UNKB0210_IF_LIST_RENDO_KBN_KENSU=0,1,UNKB0210_IF_LIST_RENDO_KBN_KENSU),1)</definedName>
    <definedName name="UNKB0210_IF_LIST_RENDO_KBN_KENSU">UNKB0210_IF!$O$4</definedName>
    <definedName name="UNKB0210_IF_LIST_RENDO_KBN_START">UNKB0210_IF!$N$7</definedName>
    <definedName name="UNKB0210_IF_LIST_SHIIRE_KAMOKU">OFFSET(UNKB0210_IF_LIST_SHIIRE_KAMOKU_START,,,IF(UNKB0210_IF_LIST_SHIIRE_KAMOKU_KENSU=0,1,UNKB0210_IF_LIST_SHIIRE_KAMOKU_KENSU),1)</definedName>
    <definedName name="UNKB0210_IF_LIST_SHIIRE_KAMOKU_KENSU">UNKB0210_IF!$R$4</definedName>
    <definedName name="UNKB0210_IF_LIST_SHIIRE_KAMOKU_START">UNKB0210_IF!$Q$7</definedName>
    <definedName name="UNKB0210_IF_MODE">UNKB0210_IF!$D$16</definedName>
    <definedName name="UNKB0210_IF_MULTI_SELECT_CHECK">UNKB0210_IF!$EF$6</definedName>
    <definedName name="UNKB0210_IF_MULTI_SELECT_COPY_MOTO">UNKB0210_IF!$EF$16</definedName>
    <definedName name="UNKB0210_IF_MULTI_SELECT_FLG">UNKB0210_IF!$D$6</definedName>
    <definedName name="UNKB0210_IF_MULTI_SELECT_GYO_INCREMENT">UNKB0210_IF!$EF$7</definedName>
    <definedName name="UNKB0210_IF_MULTI_SELECT_GYO_SUSHIKI_COPY_SAKI">UNKB0210_IF!$EF$10</definedName>
    <definedName name="UNKB0210_IF_MULTI_SELECT_KENSU">UNKB0210_IF!$EF$3</definedName>
    <definedName name="UNKB0210_IF_MULTI_SELECT_LIST_GYO">UNKB0210_IF!$EJ$3</definedName>
    <definedName name="UNKB0210_IF_MULTI_SELECT_LIST_MAKER_MEI">UNKB0210_IF!$EX$3</definedName>
    <definedName name="UNKB0210_IF_MULTI_SELECT_LIST_SOSU">UNKB0210_IF!$EU$3</definedName>
    <definedName name="UNKB0210_IF_MULTI_SELECT_LIST_TOTAL">UNKB0210_IF!$EV$3</definedName>
    <definedName name="UNKB0210_IF_MULTI_SELECT_MAKER_MEI_SUSHIKI_COPY_SAKI">UNKB0210_IF!$EF$13</definedName>
    <definedName name="UNKB0210_IF_MULTI_SELECT_SHOSHIKI_COPY_SAKI">UNKB0210_IF!$EF$9</definedName>
    <definedName name="UNKB0210_IF_MULTI_SELECT_SOSU_SUSHIKI_COPY_SAKI">UNKB0210_IF!$EF$11</definedName>
    <definedName name="UNKB0210_IF_MULTI_SELECT_TENKAI_KENSU">UNKB0210_IF!$EF$5</definedName>
    <definedName name="UNKB0210_IF_MULTI_SELECT_TENKAI_START">UNKB0210_IF!$EJ$4</definedName>
    <definedName name="UNKB0210_IF_MULTI_SELECT_TOTAL_SUSHIKI_COPY_SAKI">UNKB0210_IF!$EF$12</definedName>
    <definedName name="UNKB0210_IF_PAGE_SAVE_CHECK">UNKB0210_IF!$D$7</definedName>
    <definedName name="UNKB0210_IF_PREVIOUS_ID">UNKB0210_IF!$D$18</definedName>
    <definedName name="UNKB0210_IF_REF_NO">UNKB0210_IF!$D$4</definedName>
    <definedName name="UNKB0210_IF_SAVE_BARA_TANI">UNKB0210_IF!$DM$5</definedName>
    <definedName name="UNKB0210_IF_SAVE_BAT_KOBAI_NO">UNKB0210_IF!$BZ$44</definedName>
    <definedName name="UNKB0210_IF_SAVE_BAT_LOOP_CNT">UNKB0210_IF!$BZ$43</definedName>
    <definedName name="UNKB0210_IF_SAVE_BIKO">UNKB0210_IF!$DS$5</definedName>
    <definedName name="UNKB0210_IF_SAVE_CHECK_ERROR_KOMOKU">UNKB0210_IF!$CE$30</definedName>
    <definedName name="UNKB0210_IF_SAVE_CHECK_RESULT">UNKB0210_IF!$CD$30</definedName>
    <definedName name="UNKB0210_IF_SAVE_CHECK_START">UNKB0210_IF!$DG$6</definedName>
    <definedName name="UNKB0210_IF_SAVE_COPY_MOTO">UNKB0210_IF!$CJ$3:$EA$3</definedName>
    <definedName name="UNKB0210_IF_SAVE_COPY_SAKI">UNKB0210_IF!$BZ$12</definedName>
    <definedName name="UNKB0210_IF_SAVE_COPY_START">UNKB0210_IF!$CJ$6</definedName>
    <definedName name="UNKB0210_IF_SAVE_DBS_CREATE_DATE">UNKB0210_IF!$DY$5</definedName>
    <definedName name="UNKB0210_IF_SAVE_DBS_CREATE_USER">UNKB0210_IF!$DX$5</definedName>
    <definedName name="UNKB0210_IF_SAVE_DBS_STATUS">UNKB0210_IF!$DW$5</definedName>
    <definedName name="UNKB0210_IF_SAVE_DBS_UPDATE_DATE">UNKB0210_IF!$EA$5</definedName>
    <definedName name="UNKB0210_IF_SAVE_DBS_UPDATE_USER">UNKB0210_IF!$DZ$5</definedName>
    <definedName name="UNKB0210_IF_SAVE_DEL_FLG">UNKB0210_IF!$DV$5</definedName>
    <definedName name="UNKB0210_IF_SAVE_ERROR_CHECK">UNKB0210_IF!$BZ$38</definedName>
    <definedName name="UNKB0210_IF_SAVE_ERROR_MESSAGE">UNKB0210_IF!$BZ$39</definedName>
    <definedName name="UNKB0210_IF_SAVE_GYO_NO">UNKB0210_IF!$DF$5</definedName>
    <definedName name="UNKB0210_IF_SAVE_IRISU">UNKB0210_IF!$DJ$5</definedName>
    <definedName name="UNKB0210_IF_SAVE_IRISU_TANI">UNKB0210_IF!$DK$5</definedName>
    <definedName name="UNKB0210_IF_SAVE_JOGAI_GYO">UNKB0210_IF!$CJ$5</definedName>
    <definedName name="UNKB0210_IF_SAVE_JURI_NO">UNKB0210_IF!$DR$5</definedName>
    <definedName name="UNKB0210_IF_SAVE_KENSU">UNKB0210_IF!$BZ$13</definedName>
    <definedName name="UNKB0210_IF_SAVE_KOBAI_KBN">UNKB0210_IF!$CT$5</definedName>
    <definedName name="UNKB0210_IF_SAVE_KOBAI_NO">UNKB0210_IF!$DT$5</definedName>
    <definedName name="UNKB0210_IF_SAVE_KOBAI_SEQ">UNKB0210_IF!$DU$5</definedName>
    <definedName name="UNKB0210_IF_SAVE_KOBAIHIN_CD">UNKB0210_IF!$DG$5</definedName>
    <definedName name="UNKB0210_IF_SAVE_KOBAIHIN_MEI">UNKB0210_IF!$DH$5</definedName>
    <definedName name="UNKB0210_IF_SAVE_KOMI_TOTAL">UNKB0210_IF!$DC$5</definedName>
    <definedName name="UNKB0210_IF_SAVE_MAKER_CD">UNKB0210_IF!$DP$5</definedName>
    <definedName name="UNKB0210_IF_SAVE_NUKI_TOTAL">UNKB0210_IF!$DA$5</definedName>
    <definedName name="UNKB0210_IF_SAVE_RENDO_CHECK">UNKB0210_IF!$D$8</definedName>
    <definedName name="UNKB0210_IF_SAVE_RESULT_CD">UNKB0210_IF!$BZ$36</definedName>
    <definedName name="UNKB0210_IF_SAVE_RESULT_KENSU">UNKB0210_IF!$BZ$33</definedName>
    <definedName name="UNKB0210_IF_SAVE_RESULT_MESSAGE">UNKB0210_IF!$BZ$37</definedName>
    <definedName name="UNKB0210_IF_SAVE_RESULT_SHIIRE_NO">UNKB0210_IF!$BZ$35</definedName>
    <definedName name="UNKB0210_IF_SAVE_SHIHARAI_DATE">UNKB0210_IF!$CW$5</definedName>
    <definedName name="UNKB0210_IF_SAVE_SHIIRE_CD">UNKB0210_IF!$CY$5</definedName>
    <definedName name="UNKB0210_IF_SAVE_SHIIRE_DATE">UNKB0210_IF!$CQ$5</definedName>
    <definedName name="UNKB0210_IF_SAVE_SHIIRE_LINK_DATETIME">UNKB0210_IF!$DE$5</definedName>
    <definedName name="UNKB0210_IF_SAVE_SHIIRE_NO">UNKB0210_IF!$CP$5</definedName>
    <definedName name="UNKB0210_IF_SAVE_SHIIRE_NYURYOKUSHA_CD">UNKB0210_IF!$CV$5</definedName>
    <definedName name="UNKB0210_IF_SAVE_SHIIRE_STS">UNKB0210_IF!$CX$5</definedName>
    <definedName name="UNKB0210_IF_SAVE_SHOKAN_NO">UNKB0210_IF!$DD$5</definedName>
    <definedName name="UNKB0210_IF_SAVE_SOSU">UNKB0210_IF!$DN$5</definedName>
    <definedName name="UNKB0210_IF_SAVE_START">UNKB0210_IF!$CK$6</definedName>
    <definedName name="UNKB0210_IF_SAVE_SURYO">UNKB0210_IF!$DL$5</definedName>
    <definedName name="UNKB0210_IF_SAVE_TANKA">UNKB0210_IF!$DI$5</definedName>
    <definedName name="UNKB0210_IF_SAVE_TAX">UNKB0210_IF!$DB$5</definedName>
    <definedName name="UNKB0210_IF_SAVE_TAX_RATE">UNKB0210_IF!$CZ$5</definedName>
    <definedName name="UNKB0210_IF_SAVE_TOTAL">UNKB0210_IF!$DO$5</definedName>
    <definedName name="UNKB0210_IF_SAVE_W_MODE">UNKB0210_IF!$CO$5</definedName>
    <definedName name="UNKB0210_IF_SAVE_W_PAGE">UNKB0210_IF!$CM$5</definedName>
    <definedName name="UNKB0210_IF_SAVE_W_ROW">UNKB0210_IF!$CN$5</definedName>
    <definedName name="UNKB0210_IF_SAVE_W_SERIAL">UNKB0210_IF!$CL$5</definedName>
    <definedName name="UNKB0210_IF_SAVE_W_USER_ID">UNKB0210_IF!$CK$5</definedName>
    <definedName name="UNKB0210_IF_SAVE_YOSAN_CD">UNKB0210_IF!$DQ$5</definedName>
    <definedName name="UNKB0210_IF_W_MODE">UNKB0210_IF!$BZ$7</definedName>
    <definedName name="UNKB0210_IF_W_SERIAL">UNKB0210_IF!$BZ$5</definedName>
    <definedName name="UNKB0210_IF_W_SERIAL_CREATE">UNKB0210_IF!$BZ$6</definedName>
    <definedName name="UNKB0210_IF_W_USER_ID">UNKB0210_IF!$BZ$4</definedName>
    <definedName name="UNKB0210_SAVE_BAT_FLG">UNKB0210_IF!$BZ$8</definedName>
    <definedName name="UNKB0210_SAVE_TEMP_FLG">UNKB0210_IF!$BZ$9</definedName>
    <definedName name="UNKB0210_SQL_INIT_NYURYOKUSHA">UNKB0210_SQL!$F$63</definedName>
    <definedName name="UNKB0210_SQL_INIT_RENDO_KBN">UNKB0210_SQL!$F$67</definedName>
    <definedName name="UNKB0210_SQL_INIT_SHIIRE_DENKU">UNKB0210_SQL!$F$66</definedName>
    <definedName name="UNKB0210_SQL_INIT_SHIIRE_KAMOKU">UNKB0210_SQL!$F$65</definedName>
    <definedName name="UNKB0210_SQL_INIT_STS">UNKB0210_SQL!$F$64</definedName>
    <definedName name="UNKB0210_SQL_KOBAIHIN_SEARCH">UNKB0210_SQL!$F$49</definedName>
    <definedName name="UNKB0210_SQL_KOBAIHIN_SEARCH_VLOOKUP_AREA">UNKB0210_SQL!$E$54:$F$58</definedName>
    <definedName name="UNKB0210_SQL_LIST_DENKU">UNKB0210_SQL!$F$45</definedName>
    <definedName name="UNKB0210_SQL_LIST_KANJO_KAMOKU">UNKB0210_SQL!$F$46</definedName>
    <definedName name="UNKB0210_SQL_LIST_KOBAI_KBN">UNKB0210_SQL!$F$42</definedName>
    <definedName name="UNKB0210_SQL_LIST_RENDO_KBN">UNKB0210_SQL!$F$43</definedName>
    <definedName name="UNKB0210_SQL_LIST_SHIIRE_KAMOKU">UNKB0210_SQL!$F$44</definedName>
    <definedName name="UNKB0210_SQL_MULTI_SELECT">UNKB0210_SQL!$F$51</definedName>
    <definedName name="UNKB0210_SQL_PAGE">UNKB0210_SQL!$F$3</definedName>
    <definedName name="UNKB0210_SQL_PROC">UNKB0210_SQL!$F$12</definedName>
    <definedName name="UNKB0210_SQL_PROC_SEARCH_AREA">UNKB0210_SQL!$E$13:$F$20</definedName>
    <definedName name="UNKB0210_SQL_REF_NO">UNKB0210_SQL!$F$4</definedName>
    <definedName name="UNKB0210_SQL_SELECT_B">UNKB0210_SQL!$F$29</definedName>
    <definedName name="UNKB0210_SQL_SELECT_H">UNKB0210_SQL!$F$25</definedName>
    <definedName name="UNKB0210_SQL_SELECT_MAX_PAGE">UNKB0210_SQL!$F$37</definedName>
    <definedName name="UNKB0210_SQL_SELECT_TABLE_UPDATE">UNKB0210_SQL!$F$33</definedName>
    <definedName name="UNKB0210_SQL_SERIAL">UNKB0210_SQL!$F$2</definedName>
    <definedName name="UNKB0210_SQL_SHIHARAI_DATE">UNKB0210_SQL!$F$70</definedName>
    <definedName name="UNKB0210_SQL_SHIHARAI_DAY">UNKB0210_SQL!$F$7</definedName>
    <definedName name="UNKB0210_SQL_SHIHARAI_MONTH">UNKB0210_SQL!$F$6</definedName>
    <definedName name="UNKB0210_SQL_SHIIRE_DATE">UNKB0210_SQL!$F$5</definedName>
    <definedName name="UNKB0210_SQL_USER_ID">UNKB0210_SQL!$F$1</definedName>
    <definedName name="必須チェック設定" localSheetId="10">UNKB0210_IF!$CC$4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M11" i="28" l="1"/>
  <c r="BM8" i="28"/>
  <c r="BM5" i="28"/>
  <c r="G40" i="35" l="1"/>
  <c r="F40" i="35" s="1"/>
  <c r="F59" i="29" l="1"/>
  <c r="D56" i="28" l="1"/>
  <c r="AZ10" i="34"/>
  <c r="CJ10" i="33"/>
  <c r="D22" i="28" l="1"/>
  <c r="DR3" i="28" l="1"/>
  <c r="CD18" i="28"/>
  <c r="F58" i="32" l="1"/>
  <c r="F52" i="32"/>
  <c r="AP34" i="28" l="1"/>
  <c r="AO34" i="28"/>
  <c r="AN34" i="28"/>
  <c r="AM34" i="28"/>
  <c r="AI30" i="28"/>
  <c r="AP23" i="28"/>
  <c r="AO23" i="28"/>
  <c r="AN23" i="28"/>
  <c r="AM23" i="28"/>
  <c r="AI19" i="28"/>
  <c r="AP12" i="28"/>
  <c r="AO12" i="28"/>
  <c r="AN12" i="28"/>
  <c r="AM12" i="28"/>
  <c r="AI8" i="28"/>
  <c r="AH4" i="28"/>
  <c r="D13" i="24"/>
  <c r="CS3" i="28" s="1"/>
  <c r="D12" i="24"/>
  <c r="CR3" i="28" s="1"/>
  <c r="D14" i="24"/>
  <c r="CU3" i="28" l="1"/>
  <c r="D33" i="28" l="1"/>
  <c r="G38" i="35" l="1"/>
  <c r="G37" i="35"/>
  <c r="F37" i="35" s="1"/>
  <c r="AK6" i="34" l="1"/>
  <c r="AK5" i="34"/>
  <c r="AK4" i="34"/>
  <c r="BV5" i="33"/>
  <c r="BV4" i="33"/>
  <c r="BV3" i="33"/>
  <c r="D17" i="21" l="1"/>
  <c r="X11" i="34"/>
  <c r="BA7" i="33"/>
  <c r="D38" i="23" l="1"/>
  <c r="F55" i="32" l="1"/>
  <c r="D18" i="21" l="1"/>
  <c r="D29" i="21" l="1"/>
  <c r="AZ7" i="34"/>
  <c r="D27" i="23" l="1"/>
  <c r="D26" i="23"/>
  <c r="D28" i="23" l="1"/>
  <c r="F48" i="35"/>
  <c r="Z6" i="22" l="1"/>
  <c r="G42" i="35" l="1"/>
  <c r="G39" i="35"/>
  <c r="F39" i="35" s="1"/>
  <c r="F38" i="35"/>
  <c r="G36" i="35"/>
  <c r="F36" i="35" s="1"/>
  <c r="G35" i="35"/>
  <c r="F35" i="35" s="1"/>
  <c r="G34" i="35"/>
  <c r="F34" i="35" s="1"/>
  <c r="G33" i="35"/>
  <c r="F33" i="35" s="1"/>
  <c r="G32" i="35"/>
  <c r="F32" i="35" s="1"/>
  <c r="G31" i="35"/>
  <c r="F31" i="35" s="1"/>
  <c r="G30" i="35"/>
  <c r="F30" i="35" s="1"/>
  <c r="G29" i="35"/>
  <c r="F29" i="35" s="1"/>
  <c r="G28" i="35"/>
  <c r="F28" i="35" s="1"/>
  <c r="G27" i="35"/>
  <c r="F27" i="35" s="1"/>
  <c r="G46" i="35"/>
  <c r="F46" i="35" s="1"/>
  <c r="G26" i="35"/>
  <c r="F26" i="35" s="1"/>
  <c r="G25" i="35"/>
  <c r="F25" i="35" s="1"/>
  <c r="G24" i="35"/>
  <c r="F24" i="35" s="1"/>
  <c r="G23" i="35"/>
  <c r="F23" i="35" s="1"/>
  <c r="G22" i="35"/>
  <c r="F22" i="35" s="1"/>
  <c r="G20" i="35"/>
  <c r="F20" i="35" s="1"/>
  <c r="G19" i="35"/>
  <c r="F19" i="35" s="1"/>
  <c r="G18" i="35"/>
  <c r="F18" i="35" s="1"/>
  <c r="F45" i="35"/>
  <c r="G44" i="35"/>
  <c r="G43" i="35"/>
  <c r="AZ8" i="34"/>
  <c r="D17" i="23"/>
  <c r="D30" i="23"/>
  <c r="D29" i="23"/>
  <c r="D18" i="23"/>
  <c r="D22" i="23"/>
  <c r="F15" i="23" s="1"/>
  <c r="Z8" i="22"/>
  <c r="Z7" i="22"/>
  <c r="M13" i="22"/>
  <c r="AC11" i="34" s="1"/>
  <c r="F21" i="35" l="1"/>
  <c r="F17" i="35"/>
  <c r="R13" i="22"/>
  <c r="F44" i="35"/>
  <c r="F42" i="35"/>
  <c r="F43" i="35"/>
  <c r="G41" i="35"/>
  <c r="F41" i="35" s="1"/>
  <c r="D35" i="23"/>
  <c r="D34" i="23"/>
  <c r="D33" i="23"/>
  <c r="D32" i="23"/>
  <c r="D16" i="23"/>
  <c r="E3" i="22"/>
  <c r="F16" i="35" l="1"/>
  <c r="D26" i="21"/>
  <c r="D32" i="21"/>
  <c r="F12" i="35" l="1"/>
  <c r="F6" i="35"/>
  <c r="F9" i="35"/>
  <c r="D16" i="21" l="1"/>
  <c r="M10" i="20"/>
  <c r="D31" i="21"/>
  <c r="D30" i="21"/>
  <c r="D27" i="21"/>
  <c r="G45" i="32"/>
  <c r="F45" i="32" s="1"/>
  <c r="F54" i="32"/>
  <c r="G25" i="32"/>
  <c r="F25" i="32" s="1"/>
  <c r="G26" i="32"/>
  <c r="F26" i="32" s="1"/>
  <c r="G38" i="32"/>
  <c r="F38" i="32" s="1"/>
  <c r="G24" i="32"/>
  <c r="F24" i="32" s="1"/>
  <c r="R10" i="20" l="1"/>
  <c r="BF7" i="33"/>
  <c r="F49" i="32"/>
  <c r="F44" i="32" l="1"/>
  <c r="G43" i="32"/>
  <c r="F43" i="32" s="1"/>
  <c r="G42" i="32"/>
  <c r="F42" i="32" s="1"/>
  <c r="G41" i="32"/>
  <c r="G39" i="32"/>
  <c r="F39" i="32" s="1"/>
  <c r="G37" i="32"/>
  <c r="F37" i="32" s="1"/>
  <c r="G36" i="32"/>
  <c r="F36" i="32" s="1"/>
  <c r="G35" i="32"/>
  <c r="F35" i="32" s="1"/>
  <c r="G34" i="32"/>
  <c r="F34" i="32" s="1"/>
  <c r="G33" i="32"/>
  <c r="F33" i="32" s="1"/>
  <c r="G32" i="32"/>
  <c r="F32" i="32" s="1"/>
  <c r="G31" i="32"/>
  <c r="F31" i="32" s="1"/>
  <c r="G30" i="32"/>
  <c r="F30" i="32" s="1"/>
  <c r="G29" i="32"/>
  <c r="F29" i="32" s="1"/>
  <c r="G28" i="32"/>
  <c r="F28" i="32" s="1"/>
  <c r="G27" i="32"/>
  <c r="F27" i="32" s="1"/>
  <c r="F23" i="32" s="1"/>
  <c r="G22" i="32"/>
  <c r="F22" i="32" s="1"/>
  <c r="G21" i="32"/>
  <c r="F21" i="32" s="1"/>
  <c r="G20" i="32"/>
  <c r="F20" i="32" s="1"/>
  <c r="G19" i="32"/>
  <c r="F19" i="32" s="1"/>
  <c r="G18" i="32"/>
  <c r="F18" i="32" s="1"/>
  <c r="F17" i="32" l="1"/>
  <c r="F41" i="32"/>
  <c r="G40" i="32"/>
  <c r="F40" i="32" s="1"/>
  <c r="CJ8" i="33"/>
  <c r="CJ7" i="33"/>
  <c r="D36" i="21"/>
  <c r="D35" i="21"/>
  <c r="D34" i="21"/>
  <c r="D28" i="21"/>
  <c r="D22" i="21"/>
  <c r="D37" i="21" s="1"/>
  <c r="E3" i="20"/>
  <c r="AH8" i="20"/>
  <c r="AH7" i="20"/>
  <c r="AH6" i="20"/>
  <c r="F15" i="21" l="1"/>
  <c r="F16" i="32"/>
  <c r="F6" i="32" l="1"/>
  <c r="F9" i="32"/>
  <c r="F12" i="32"/>
  <c r="DI3" i="28"/>
  <c r="DJ3" i="28"/>
  <c r="BL11" i="28"/>
  <c r="BL8" i="28"/>
  <c r="BL5" i="28"/>
  <c r="D11" i="24" l="1"/>
  <c r="F53" i="29" s="1"/>
  <c r="N11" i="24"/>
  <c r="D17" i="25"/>
  <c r="H1" i="24" l="1"/>
  <c r="AU5" i="28" l="1"/>
  <c r="DQ3" i="28" l="1"/>
  <c r="D3" i="24" l="1"/>
  <c r="D16" i="25"/>
  <c r="D40" i="25"/>
  <c r="D37" i="25"/>
  <c r="D36" i="25"/>
  <c r="D35" i="25"/>
  <c r="D34" i="25"/>
  <c r="D33" i="25"/>
  <c r="D32" i="25"/>
  <c r="D31" i="25"/>
  <c r="D30" i="25"/>
  <c r="D29" i="25"/>
  <c r="D28" i="25"/>
  <c r="D27" i="25"/>
  <c r="O11" i="24"/>
  <c r="P11" i="24" s="1"/>
  <c r="M11" i="24"/>
  <c r="I7" i="24"/>
  <c r="H3" i="24"/>
  <c r="D44" i="25"/>
  <c r="D43" i="25"/>
  <c r="D46" i="25"/>
  <c r="D42" i="25"/>
  <c r="D45" i="25"/>
  <c r="D41" i="25"/>
  <c r="D3" i="2" l="1"/>
  <c r="D21" i="28"/>
  <c r="F5" i="29"/>
  <c r="F70" i="29" s="1"/>
  <c r="CX3" i="28" l="1"/>
  <c r="DU3" i="28"/>
  <c r="DT3" i="28"/>
  <c r="DS3" i="28"/>
  <c r="CJ3" i="28"/>
  <c r="DP3" i="28"/>
  <c r="DO3" i="28"/>
  <c r="DM3" i="28"/>
  <c r="DN3" i="28"/>
  <c r="DL3" i="28"/>
  <c r="DK3" i="28"/>
  <c r="DH3" i="28"/>
  <c r="DG3" i="28"/>
  <c r="DF3" i="28"/>
  <c r="DE3" i="28"/>
  <c r="DD3" i="28"/>
  <c r="CZ3" i="28"/>
  <c r="CY3" i="28"/>
  <c r="CW3" i="28"/>
  <c r="CV3" i="28"/>
  <c r="CT3" i="28"/>
  <c r="CQ3" i="28"/>
  <c r="CP3" i="28"/>
  <c r="BP11" i="28"/>
  <c r="BP8" i="28"/>
  <c r="BP5" i="28"/>
  <c r="J1" i="24"/>
  <c r="D27" i="24"/>
  <c r="D49" i="28"/>
  <c r="D48" i="28"/>
  <c r="D47" i="28"/>
  <c r="D42" i="28"/>
  <c r="D38" i="28"/>
  <c r="D46" i="28"/>
  <c r="D8" i="28"/>
  <c r="F4" i="29" l="1"/>
  <c r="F3" i="29"/>
  <c r="F2" i="29"/>
  <c r="F1" i="29"/>
  <c r="D53" i="28"/>
  <c r="D50" i="28"/>
  <c r="D45" i="28"/>
  <c r="D44" i="28"/>
  <c r="D43" i="28"/>
  <c r="D41" i="28"/>
  <c r="D40" i="28"/>
  <c r="BZ44" i="28"/>
  <c r="D39" i="28"/>
  <c r="BZ38" i="28"/>
  <c r="D34" i="28"/>
  <c r="CE27" i="28"/>
  <c r="CE26" i="28"/>
  <c r="CD13" i="28"/>
  <c r="BZ13" i="28"/>
  <c r="D7" i="28"/>
  <c r="EF6" i="28"/>
  <c r="CD6" i="28"/>
  <c r="EF5" i="28"/>
  <c r="EF13" i="28" s="1"/>
  <c r="CO3" i="28"/>
  <c r="CN3" i="28"/>
  <c r="CM3" i="28"/>
  <c r="CL3" i="28"/>
  <c r="CK3" i="28"/>
  <c r="D23" i="24"/>
  <c r="D22" i="24"/>
  <c r="DC3" i="28"/>
  <c r="DB3" i="28"/>
  <c r="DA3" i="28"/>
  <c r="D25" i="25"/>
  <c r="D24" i="25"/>
  <c r="D21" i="25"/>
  <c r="D51" i="25"/>
  <c r="CD17" i="28"/>
  <c r="BA8" i="28"/>
  <c r="D50" i="25"/>
  <c r="D19" i="25"/>
  <c r="D53" i="25"/>
  <c r="BA11" i="28"/>
  <c r="BA5" i="28"/>
  <c r="D48" i="25"/>
  <c r="CD15" i="28" l="1"/>
  <c r="F35" i="29"/>
  <c r="F31" i="29"/>
  <c r="F27" i="29"/>
  <c r="F39" i="29"/>
  <c r="F49" i="29"/>
  <c r="F51" i="29"/>
  <c r="BZ12" i="28"/>
  <c r="F19" i="29"/>
  <c r="F15" i="29"/>
  <c r="F18" i="29"/>
  <c r="F14" i="29"/>
  <c r="F17" i="29"/>
  <c r="F13" i="29"/>
  <c r="F12" i="29" s="1"/>
  <c r="F20" i="29"/>
  <c r="F16" i="29"/>
  <c r="F63" i="29"/>
  <c r="EF11" i="28"/>
  <c r="EF12" i="28"/>
  <c r="EF16" i="28"/>
  <c r="EF10" i="28"/>
  <c r="EF7" i="28"/>
  <c r="EF9" i="28"/>
  <c r="F33" i="29" l="1"/>
  <c r="AD5" i="28"/>
  <c r="F29" i="29" l="1"/>
  <c r="F37" i="29"/>
  <c r="F25" i="29"/>
  <c r="F7" i="3"/>
  <c r="D2" i="3" l="1"/>
</calcChain>
</file>

<file path=xl/sharedStrings.xml><?xml version="1.0" encoding="utf-8"?>
<sst xmlns="http://schemas.openxmlformats.org/spreadsheetml/2006/main" count="1881" uniqueCount="1218">
  <si>
    <t>表示行数取得</t>
    <rPh sb="0" eb="2">
      <t>ヒョウジ</t>
    </rPh>
    <rPh sb="2" eb="4">
      <t>ギョウスウ</t>
    </rPh>
    <rPh sb="4" eb="6">
      <t>シュトク</t>
    </rPh>
    <phoneticPr fontId="1"/>
  </si>
  <si>
    <t>SELECT HYOJI_GYO_SU
  FROM M_CONTROL
 WHERE CTRL_KEY = 1</t>
  </si>
  <si>
    <t>消費税率取得</t>
    <rPh sb="0" eb="3">
      <t>ショウヒゼイ</t>
    </rPh>
    <rPh sb="3" eb="4">
      <t>リツ</t>
    </rPh>
    <rPh sb="4" eb="6">
      <t>シュトク</t>
    </rPh>
    <phoneticPr fontId="1"/>
  </si>
  <si>
    <t>■ポップアップ表示用SQL</t>
    <rPh sb="7" eb="9">
      <t>ヒョウジ</t>
    </rPh>
    <rPh sb="9" eb="10">
      <t>ヨウ</t>
    </rPh>
    <phoneticPr fontId="1"/>
  </si>
  <si>
    <t>社員検索用SQL</t>
    <rPh sb="0" eb="2">
      <t>シャイン</t>
    </rPh>
    <rPh sb="2" eb="4">
      <t>ケンサク</t>
    </rPh>
    <rPh sb="4" eb="5">
      <t>ヨウ</t>
    </rPh>
    <phoneticPr fontId="1"/>
  </si>
  <si>
    <t>SELECT M_SHAIN.SHAIN_CD     AS 社員CD
      ,M_MEISHO_B.DATA_1    AS 所属部署
      ,M_SHAIN.SHIMEI       AS 氏名
  FROM M_SHAIN
  LEFT JOIN
       M_MEISHO_B
    ON M_MEISHO_B.MEISHO_KBN = 'M001'
   AND M_MEISHO_B.MEISHO_CD  = M_SHAIN.BUSHO_CD
 WHERE M_SHAIN.MISHIYO_FLG = 'False'
 ORDER BY
       CAST(M_SHAIN.SHAIN_CD AS INT) ASC</t>
    <phoneticPr fontId="1"/>
  </si>
  <si>
    <t>仕入先取得SQL</t>
    <rPh sb="0" eb="2">
      <t>シイレ</t>
    </rPh>
    <rPh sb="2" eb="3">
      <t>サキ</t>
    </rPh>
    <rPh sb="3" eb="5">
      <t>シュトク</t>
    </rPh>
    <phoneticPr fontId="1"/>
  </si>
  <si>
    <t>SELECT M_AITESAKI.AITE_CD                   AS  仕入先CD
      ,M_AITESAKI.AITE_MEI                  AS  仕入先名
      ,M_AITESAKI.BUSHO_MEI                 AS  相手先部署名
      ,M_AITESAKI.TANTO_MEI                 AS  相手先担当者名
      ,M_AITESAKI.SHIHARAIHOHO_KBN          AS  支払方法区分
      ,J_SHIHARAIHOHO.DATA_1                AS  支払方法
      ,M_AITESAKI.SHIIRE_CHUKI              AS  注記
      ,M_AITESAKI.SHIIRE_HASU_KBN           AS  端数処理区分
      ,M_AITESAKI.SHIIRE_TESURYO_KBN        AS  手数料負担区分
  FROM M_AITESAKI
  LEFT JOIN M_MEISHO_B   AS J_SHIHARAIHOHO
    ON J_SHIHARAIHOHO.MEISHO_KBN = 'K006'
   AND J_SHIHARAIHOHO.MEISHO_CD  =  M_AITESAKI.SHIHARAIHOHO_KBN
 WHERE M_AITESAKI.SHIRE_FLG = 'True'
   AND M_AITESAKI.MISHIYO_FLG = 'False'
 ORDER BY AITE_CD ASC</t>
    <phoneticPr fontId="1"/>
  </si>
  <si>
    <t>受理No検索</t>
    <rPh sb="0" eb="2">
      <t>ジュリ</t>
    </rPh>
    <rPh sb="4" eb="6">
      <t>ケンサク</t>
    </rPh>
    <phoneticPr fontId="1"/>
  </si>
  <si>
    <t>UNKB_COMMON_SQL_JURI_NO_SEARCH</t>
    <phoneticPr fontId="1"/>
  </si>
  <si>
    <t xml:space="preserve">SELECT T_BUN_JUCHU_H.JURI_NO                AS '受理No.'
      ,J_BUN_HAN_STATUS_MEISHO.MEISHO_CD    AS '受注区分CD'
      ,J_BUN_HAN_STATUS_MEISHO.DATA_1       AS '分析／販売区分'
      ,J_BUN_STATUS_MEISHO.DATA_1           AS 'ステータス'
      ,J_BUN_KBN_MEISHO.DATA_1              AS '分析区分'
      ,J_SEIKYU_MEI.AITE_MEI                AS '請求先名'
      ,T_BUN_JUCHU_H.NOHIN_DATE             AS '納品日'
      ,T_BUN_JUCHU_H.MITSU_NO               AS '見積No.'
  FROM T_BUN_JUCHU_H
 LEFT JOIN M_MEISHO_B                    AS J_BUN_HAN_STATUS_MEISHO    --分析／販売区分名称用
    ON J_BUN_HAN_STATUS_MEISHO .MEISHO_KBN = 'K030'
   AND J_BUN_HAN_STATUS_MEISHO .MEISHO_CD = 1
  LEFT JOIN M_MEISHO_B                   AS J_BUN_STATUS_MEISHO        --分析ステータス名称用
    ON J_BUN_STATUS_MEISHO.MEISHO_KBN = 'S003'
   AND T_BUN_JUCHU_H.BUNSEKI_STS = J_BUN_STATUS_MEISHO.MEISHO_CD
  LEFT JOIN M_MEISHO_B                   AS J_BUN_KBN_MEISHO           --分析区分名称用
    ON J_BUN_KBN_MEISHO.MEISHO_KBN = 'K012'
   AND T_BUN_JUCHU_H.JUCHU_KBN = J_BUN_KBN_MEISHO.MEISHO_CD
  LEFT JOIN M_AITESAKI                   AS J_SEIKYU_MEI               --請求先名名称用
    ON T_BUN_JUCHU_H.SEIKYU_CD = J_SEIKYU_MEI.AITE_CD
 WHERE T_BUN_JUCHU_H.DEMPYO_HAKKO_KBN &lt;&gt; '1'
   AND T_BUN_JUCHU_H.DEL_FLG          =  'False'
   AND T_BUN_JUCHU_H.BUNSEKI_STS      &lt;= 10
UNION ALL
SELECT T_HAN_JUCHU_H.JURI_NO                AS '受理No.'
      ,J_BUN_HAN_STATUS_MEISHO.MEISHO_CD    AS '受注区分CD'
      ,J_BUN_HAN_STATUS_MEISHO.DATA_1       AS '分析／販売区分'
      ,J_BUN_STATUS_MEISHO.DATA_1           AS 'ステータス'
      ,J_BUN_KBN_MEISHO.DATA_1              AS '分析区分'
      ,J_SEIKYU_MEI.AITE_MEI                AS '請求先名'
      ,T_HAN_JUCHU_H.NOHIN_DATE             AS '納品日'
      ,T_HAN_JUCHU_H.MITSU_NO               AS '見積No.'
  FROM T_HAN_JUCHU_H
  LEFT JOIN M_MEISHO_B                   AS J_BUN_HAN_STATUS_MEISHO         --分析／販売区分名称用
    ON J_BUN_HAN_STATUS_MEISHO .MEISHO_KBN = 'K030'
   AND J_BUN_HAN_STATUS_MEISHO .MEISHO_CD = 2
  LEFT JOIN M_MEISHO_B                   AS J_BUN_STATUS_MEISHO        --販売商品ステータス名称用
    ON J_BUN_STATUS_MEISHO.MEISHO_KBN = 'S004'
   AND T_HAN_JUCHU_H.HAMBAI_STS = J_BUN_STATUS_MEISHO.MEISHO_CD
  LEFT JOIN M_MEISHO_B                   AS J_BUN_KBN_MEISHO           --分析区分名称用
    ON J_BUN_KBN_MEISHO.MEISHO_KBN = 'K020'
   AND T_HAN_JUCHU_H.HAMBAI_KBN = J_BUN_KBN_MEISHO.MEISHO_CD
  LEFT JOIN M_AITESAKI                   AS J_SEIKYU_MEI               --請求先名名称用
    ON T_HAN_JUCHU_H.SEIKYU_CD = J_SEIKYU_MEI.AITE_CD
 WHERE T_HAN_JUCHU_H.DEMPYO_HAKKO_KBN &lt;&gt; '1'
   AND T_HAN_JUCHU_H.DEL_FLG          =  'False'
 ORDER BY JURI_NO
</t>
    <phoneticPr fontId="1"/>
  </si>
  <si>
    <t>購買No.検索</t>
    <rPh sb="0" eb="2">
      <t>コウバイ</t>
    </rPh>
    <rPh sb="5" eb="7">
      <t>ケンサク</t>
    </rPh>
    <phoneticPr fontId="1"/>
  </si>
  <si>
    <t>依頼No.検索</t>
    <rPh sb="0" eb="2">
      <t>イライ</t>
    </rPh>
    <rPh sb="5" eb="7">
      <t>ケンサク</t>
    </rPh>
    <phoneticPr fontId="1"/>
  </si>
  <si>
    <t>入出庫No.検索(入庫)</t>
    <rPh sb="0" eb="1">
      <t>ニュウ</t>
    </rPh>
    <rPh sb="1" eb="3">
      <t>シュッコ</t>
    </rPh>
    <rPh sb="6" eb="8">
      <t>ケンサク</t>
    </rPh>
    <rPh sb="9" eb="11">
      <t>ニュウコ</t>
    </rPh>
    <phoneticPr fontId="1"/>
  </si>
  <si>
    <t>UNKB_COMMON_SQL_NYUSHUKKO_NO_SEARCH</t>
    <phoneticPr fontId="1"/>
  </si>
  <si>
    <t>購買品検索用SQL</t>
    <rPh sb="0" eb="3">
      <t>コウバイヒン</t>
    </rPh>
    <phoneticPr fontId="1"/>
  </si>
  <si>
    <t>UNKB_COMMON_SQL_KOBAIHIN_SEARCH</t>
    <phoneticPr fontId="1"/>
  </si>
  <si>
    <t>所属部署検索用SQL</t>
    <rPh sb="0" eb="2">
      <t>ショゾク</t>
    </rPh>
    <rPh sb="2" eb="4">
      <t>ブショ</t>
    </rPh>
    <rPh sb="4" eb="6">
      <t>ケンサク</t>
    </rPh>
    <rPh sb="6" eb="7">
      <t>ヨウ</t>
    </rPh>
    <phoneticPr fontId="1"/>
  </si>
  <si>
    <t>UNKB_COMMON_SQL_BUSHO_SEARCH</t>
    <phoneticPr fontId="1"/>
  </si>
  <si>
    <t>予算コード検索</t>
    <rPh sb="0" eb="2">
      <t>ヨサン</t>
    </rPh>
    <rPh sb="5" eb="7">
      <t>ケンサク</t>
    </rPh>
    <phoneticPr fontId="1"/>
  </si>
  <si>
    <t>UNKB_COMMON_SQL_YOSAN_SEARCH</t>
    <phoneticPr fontId="1"/>
  </si>
  <si>
    <t xml:space="preserve">SELECT YOSAN_CD     AS 予算コード
      ,YOSAN_MEI    AS 予算コード名
  FROM M_YOSAN
 ORDER BY YOSAN_CD ASC
</t>
    <phoneticPr fontId="1"/>
  </si>
  <si>
    <t>購買区分検索</t>
    <rPh sb="0" eb="2">
      <t>コウバイ</t>
    </rPh>
    <rPh sb="2" eb="4">
      <t>クブン</t>
    </rPh>
    <rPh sb="4" eb="6">
      <t>ケンサク</t>
    </rPh>
    <phoneticPr fontId="1"/>
  </si>
  <si>
    <t>UNKB_COMMON_SQL_KOBAI_KBN_SEARCH</t>
    <phoneticPr fontId="1"/>
  </si>
  <si>
    <t>メーカー取得SQL</t>
    <rPh sb="4" eb="6">
      <t>シュトク</t>
    </rPh>
    <phoneticPr fontId="1"/>
  </si>
  <si>
    <t>UNKB_COMMON_SQL_MAKER_SEARCH</t>
    <phoneticPr fontId="1"/>
  </si>
  <si>
    <t>SELECT M_AITESAKI.AITE_CD                   AS  メーカーCD
      ,M_AITESAKI.AITE_MEI                  AS  メーカー名
      ,M_SHAIN.SHIMEI                       AS  営業担当者
      ,M_AITESAKI.TEL                       AS  TEL
      ,M_AITESAKI.BUSHO_MEI                 AS  相手先部署名
      ,M_AITESAKI.TANTO_MEI                 AS  相手先担当者名
  FROM M_AITESAKI
  LEFT JOIN
       M_SHAIN
    ON M_SHAIN.SHAIN_CD = M_AITESAKI.EIGYO_TANTO_CD
  WHERE M_AITESAKI.MAKER_FLG = 'True'_x000D_
   AND M_AITESAKI.MISHIYO_FLG = 'False'
  ORDER BY_x000D_
        M_AITESAKI.AITE_CD ASC</t>
    <phoneticPr fontId="1"/>
  </si>
  <si>
    <t>保管場所</t>
    <rPh sb="0" eb="2">
      <t>ホカン</t>
    </rPh>
    <rPh sb="2" eb="4">
      <t>バショ</t>
    </rPh>
    <phoneticPr fontId="1"/>
  </si>
  <si>
    <t>UNKB_COMMON_SQL_HOKAN_BASHO_SEARCH</t>
    <phoneticPr fontId="1"/>
  </si>
  <si>
    <t>画面遷移確認メッセージ表示判定</t>
    <rPh sb="0" eb="2">
      <t>ガメン</t>
    </rPh>
    <rPh sb="2" eb="4">
      <t>センイ</t>
    </rPh>
    <rPh sb="4" eb="6">
      <t>カクニン</t>
    </rPh>
    <rPh sb="11" eb="13">
      <t>ヒョウジ</t>
    </rPh>
    <rPh sb="13" eb="15">
      <t>ハンテイ</t>
    </rPh>
    <phoneticPr fontId="1"/>
  </si>
  <si>
    <t>表示中シートがUNKB0020</t>
    <rPh sb="0" eb="3">
      <t>ヒョウジチュウ</t>
    </rPh>
    <phoneticPr fontId="1"/>
  </si>
  <si>
    <t>1:表示する / 2:表示しない</t>
    <rPh sb="2" eb="4">
      <t>ヒョウジ</t>
    </rPh>
    <rPh sb="11" eb="13">
      <t>ヒョウジ</t>
    </rPh>
    <phoneticPr fontId="1"/>
  </si>
  <si>
    <t>かつ参照モード以外の場合、メッセージ表示</t>
    <rPh sb="2" eb="4">
      <t>サンショウ</t>
    </rPh>
    <rPh sb="7" eb="9">
      <t>イガイ</t>
    </rPh>
    <rPh sb="10" eb="12">
      <t>バアイ</t>
    </rPh>
    <rPh sb="18" eb="20">
      <t>ヒョウジ</t>
    </rPh>
    <phoneticPr fontId="1"/>
  </si>
  <si>
    <t>表示中シート名</t>
    <rPh sb="0" eb="3">
      <t>ヒョウジチュウ</t>
    </rPh>
    <rPh sb="6" eb="7">
      <t>メイ</t>
    </rPh>
    <phoneticPr fontId="1"/>
  </si>
  <si>
    <t>シート名</t>
    <rPh sb="3" eb="4">
      <t>メイ</t>
    </rPh>
    <phoneticPr fontId="1"/>
  </si>
  <si>
    <t>モードセル名</t>
    <rPh sb="5" eb="6">
      <t>メイ</t>
    </rPh>
    <phoneticPr fontId="1"/>
  </si>
  <si>
    <t>状態</t>
    <rPh sb="0" eb="2">
      <t>ジョウタイ</t>
    </rPh>
    <phoneticPr fontId="1"/>
  </si>
  <si>
    <t>対象シート範囲</t>
    <rPh sb="0" eb="2">
      <t>タイショウ</t>
    </rPh>
    <rPh sb="5" eb="7">
      <t>ハンイ</t>
    </rPh>
    <phoneticPr fontId="1"/>
  </si>
  <si>
    <t>備考</t>
    <rPh sb="0" eb="2">
      <t>ビコウ</t>
    </rPh>
    <phoneticPr fontId="1"/>
  </si>
  <si>
    <t>購買申請データ検索（仕入計上用）</t>
    <rPh sb="0" eb="2">
      <t>コウバイ</t>
    </rPh>
    <rPh sb="2" eb="4">
      <t>シンセイ</t>
    </rPh>
    <rPh sb="7" eb="9">
      <t>ケンサク</t>
    </rPh>
    <rPh sb="10" eb="12">
      <t>シイレ</t>
    </rPh>
    <rPh sb="12" eb="14">
      <t>ケイジョウ</t>
    </rPh>
    <rPh sb="14" eb="15">
      <t>ヨウ</t>
    </rPh>
    <phoneticPr fontId="1"/>
  </si>
  <si>
    <t>購買区分：</t>
    <rPh sb="0" eb="2">
      <t>コウバイ</t>
    </rPh>
    <rPh sb="2" eb="4">
      <t>クブン</t>
    </rPh>
    <phoneticPr fontId="1"/>
  </si>
  <si>
    <t>購買品</t>
    <rPh sb="0" eb="2">
      <t>コウバイ</t>
    </rPh>
    <rPh sb="2" eb="3">
      <t>ヒン</t>
    </rPh>
    <phoneticPr fontId="1"/>
  </si>
  <si>
    <t>外注手配</t>
    <rPh sb="0" eb="2">
      <t>ガイチュウ</t>
    </rPh>
    <rPh sb="2" eb="4">
      <t>テハイ</t>
    </rPh>
    <phoneticPr fontId="1"/>
  </si>
  <si>
    <t>修繕・定期点検</t>
    <rPh sb="0" eb="2">
      <t>シュウゼン</t>
    </rPh>
    <rPh sb="3" eb="5">
      <t>テイキ</t>
    </rPh>
    <rPh sb="5" eb="7">
      <t>テンケン</t>
    </rPh>
    <phoneticPr fontId="1"/>
  </si>
  <si>
    <t>投資</t>
    <rPh sb="0" eb="2">
      <t>トウシ</t>
    </rPh>
    <phoneticPr fontId="1"/>
  </si>
  <si>
    <t>販売商品</t>
    <rPh sb="0" eb="2">
      <t>ハンバイ</t>
    </rPh>
    <rPh sb="2" eb="4">
      <t>ショウヒン</t>
    </rPh>
    <phoneticPr fontId="1"/>
  </si>
  <si>
    <t>ステータス：</t>
    <phoneticPr fontId="1"/>
  </si>
  <si>
    <t>注文書発行済</t>
    <rPh sb="0" eb="3">
      <t>チュウモンショ</t>
    </rPh>
    <rPh sb="3" eb="5">
      <t>ハッコウ</t>
    </rPh>
    <rPh sb="5" eb="6">
      <t>スミ</t>
    </rPh>
    <phoneticPr fontId="1"/>
  </si>
  <si>
    <t>一部入荷済</t>
    <rPh sb="0" eb="2">
      <t>イチブ</t>
    </rPh>
    <rPh sb="2" eb="4">
      <t>ニュウカ</t>
    </rPh>
    <rPh sb="4" eb="5">
      <t>ス</t>
    </rPh>
    <phoneticPr fontId="1"/>
  </si>
  <si>
    <t>入荷完了</t>
    <rPh sb="0" eb="2">
      <t>ニュウカ</t>
    </rPh>
    <rPh sb="2" eb="4">
      <t>カンリョウ</t>
    </rPh>
    <phoneticPr fontId="1"/>
  </si>
  <si>
    <t>検収済</t>
    <rPh sb="0" eb="2">
      <t>ケンシュウ</t>
    </rPh>
    <rPh sb="2" eb="3">
      <t>ス</t>
    </rPh>
    <phoneticPr fontId="1"/>
  </si>
  <si>
    <t>仕入未計上のみ検索：</t>
    <rPh sb="0" eb="2">
      <t>シイレ</t>
    </rPh>
    <rPh sb="2" eb="5">
      <t>ミケイジョウ</t>
    </rPh>
    <rPh sb="7" eb="9">
      <t>ケンサク</t>
    </rPh>
    <phoneticPr fontId="1"/>
  </si>
  <si>
    <t>受理No.▽</t>
    <rPh sb="0" eb="2">
      <t>ジュリ</t>
    </rPh>
    <phoneticPr fontId="1"/>
  </si>
  <si>
    <t>～</t>
    <phoneticPr fontId="1"/>
  </si>
  <si>
    <t>購買品▼</t>
    <rPh sb="0" eb="2">
      <t>コウバイ</t>
    </rPh>
    <rPh sb="2" eb="3">
      <t>ヒン</t>
    </rPh>
    <phoneticPr fontId="1"/>
  </si>
  <si>
    <t>仕入先▼</t>
    <rPh sb="0" eb="2">
      <t>シイレ</t>
    </rPh>
    <rPh sb="2" eb="3">
      <t>サキ</t>
    </rPh>
    <phoneticPr fontId="1"/>
  </si>
  <si>
    <t>申請者名▼</t>
    <phoneticPr fontId="1"/>
  </si>
  <si>
    <t>メーカー▼</t>
  </si>
  <si>
    <t>フリーワード：</t>
    <phoneticPr fontId="1"/>
  </si>
  <si>
    <t>仕入
計上</t>
    <rPh sb="0" eb="2">
      <t>シイレ</t>
    </rPh>
    <rPh sb="3" eb="5">
      <t>ケイジョウ</t>
    </rPh>
    <phoneticPr fontId="1"/>
  </si>
  <si>
    <t>購買区分</t>
    <rPh sb="0" eb="2">
      <t>コウバイ</t>
    </rPh>
    <rPh sb="2" eb="4">
      <t>クブン</t>
    </rPh>
    <phoneticPr fontId="1"/>
  </si>
  <si>
    <t>ステータス</t>
    <phoneticPr fontId="1"/>
  </si>
  <si>
    <t>申請者名</t>
    <phoneticPr fontId="1"/>
  </si>
  <si>
    <t>申請日</t>
    <rPh sb="0" eb="2">
      <t>シンセイ</t>
    </rPh>
    <rPh sb="2" eb="3">
      <t>ビ</t>
    </rPh>
    <phoneticPr fontId="1"/>
  </si>
  <si>
    <t>購買品CD</t>
    <rPh sb="0" eb="2">
      <t>コウバイ</t>
    </rPh>
    <rPh sb="2" eb="3">
      <t>ヒン</t>
    </rPh>
    <phoneticPr fontId="1"/>
  </si>
  <si>
    <t>購買品名</t>
    <rPh sb="0" eb="2">
      <t>コウバイ</t>
    </rPh>
    <rPh sb="2" eb="3">
      <t>ヒン</t>
    </rPh>
    <rPh sb="3" eb="4">
      <t>メイ</t>
    </rPh>
    <phoneticPr fontId="1"/>
  </si>
  <si>
    <t>単価</t>
    <rPh sb="0" eb="2">
      <t>タンカ</t>
    </rPh>
    <phoneticPr fontId="1"/>
  </si>
  <si>
    <t>入数</t>
    <rPh sb="0" eb="1">
      <t>イ</t>
    </rPh>
    <rPh sb="1" eb="2">
      <t>スウ</t>
    </rPh>
    <phoneticPr fontId="1"/>
  </si>
  <si>
    <t>入数単位</t>
    <rPh sb="0" eb="1">
      <t>イ</t>
    </rPh>
    <rPh sb="1" eb="2">
      <t>スウ</t>
    </rPh>
    <rPh sb="2" eb="4">
      <t>タンイ</t>
    </rPh>
    <phoneticPr fontId="1"/>
  </si>
  <si>
    <t>数量</t>
    <rPh sb="0" eb="2">
      <t>スウリョウ</t>
    </rPh>
    <phoneticPr fontId="1"/>
  </si>
  <si>
    <t>バラ単位</t>
    <rPh sb="2" eb="4">
      <t>タンイ</t>
    </rPh>
    <phoneticPr fontId="1"/>
  </si>
  <si>
    <t>注文総数</t>
    <rPh sb="0" eb="2">
      <t>チュウモン</t>
    </rPh>
    <rPh sb="2" eb="4">
      <t>ソウスウ</t>
    </rPh>
    <phoneticPr fontId="1"/>
  </si>
  <si>
    <t>合計金額</t>
    <rPh sb="0" eb="2">
      <t>ゴウケイ</t>
    </rPh>
    <rPh sb="2" eb="4">
      <t>キンガク</t>
    </rPh>
    <phoneticPr fontId="1"/>
  </si>
  <si>
    <t>受入日</t>
    <rPh sb="0" eb="2">
      <t>ウケイレ</t>
    </rPh>
    <rPh sb="2" eb="3">
      <t>ヒ</t>
    </rPh>
    <phoneticPr fontId="1"/>
  </si>
  <si>
    <t>検収日</t>
    <rPh sb="0" eb="2">
      <t>ケンシュウ</t>
    </rPh>
    <rPh sb="2" eb="3">
      <t>ビ</t>
    </rPh>
    <phoneticPr fontId="1"/>
  </si>
  <si>
    <t>仕入先CD</t>
    <rPh sb="0" eb="2">
      <t>シイレ</t>
    </rPh>
    <rPh sb="2" eb="3">
      <t>サキ</t>
    </rPh>
    <phoneticPr fontId="1"/>
  </si>
  <si>
    <t>仕入先名</t>
    <rPh sb="0" eb="2">
      <t>シイレ</t>
    </rPh>
    <rPh sb="2" eb="3">
      <t>サキ</t>
    </rPh>
    <rPh sb="3" eb="4">
      <t>メイ</t>
    </rPh>
    <phoneticPr fontId="1"/>
  </si>
  <si>
    <t>メーカーCD</t>
    <phoneticPr fontId="1"/>
  </si>
  <si>
    <t>メーカー名</t>
    <rPh sb="4" eb="5">
      <t>メイ</t>
    </rPh>
    <phoneticPr fontId="1"/>
  </si>
  <si>
    <t>予算コード</t>
    <rPh sb="0" eb="2">
      <t>ヨサン</t>
    </rPh>
    <phoneticPr fontId="1"/>
  </si>
  <si>
    <t>受理No.</t>
    <rPh sb="0" eb="2">
      <t>ジュリ</t>
    </rPh>
    <phoneticPr fontId="1"/>
  </si>
  <si>
    <t>購買申請No.</t>
    <rPh sb="0" eb="2">
      <t>コウバイ</t>
    </rPh>
    <rPh sb="2" eb="4">
      <t>シンセイ</t>
    </rPh>
    <phoneticPr fontId="1"/>
  </si>
  <si>
    <t>依頼No.</t>
    <rPh sb="0" eb="2">
      <t>イライ</t>
    </rPh>
    <phoneticPr fontId="1"/>
  </si>
  <si>
    <t>注文No.</t>
    <rPh sb="0" eb="2">
      <t>チュウモン</t>
    </rPh>
    <phoneticPr fontId="1"/>
  </si>
  <si>
    <t>仕入検索</t>
    <rPh sb="0" eb="2">
      <t>シイレ</t>
    </rPh>
    <rPh sb="2" eb="4">
      <t>ケンサク</t>
    </rPh>
    <phoneticPr fontId="1"/>
  </si>
  <si>
    <t>ステータス：</t>
    <phoneticPr fontId="1"/>
  </si>
  <si>
    <t>伝票未突合</t>
    <rPh sb="0" eb="2">
      <t>デンピョウ</t>
    </rPh>
    <rPh sb="2" eb="3">
      <t>ミ</t>
    </rPh>
    <rPh sb="3" eb="5">
      <t>トツゴウ</t>
    </rPh>
    <phoneticPr fontId="1"/>
  </si>
  <si>
    <t>伝票突合済</t>
    <rPh sb="0" eb="2">
      <t>デンピョウ</t>
    </rPh>
    <rPh sb="2" eb="4">
      <t>トツゴウ</t>
    </rPh>
    <rPh sb="4" eb="5">
      <t>ス</t>
    </rPh>
    <phoneticPr fontId="1"/>
  </si>
  <si>
    <t>仕入連携済</t>
    <rPh sb="0" eb="2">
      <t>シイレ</t>
    </rPh>
    <phoneticPr fontId="1"/>
  </si>
  <si>
    <t>仕入No.▽</t>
    <rPh sb="0" eb="2">
      <t>シイレ</t>
    </rPh>
    <phoneticPr fontId="1"/>
  </si>
  <si>
    <t>～</t>
    <phoneticPr fontId="1"/>
  </si>
  <si>
    <t>仕入日▼</t>
    <rPh sb="0" eb="2">
      <t>シイレ</t>
    </rPh>
    <phoneticPr fontId="1"/>
  </si>
  <si>
    <t>仕入入力者名▼</t>
    <rPh sb="0" eb="2">
      <t>シイレ</t>
    </rPh>
    <phoneticPr fontId="1"/>
  </si>
  <si>
    <t>購買申請No.▽</t>
    <rPh sb="0" eb="2">
      <t>コウバイ</t>
    </rPh>
    <rPh sb="2" eb="4">
      <t>シンセイ</t>
    </rPh>
    <phoneticPr fontId="1"/>
  </si>
  <si>
    <t>フリーワード：</t>
    <phoneticPr fontId="1"/>
  </si>
  <si>
    <t>削除済も表示</t>
    <rPh sb="0" eb="2">
      <t>サクジョ</t>
    </rPh>
    <rPh sb="2" eb="3">
      <t>ス</t>
    </rPh>
    <rPh sb="4" eb="6">
      <t>ヒョウジ</t>
    </rPh>
    <phoneticPr fontId="1"/>
  </si>
  <si>
    <t>選択</t>
    <rPh sb="0" eb="2">
      <t>センタク</t>
    </rPh>
    <phoneticPr fontId="1"/>
  </si>
  <si>
    <t>ステータス</t>
    <phoneticPr fontId="1"/>
  </si>
  <si>
    <t>仕入日</t>
    <rPh sb="0" eb="2">
      <t>シイレ</t>
    </rPh>
    <rPh sb="2" eb="3">
      <t>ヒ</t>
    </rPh>
    <phoneticPr fontId="1"/>
  </si>
  <si>
    <t>支払予定日</t>
    <rPh sb="0" eb="2">
      <t>シハライ</t>
    </rPh>
    <rPh sb="2" eb="5">
      <t>ヨテイビ</t>
    </rPh>
    <rPh sb="4" eb="5">
      <t>ヒ</t>
    </rPh>
    <phoneticPr fontId="1"/>
  </si>
  <si>
    <t>仕入No.</t>
    <rPh sb="0" eb="2">
      <t>シイレ</t>
    </rPh>
    <phoneticPr fontId="1"/>
  </si>
  <si>
    <t>商管伝票No.</t>
    <rPh sb="0" eb="2">
      <t>ショウカン</t>
    </rPh>
    <rPh sb="2" eb="4">
      <t>デンピョウ</t>
    </rPh>
    <phoneticPr fontId="1"/>
  </si>
  <si>
    <t>連動日時</t>
    <rPh sb="0" eb="2">
      <t>レンドウ</t>
    </rPh>
    <rPh sb="2" eb="4">
      <t>ニチジ</t>
    </rPh>
    <phoneticPr fontId="1"/>
  </si>
  <si>
    <t>削除</t>
    <rPh sb="0" eb="2">
      <t>サクジョ</t>
    </rPh>
    <phoneticPr fontId="1"/>
  </si>
  <si>
    <t>修正</t>
    <rPh sb="0" eb="2">
      <t>シュウセイ</t>
    </rPh>
    <phoneticPr fontId="1"/>
  </si>
  <si>
    <t>新規登録</t>
    <rPh sb="0" eb="2">
      <t>シンキ</t>
    </rPh>
    <rPh sb="2" eb="4">
      <t>トウロク</t>
    </rPh>
    <phoneticPr fontId="1"/>
  </si>
  <si>
    <t>仕入入力</t>
    <rPh sb="0" eb="2">
      <t>シイレ</t>
    </rPh>
    <rPh sb="2" eb="4">
      <t>ニュウリョク</t>
    </rPh>
    <phoneticPr fontId="1"/>
  </si>
  <si>
    <t>購買区分▼</t>
    <rPh sb="0" eb="2">
      <t>コウバイ</t>
    </rPh>
    <rPh sb="2" eb="4">
      <t>クブン</t>
    </rPh>
    <phoneticPr fontId="1"/>
  </si>
  <si>
    <t>仕入No.：</t>
    <rPh sb="0" eb="2">
      <t>シイレ</t>
    </rPh>
    <phoneticPr fontId="1"/>
  </si>
  <si>
    <t>ステータス▼</t>
    <phoneticPr fontId="1"/>
  </si>
  <si>
    <t>商管伝票No.：</t>
    <rPh sb="0" eb="2">
      <t>ショウカン</t>
    </rPh>
    <rPh sb="2" eb="4">
      <t>デンピョウ</t>
    </rPh>
    <phoneticPr fontId="1"/>
  </si>
  <si>
    <t>注記：</t>
    <rPh sb="0" eb="2">
      <t>チュウキ</t>
    </rPh>
    <phoneticPr fontId="1"/>
  </si>
  <si>
    <t>税率</t>
    <rPh sb="0" eb="2">
      <t>ゼイリツ</t>
    </rPh>
    <phoneticPr fontId="1"/>
  </si>
  <si>
    <t>税抜合計</t>
    <rPh sb="0" eb="2">
      <t>ゼイヌキ</t>
    </rPh>
    <rPh sb="2" eb="4">
      <t>ゴウケイ</t>
    </rPh>
    <phoneticPr fontId="1"/>
  </si>
  <si>
    <t>消費税</t>
    <rPh sb="0" eb="3">
      <t>ショウヒゼイ</t>
    </rPh>
    <phoneticPr fontId="1"/>
  </si>
  <si>
    <t>税込合計</t>
    <rPh sb="0" eb="2">
      <t>ゼイコミ</t>
    </rPh>
    <rPh sb="2" eb="4">
      <t>ゴウケイ</t>
    </rPh>
    <phoneticPr fontId="1"/>
  </si>
  <si>
    <t>行</t>
    <rPh sb="0" eb="1">
      <t>ギョウ</t>
    </rPh>
    <phoneticPr fontId="1"/>
  </si>
  <si>
    <t>総数</t>
    <rPh sb="0" eb="2">
      <t>ソウスウ</t>
    </rPh>
    <phoneticPr fontId="1"/>
  </si>
  <si>
    <t>仕入日</t>
    <rPh sb="0" eb="2">
      <t>シイレ</t>
    </rPh>
    <rPh sb="2" eb="3">
      <t>ビ</t>
    </rPh>
    <phoneticPr fontId="1"/>
  </si>
  <si>
    <t>総ページ数</t>
    <rPh sb="0" eb="1">
      <t>ソウ</t>
    </rPh>
    <rPh sb="4" eb="5">
      <t>スウ</t>
    </rPh>
    <phoneticPr fontId="1"/>
  </si>
  <si>
    <t>現在ページ番号</t>
    <rPh sb="0" eb="2">
      <t>ゲンザイ</t>
    </rPh>
    <rPh sb="5" eb="7">
      <t>バンゴウ</t>
    </rPh>
    <phoneticPr fontId="1"/>
  </si>
  <si>
    <t>前ページ番号</t>
    <rPh sb="0" eb="1">
      <t>マエ</t>
    </rPh>
    <rPh sb="4" eb="6">
      <t>バンゴウ</t>
    </rPh>
    <phoneticPr fontId="1"/>
  </si>
  <si>
    <t>次ページ番号</t>
    <rPh sb="0" eb="1">
      <t>ツギ</t>
    </rPh>
    <rPh sb="4" eb="6">
      <t>バンゴウ</t>
    </rPh>
    <phoneticPr fontId="1"/>
  </si>
  <si>
    <t>非表示行</t>
    <rPh sb="0" eb="3">
      <t>ヒヒョウジ</t>
    </rPh>
    <rPh sb="3" eb="4">
      <t>ギョウ</t>
    </rPh>
    <phoneticPr fontId="1"/>
  </si>
  <si>
    <t>非表示列</t>
    <rPh sb="0" eb="3">
      <t>ヒヒョウジ</t>
    </rPh>
    <rPh sb="3" eb="4">
      <t>レツ</t>
    </rPh>
    <phoneticPr fontId="1"/>
  </si>
  <si>
    <t>入力者CD</t>
    <rPh sb="0" eb="2">
      <t>ニュウリョク</t>
    </rPh>
    <rPh sb="2" eb="3">
      <t>シャ</t>
    </rPh>
    <phoneticPr fontId="1"/>
  </si>
  <si>
    <t>ステータスCD</t>
    <phoneticPr fontId="1"/>
  </si>
  <si>
    <t>ウィンドウ固定位置</t>
    <rPh sb="5" eb="7">
      <t>コテイ</t>
    </rPh>
    <rPh sb="7" eb="9">
      <t>イチ</t>
    </rPh>
    <phoneticPr fontId="1"/>
  </si>
  <si>
    <t>リスト展開開始位置</t>
    <rPh sb="3" eb="5">
      <t>テンカイ</t>
    </rPh>
    <rPh sb="5" eb="7">
      <t>カイシ</t>
    </rPh>
    <rPh sb="7" eb="9">
      <t>イチ</t>
    </rPh>
    <phoneticPr fontId="1"/>
  </si>
  <si>
    <t>入力行数</t>
    <rPh sb="0" eb="2">
      <t>ニュウリョク</t>
    </rPh>
    <rPh sb="2" eb="4">
      <t>ギョウスウ</t>
    </rPh>
    <phoneticPr fontId="1"/>
  </si>
  <si>
    <t>入力行数_加算分</t>
    <rPh sb="0" eb="2">
      <t>ニュウリョク</t>
    </rPh>
    <rPh sb="2" eb="4">
      <t>ギョウスウ</t>
    </rPh>
    <rPh sb="5" eb="7">
      <t>カサン</t>
    </rPh>
    <rPh sb="7" eb="8">
      <t>ブン</t>
    </rPh>
    <phoneticPr fontId="1"/>
  </si>
  <si>
    <t>入力行数_減算分</t>
    <rPh sb="0" eb="2">
      <t>ニュウリョク</t>
    </rPh>
    <rPh sb="2" eb="4">
      <t>ギョウスウ</t>
    </rPh>
    <rPh sb="5" eb="7">
      <t>ゲンサン</t>
    </rPh>
    <rPh sb="7" eb="8">
      <t>ブン</t>
    </rPh>
    <phoneticPr fontId="1"/>
  </si>
  <si>
    <t>行数式コピー先</t>
    <rPh sb="0" eb="1">
      <t>ギョウ</t>
    </rPh>
    <rPh sb="1" eb="3">
      <t>スウシキ</t>
    </rPh>
    <rPh sb="6" eb="7">
      <t>サキ</t>
    </rPh>
    <phoneticPr fontId="1"/>
  </si>
  <si>
    <t>クリア範囲</t>
    <rPh sb="3" eb="5">
      <t>ハンイ</t>
    </rPh>
    <phoneticPr fontId="1"/>
  </si>
  <si>
    <t>行挿入範囲</t>
    <rPh sb="0" eb="1">
      <t>ギョウ</t>
    </rPh>
    <rPh sb="1" eb="3">
      <t>ソウニュウ</t>
    </rPh>
    <rPh sb="3" eb="5">
      <t>ハンイ</t>
    </rPh>
    <phoneticPr fontId="1"/>
  </si>
  <si>
    <t>行削除範囲</t>
    <rPh sb="0" eb="1">
      <t>ギョウ</t>
    </rPh>
    <rPh sb="1" eb="3">
      <t>サクジョ</t>
    </rPh>
    <rPh sb="3" eb="5">
      <t>ハンイ</t>
    </rPh>
    <phoneticPr fontId="1"/>
  </si>
  <si>
    <t>複数選択コピー先</t>
    <rPh sb="0" eb="2">
      <t>フクスウ</t>
    </rPh>
    <rPh sb="2" eb="4">
      <t>センタク</t>
    </rPh>
    <rPh sb="7" eb="8">
      <t>サキ</t>
    </rPh>
    <phoneticPr fontId="1"/>
  </si>
  <si>
    <t>【処理用】</t>
    <rPh sb="1" eb="4">
      <t>ショリヨウ</t>
    </rPh>
    <phoneticPr fontId="1"/>
  </si>
  <si>
    <t>【コンボボックス】</t>
    <phoneticPr fontId="1"/>
  </si>
  <si>
    <t>【デフォルト値】</t>
    <rPh sb="6" eb="7">
      <t>チ</t>
    </rPh>
    <phoneticPr fontId="1"/>
  </si>
  <si>
    <t>【書式コピー元】</t>
    <rPh sb="1" eb="3">
      <t>ショシキ</t>
    </rPh>
    <rPh sb="6" eb="7">
      <t>モト</t>
    </rPh>
    <phoneticPr fontId="1"/>
  </si>
  <si>
    <t>【保存】</t>
    <rPh sb="1" eb="3">
      <t>ホゾン</t>
    </rPh>
    <phoneticPr fontId="1"/>
  </si>
  <si>
    <t>【複数商品追加】</t>
    <rPh sb="1" eb="3">
      <t>フクスウ</t>
    </rPh>
    <rPh sb="3" eb="5">
      <t>ショウヒン</t>
    </rPh>
    <rPh sb="5" eb="7">
      <t>ツイカ</t>
    </rPh>
    <phoneticPr fontId="1"/>
  </si>
  <si>
    <t>【ヘッダ】</t>
    <phoneticPr fontId="1"/>
  </si>
  <si>
    <t>【ボディ】</t>
    <phoneticPr fontId="1"/>
  </si>
  <si>
    <t>処理用</t>
    <rPh sb="0" eb="2">
      <t>ショリ</t>
    </rPh>
    <rPh sb="2" eb="3">
      <t>ヨウ</t>
    </rPh>
    <phoneticPr fontId="1"/>
  </si>
  <si>
    <t>ヘッダ</t>
    <phoneticPr fontId="1"/>
  </si>
  <si>
    <t>ボディ</t>
    <phoneticPr fontId="1"/>
  </si>
  <si>
    <t>データ照会中フラグ</t>
    <rPh sb="3" eb="5">
      <t>ショウカイ</t>
    </rPh>
    <rPh sb="5" eb="6">
      <t>チュウ</t>
    </rPh>
    <phoneticPr fontId="1"/>
  </si>
  <si>
    <t>ON:1</t>
  </si>
  <si>
    <t>OFF:1以外</t>
    <rPh sb="5" eb="7">
      <t>イガイ</t>
    </rPh>
    <phoneticPr fontId="1"/>
  </si>
  <si>
    <t>リスト名</t>
    <rPh sb="3" eb="4">
      <t>メイ</t>
    </rPh>
    <phoneticPr fontId="1"/>
  </si>
  <si>
    <t>【ワークテーブル用】</t>
    <rPh sb="8" eb="9">
      <t>ヨウ</t>
    </rPh>
    <phoneticPr fontId="1"/>
  </si>
  <si>
    <t>必須情報</t>
    <rPh sb="0" eb="2">
      <t>ヒッス</t>
    </rPh>
    <rPh sb="2" eb="4">
      <t>ジョウホウ</t>
    </rPh>
    <phoneticPr fontId="1"/>
  </si>
  <si>
    <t>保存数式コピー元</t>
    <rPh sb="0" eb="2">
      <t>ホゾン</t>
    </rPh>
    <rPh sb="2" eb="4">
      <t>スウシキ</t>
    </rPh>
    <rPh sb="7" eb="8">
      <t>モト</t>
    </rPh>
    <phoneticPr fontId="1"/>
  </si>
  <si>
    <t>複数商品選択件数</t>
    <rPh sb="0" eb="2">
      <t>フクスウ</t>
    </rPh>
    <rPh sb="2" eb="4">
      <t>ショウヒン</t>
    </rPh>
    <rPh sb="4" eb="6">
      <t>センタク</t>
    </rPh>
    <rPh sb="6" eb="8">
      <t>ケンスウ</t>
    </rPh>
    <phoneticPr fontId="1"/>
  </si>
  <si>
    <t>件数</t>
    <rPh sb="0" eb="2">
      <t>ケンスウ</t>
    </rPh>
    <phoneticPr fontId="1"/>
  </si>
  <si>
    <t>【新規】</t>
    <rPh sb="1" eb="3">
      <t>シンキ</t>
    </rPh>
    <phoneticPr fontId="1"/>
  </si>
  <si>
    <t>【明細行】</t>
    <rPh sb="1" eb="3">
      <t>メイサイ</t>
    </rPh>
    <rPh sb="3" eb="4">
      <t>ギョウ</t>
    </rPh>
    <phoneticPr fontId="1"/>
  </si>
  <si>
    <t>ユーザーID</t>
    <phoneticPr fontId="1"/>
  </si>
  <si>
    <t>必須チェック設定</t>
    <rPh sb="0" eb="2">
      <t>ヒッス</t>
    </rPh>
    <rPh sb="6" eb="8">
      <t>セッテイ</t>
    </rPh>
    <phoneticPr fontId="1"/>
  </si>
  <si>
    <t>【保存対象】</t>
    <rPh sb="1" eb="3">
      <t>ホゾン</t>
    </rPh>
    <rPh sb="3" eb="5">
      <t>タイショウ</t>
    </rPh>
    <phoneticPr fontId="1"/>
  </si>
  <si>
    <t>W_USER_ID</t>
  </si>
  <si>
    <t>W_SERIAL</t>
  </si>
  <si>
    <t>W_PAGE</t>
  </si>
  <si>
    <t>W_ROW</t>
  </si>
  <si>
    <t>W_MODE</t>
  </si>
  <si>
    <t>JURI_NO</t>
  </si>
  <si>
    <t>TAX_RATE</t>
  </si>
  <si>
    <t>NUKI_TOTAL</t>
  </si>
  <si>
    <t>TAX</t>
  </si>
  <si>
    <t>KOMI_TOTAL</t>
  </si>
  <si>
    <t>GYO_NO</t>
  </si>
  <si>
    <t>IRISU_TANI</t>
  </si>
  <si>
    <t>SOSU</t>
  </si>
  <si>
    <t>BARA_TANI</t>
  </si>
  <si>
    <t>DEL_FLG</t>
  </si>
  <si>
    <t>DBS_STATUS</t>
  </si>
  <si>
    <t>DBS_CREATE_USER</t>
  </si>
  <si>
    <t>DBS_CREATE_DATE</t>
  </si>
  <si>
    <t>DBS_UPDATE_USER</t>
  </si>
  <si>
    <t>DBS_UPDATE_DATE</t>
  </si>
  <si>
    <t>複数商品選択展開開始位置</t>
    <rPh sb="0" eb="2">
      <t>フクスウ</t>
    </rPh>
    <rPh sb="2" eb="4">
      <t>ショウヒン</t>
    </rPh>
    <rPh sb="4" eb="6">
      <t>センタク</t>
    </rPh>
    <rPh sb="6" eb="8">
      <t>テンカイ</t>
    </rPh>
    <rPh sb="8" eb="10">
      <t>カイシ</t>
    </rPh>
    <rPh sb="10" eb="12">
      <t>イチ</t>
    </rPh>
    <phoneticPr fontId="1"/>
  </si>
  <si>
    <t>シリアル値</t>
    <rPh sb="4" eb="5">
      <t>アタイ</t>
    </rPh>
    <phoneticPr fontId="1"/>
  </si>
  <si>
    <t>結果出力先シート名</t>
    <rPh sb="0" eb="2">
      <t>ケッカ</t>
    </rPh>
    <rPh sb="2" eb="5">
      <t>シュツリョクサキ</t>
    </rPh>
    <rPh sb="8" eb="9">
      <t>メイ</t>
    </rPh>
    <phoneticPr fontId="1"/>
  </si>
  <si>
    <t>除外行</t>
    <rPh sb="0" eb="2">
      <t>ジョガイ</t>
    </rPh>
    <rPh sb="2" eb="3">
      <t>ギョウ</t>
    </rPh>
    <phoneticPr fontId="1"/>
  </si>
  <si>
    <t>シリアル</t>
  </si>
  <si>
    <t>行番号</t>
  </si>
  <si>
    <t>処理モード</t>
  </si>
  <si>
    <t>税率</t>
  </si>
  <si>
    <t>税抜合計</t>
  </si>
  <si>
    <t>消費税</t>
  </si>
  <si>
    <t>税込合計</t>
  </si>
  <si>
    <t>連動日時</t>
  </si>
  <si>
    <t>行No.</t>
  </si>
  <si>
    <t>入数単位</t>
  </si>
  <si>
    <t>バラ単位</t>
  </si>
  <si>
    <t>削除フラグ</t>
  </si>
  <si>
    <t>レコード状態</t>
  </si>
  <si>
    <t>作成ユーザＩＤ</t>
  </si>
  <si>
    <t>作成日時</t>
  </si>
  <si>
    <t>更新ユーザＩＤ</t>
  </si>
  <si>
    <t>更新日時</t>
  </si>
  <si>
    <t>展開件数</t>
    <rPh sb="0" eb="2">
      <t>テンカイ</t>
    </rPh>
    <rPh sb="2" eb="4">
      <t>ケンスウ</t>
    </rPh>
    <phoneticPr fontId="1"/>
  </si>
  <si>
    <t>複数商品選択フラグ</t>
    <rPh sb="0" eb="2">
      <t>フクスウ</t>
    </rPh>
    <rPh sb="2" eb="4">
      <t>ショウヒン</t>
    </rPh>
    <rPh sb="4" eb="6">
      <t>センタク</t>
    </rPh>
    <phoneticPr fontId="1"/>
  </si>
  <si>
    <t>OFF:2</t>
  </si>
  <si>
    <t>名称</t>
    <rPh sb="0" eb="2">
      <t>メイショウ</t>
    </rPh>
    <phoneticPr fontId="1"/>
  </si>
  <si>
    <t>コード</t>
    <phoneticPr fontId="1"/>
  </si>
  <si>
    <t>シリアル生成</t>
    <rPh sb="4" eb="6">
      <t>セイセイ</t>
    </rPh>
    <phoneticPr fontId="1"/>
  </si>
  <si>
    <t>結果出力先セル</t>
    <rPh sb="0" eb="2">
      <t>ケッカ</t>
    </rPh>
    <rPh sb="2" eb="5">
      <t>シュツリョクサキ</t>
    </rPh>
    <phoneticPr fontId="1"/>
  </si>
  <si>
    <t>展開開始位置</t>
    <rPh sb="0" eb="2">
      <t>テンカイ</t>
    </rPh>
    <rPh sb="2" eb="4">
      <t>カイシ</t>
    </rPh>
    <rPh sb="4" eb="6">
      <t>イチ</t>
    </rPh>
    <phoneticPr fontId="1"/>
  </si>
  <si>
    <t>チェック開始位置</t>
    <rPh sb="4" eb="6">
      <t>カイシ</t>
    </rPh>
    <rPh sb="6" eb="8">
      <t>イチ</t>
    </rPh>
    <phoneticPr fontId="1"/>
  </si>
  <si>
    <t>展開処理実行判定</t>
    <rPh sb="0" eb="2">
      <t>テンカイ</t>
    </rPh>
    <rPh sb="2" eb="4">
      <t>ショリ</t>
    </rPh>
    <rPh sb="4" eb="6">
      <t>ジッコウ</t>
    </rPh>
    <rPh sb="6" eb="8">
      <t>ハンテイ</t>
    </rPh>
    <phoneticPr fontId="1"/>
  </si>
  <si>
    <t>1:有効 / 2:無効</t>
    <rPh sb="2" eb="4">
      <t>ユウコウ</t>
    </rPh>
    <rPh sb="9" eb="11">
      <t>ムコウ</t>
    </rPh>
    <phoneticPr fontId="1"/>
  </si>
  <si>
    <t>保存後処理判定</t>
    <rPh sb="0" eb="2">
      <t>ホゾン</t>
    </rPh>
    <rPh sb="2" eb="3">
      <t>ゴ</t>
    </rPh>
    <rPh sb="3" eb="5">
      <t>ショリ</t>
    </rPh>
    <rPh sb="5" eb="7">
      <t>ハンテイ</t>
    </rPh>
    <phoneticPr fontId="1"/>
  </si>
  <si>
    <t>現ページが2以上かつ&gt;=総ページの場合、削除後、前ページを表示する</t>
    <rPh sb="0" eb="1">
      <t>ゲン</t>
    </rPh>
    <rPh sb="6" eb="8">
      <t>イジョウ</t>
    </rPh>
    <rPh sb="12" eb="13">
      <t>ソウ</t>
    </rPh>
    <rPh sb="17" eb="19">
      <t>バアイ</t>
    </rPh>
    <rPh sb="20" eb="22">
      <t>サクジョ</t>
    </rPh>
    <rPh sb="22" eb="23">
      <t>ゴ</t>
    </rPh>
    <rPh sb="24" eb="25">
      <t>マエ</t>
    </rPh>
    <rPh sb="29" eb="31">
      <t>ヒョウジ</t>
    </rPh>
    <phoneticPr fontId="1"/>
  </si>
  <si>
    <t>連動不要</t>
    <rPh sb="0" eb="2">
      <t>レンドウ</t>
    </rPh>
    <rPh sb="2" eb="4">
      <t>フヨウ</t>
    </rPh>
    <phoneticPr fontId="1"/>
  </si>
  <si>
    <t>処理モード</t>
    <rPh sb="0" eb="2">
      <t>ショリ</t>
    </rPh>
    <phoneticPr fontId="1"/>
  </si>
  <si>
    <t>0:読込 / 1:新規保存 / 2:更新 / 3:削除 / 4:受注データ検索接続 / 5:受注接続一括保存 / 6:参照作成 / 7:履歴データ取得 / 8:伝票発行済設定 / 9(ELSE):ワークテーブルクリア</t>
    <phoneticPr fontId="1"/>
  </si>
  <si>
    <t>項目名</t>
    <rPh sb="0" eb="3">
      <t>コウモクメイ</t>
    </rPh>
    <phoneticPr fontId="1"/>
  </si>
  <si>
    <t>情報</t>
    <rPh sb="0" eb="2">
      <t>ジョウホウ</t>
    </rPh>
    <phoneticPr fontId="1"/>
  </si>
  <si>
    <t>展開後件数</t>
    <rPh sb="0" eb="2">
      <t>テンカイ</t>
    </rPh>
    <rPh sb="2" eb="3">
      <t>ゴ</t>
    </rPh>
    <rPh sb="3" eb="5">
      <t>ケンスウ</t>
    </rPh>
    <phoneticPr fontId="1"/>
  </si>
  <si>
    <t>連動済判定</t>
    <rPh sb="0" eb="2">
      <t>レンドウ</t>
    </rPh>
    <rPh sb="2" eb="3">
      <t>ス</t>
    </rPh>
    <rPh sb="3" eb="5">
      <t>ハンテイ</t>
    </rPh>
    <phoneticPr fontId="1"/>
  </si>
  <si>
    <t>未連動</t>
    <rPh sb="0" eb="1">
      <t>ミ</t>
    </rPh>
    <rPh sb="1" eb="3">
      <t>レンドウ</t>
    </rPh>
    <phoneticPr fontId="1"/>
  </si>
  <si>
    <t>一括保存フラグ</t>
    <rPh sb="0" eb="2">
      <t>イッカツ</t>
    </rPh>
    <rPh sb="2" eb="4">
      <t>ホゾン</t>
    </rPh>
    <phoneticPr fontId="1"/>
  </si>
  <si>
    <t>ON:1 / OFF:1以外</t>
    <rPh sb="12" eb="14">
      <t>イガイ</t>
    </rPh>
    <phoneticPr fontId="1"/>
  </si>
  <si>
    <t>連動済</t>
    <rPh sb="0" eb="2">
      <t>レンドウ</t>
    </rPh>
    <rPh sb="2" eb="3">
      <t>ス</t>
    </rPh>
    <phoneticPr fontId="1"/>
  </si>
  <si>
    <t>一時保存フラグ</t>
    <rPh sb="0" eb="2">
      <t>イチジ</t>
    </rPh>
    <rPh sb="2" eb="4">
      <t>ホゾン</t>
    </rPh>
    <phoneticPr fontId="1"/>
  </si>
  <si>
    <t>入力チェックセル名</t>
    <rPh sb="0" eb="2">
      <t>ニュウリョク</t>
    </rPh>
    <rPh sb="8" eb="9">
      <t>メイ</t>
    </rPh>
    <phoneticPr fontId="1"/>
  </si>
  <si>
    <t>書式コピー先</t>
    <rPh sb="0" eb="2">
      <t>ショシキ</t>
    </rPh>
    <rPh sb="5" eb="6">
      <t>サキ</t>
    </rPh>
    <phoneticPr fontId="1"/>
  </si>
  <si>
    <t>入力チェックセル項目名</t>
    <rPh sb="0" eb="2">
      <t>ニュウリョク</t>
    </rPh>
    <rPh sb="8" eb="11">
      <t>コウモクメイ</t>
    </rPh>
    <phoneticPr fontId="1"/>
  </si>
  <si>
    <t>行数式コピー先</t>
    <rPh sb="0" eb="2">
      <t>ギョウスウ</t>
    </rPh>
    <rPh sb="2" eb="3">
      <t>シキ</t>
    </rPh>
    <rPh sb="6" eb="7">
      <t>サキ</t>
    </rPh>
    <phoneticPr fontId="1"/>
  </si>
  <si>
    <t>【モード判定】</t>
    <rPh sb="4" eb="6">
      <t>ハンテイ</t>
    </rPh>
    <phoneticPr fontId="1"/>
  </si>
  <si>
    <t>【保存数式】</t>
    <rPh sb="1" eb="3">
      <t>ホゾン</t>
    </rPh>
    <rPh sb="3" eb="5">
      <t>スウシキ</t>
    </rPh>
    <phoneticPr fontId="1"/>
  </si>
  <si>
    <t>入力チェック・リスト</t>
    <rPh sb="0" eb="2">
      <t>ニュウリョク</t>
    </rPh>
    <phoneticPr fontId="1"/>
  </si>
  <si>
    <t>表示モード</t>
    <rPh sb="0" eb="2">
      <t>ヒョウジ</t>
    </rPh>
    <phoneticPr fontId="1"/>
  </si>
  <si>
    <t>1：新規2：修正0：参照</t>
    <rPh sb="2" eb="4">
      <t>シンキ</t>
    </rPh>
    <rPh sb="6" eb="8">
      <t>シュウセイ</t>
    </rPh>
    <rPh sb="10" eb="12">
      <t>サンショウ</t>
    </rPh>
    <phoneticPr fontId="1"/>
  </si>
  <si>
    <t>保存数式コピー先</t>
    <rPh sb="0" eb="2">
      <t>ホゾン</t>
    </rPh>
    <rPh sb="2" eb="4">
      <t>スウシキ</t>
    </rPh>
    <rPh sb="7" eb="8">
      <t>サキ</t>
    </rPh>
    <phoneticPr fontId="1"/>
  </si>
  <si>
    <t>総数数式コピー先</t>
    <rPh sb="0" eb="2">
      <t>ソウスウ</t>
    </rPh>
    <rPh sb="2" eb="4">
      <t>スウシキ</t>
    </rPh>
    <rPh sb="7" eb="8">
      <t>サキ</t>
    </rPh>
    <phoneticPr fontId="1"/>
  </si>
  <si>
    <t>保存件数</t>
    <rPh sb="0" eb="2">
      <t>ホゾン</t>
    </rPh>
    <rPh sb="2" eb="4">
      <t>ケンスウ</t>
    </rPh>
    <phoneticPr fontId="1"/>
  </si>
  <si>
    <t>開始位置</t>
    <rPh sb="0" eb="2">
      <t>カイシ</t>
    </rPh>
    <rPh sb="2" eb="4">
      <t>イチ</t>
    </rPh>
    <phoneticPr fontId="1"/>
  </si>
  <si>
    <t>遷移元プログラムID</t>
    <rPh sb="0" eb="2">
      <t>センイ</t>
    </rPh>
    <rPh sb="2" eb="3">
      <t>モト</t>
    </rPh>
    <phoneticPr fontId="1"/>
  </si>
  <si>
    <t>横幅（列数）</t>
    <rPh sb="0" eb="2">
      <t>ヨコハバ</t>
    </rPh>
    <rPh sb="3" eb="4">
      <t>レツ</t>
    </rPh>
    <rPh sb="4" eb="5">
      <t>スウ</t>
    </rPh>
    <phoneticPr fontId="1"/>
  </si>
  <si>
    <t>縦幅（行数）</t>
    <rPh sb="0" eb="2">
      <t>タテハバ</t>
    </rPh>
    <rPh sb="3" eb="5">
      <t>ギョウスウ</t>
    </rPh>
    <phoneticPr fontId="1"/>
  </si>
  <si>
    <t>コピー元</t>
    <rPh sb="3" eb="4">
      <t>モト</t>
    </rPh>
    <phoneticPr fontId="1"/>
  </si>
  <si>
    <t>【処理判定】</t>
    <rPh sb="1" eb="3">
      <t>ショリ</t>
    </rPh>
    <rPh sb="3" eb="5">
      <t>ハンテイ</t>
    </rPh>
    <phoneticPr fontId="1"/>
  </si>
  <si>
    <t>【修正】</t>
    <rPh sb="1" eb="3">
      <t>シュウセイ</t>
    </rPh>
    <phoneticPr fontId="1"/>
  </si>
  <si>
    <t>項目名リスト</t>
    <rPh sb="0" eb="2">
      <t>コウモク</t>
    </rPh>
    <rPh sb="2" eb="3">
      <t>メイ</t>
    </rPh>
    <phoneticPr fontId="1"/>
  </si>
  <si>
    <t>除外セル(アドレス)</t>
    <rPh sb="0" eb="2">
      <t>ジョガイ</t>
    </rPh>
    <phoneticPr fontId="1"/>
  </si>
  <si>
    <t>除外列リスト(列数)</t>
    <rPh sb="0" eb="2">
      <t>ジョガイ</t>
    </rPh>
    <rPh sb="2" eb="3">
      <t>レツ</t>
    </rPh>
    <rPh sb="7" eb="8">
      <t>レツ</t>
    </rPh>
    <rPh sb="8" eb="9">
      <t>スウ</t>
    </rPh>
    <phoneticPr fontId="1"/>
  </si>
  <si>
    <t>除外行リスト(行数)</t>
    <rPh sb="0" eb="2">
      <t>ジョガイ</t>
    </rPh>
    <rPh sb="2" eb="3">
      <t>ギョウ</t>
    </rPh>
    <rPh sb="7" eb="9">
      <t>ギョウスウ</t>
    </rPh>
    <phoneticPr fontId="1"/>
  </si>
  <si>
    <t>※エラー結果をExcelシートに出力</t>
    <rPh sb="4" eb="6">
      <t>ケッカ</t>
    </rPh>
    <rPh sb="16" eb="18">
      <t>シュツリョク</t>
    </rPh>
    <phoneticPr fontId="1"/>
  </si>
  <si>
    <t>リスト：行番号、項目名</t>
    <rPh sb="8" eb="11">
      <t>コウモクメイ</t>
    </rPh>
    <phoneticPr fontId="1"/>
  </si>
  <si>
    <t>個別：行番号はゼロ、項目名</t>
    <rPh sb="0" eb="2">
      <t>コベツ</t>
    </rPh>
    <rPh sb="10" eb="13">
      <t>コウモクメイ</t>
    </rPh>
    <phoneticPr fontId="1"/>
  </si>
  <si>
    <t>開始位置が無い場合はリストチェックをしない</t>
    <rPh sb="0" eb="2">
      <t>カイシ</t>
    </rPh>
    <rPh sb="2" eb="4">
      <t>イチ</t>
    </rPh>
    <rPh sb="5" eb="6">
      <t>ナ</t>
    </rPh>
    <rPh sb="7" eb="9">
      <t>バアイ</t>
    </rPh>
    <phoneticPr fontId="1"/>
  </si>
  <si>
    <t>【必須チェック】</t>
    <rPh sb="1" eb="3">
      <t>ヒッス</t>
    </rPh>
    <phoneticPr fontId="1"/>
  </si>
  <si>
    <t>入力確認</t>
    <rPh sb="0" eb="2">
      <t>ニュウリョク</t>
    </rPh>
    <rPh sb="2" eb="4">
      <t>カクニン</t>
    </rPh>
    <phoneticPr fontId="1"/>
  </si>
  <si>
    <t>1:エラー / 2:正常終了</t>
    <rPh sb="10" eb="12">
      <t>セイジョウ</t>
    </rPh>
    <rPh sb="12" eb="14">
      <t>シュウリョウ</t>
    </rPh>
    <phoneticPr fontId="1"/>
  </si>
  <si>
    <t>エラーメッセージ</t>
    <phoneticPr fontId="1"/>
  </si>
  <si>
    <t>【参照】</t>
    <rPh sb="1" eb="3">
      <t>サンショウ</t>
    </rPh>
    <phoneticPr fontId="1"/>
  </si>
  <si>
    <t>必須チェック結果出力先</t>
    <rPh sb="0" eb="2">
      <t>ヒッス</t>
    </rPh>
    <rPh sb="6" eb="8">
      <t>ケッカ</t>
    </rPh>
    <rPh sb="8" eb="10">
      <t>シュツリョク</t>
    </rPh>
    <rPh sb="10" eb="11">
      <t>サキ</t>
    </rPh>
    <phoneticPr fontId="1"/>
  </si>
  <si>
    <t>【保存結果】</t>
    <rPh sb="1" eb="3">
      <t>ホゾン</t>
    </rPh>
    <rPh sb="3" eb="5">
      <t>ケッカ</t>
    </rPh>
    <phoneticPr fontId="1"/>
  </si>
  <si>
    <t>保存処理結果</t>
    <rPh sb="0" eb="2">
      <t>ホゾン</t>
    </rPh>
    <rPh sb="2" eb="4">
      <t>ショリ</t>
    </rPh>
    <rPh sb="4" eb="6">
      <t>ケッカ</t>
    </rPh>
    <phoneticPr fontId="1"/>
  </si>
  <si>
    <t>保存処理結果メッセージ</t>
    <rPh sb="0" eb="2">
      <t>ホゾン</t>
    </rPh>
    <rPh sb="2" eb="4">
      <t>ショリ</t>
    </rPh>
    <rPh sb="4" eb="6">
      <t>ケッカ</t>
    </rPh>
    <phoneticPr fontId="1"/>
  </si>
  <si>
    <t>【共通】</t>
    <rPh sb="1" eb="3">
      <t>キョウツウ</t>
    </rPh>
    <phoneticPr fontId="1"/>
  </si>
  <si>
    <t>保存エラー判定</t>
    <rPh sb="0" eb="2">
      <t>ホゾン</t>
    </rPh>
    <rPh sb="5" eb="7">
      <t>ハンテイ</t>
    </rPh>
    <phoneticPr fontId="1"/>
  </si>
  <si>
    <t>【削除】</t>
    <rPh sb="1" eb="3">
      <t>サクジョ</t>
    </rPh>
    <phoneticPr fontId="1"/>
  </si>
  <si>
    <t>エラーメッセージ</t>
  </si>
  <si>
    <t>処理に失敗しました。再度実行してください。</t>
    <phoneticPr fontId="1"/>
  </si>
  <si>
    <t>【フォーカス判定】</t>
    <rPh sb="6" eb="8">
      <t>ハンテイ</t>
    </rPh>
    <phoneticPr fontId="1"/>
  </si>
  <si>
    <t>選択シート名</t>
    <rPh sb="0" eb="2">
      <t>センタク</t>
    </rPh>
    <rPh sb="5" eb="6">
      <t>メイ</t>
    </rPh>
    <phoneticPr fontId="1"/>
  </si>
  <si>
    <t>選択行番号</t>
    <rPh sb="0" eb="2">
      <t>センタク</t>
    </rPh>
    <rPh sb="2" eb="3">
      <t>ギョウ</t>
    </rPh>
    <rPh sb="3" eb="5">
      <t>バンゴウ</t>
    </rPh>
    <phoneticPr fontId="1"/>
  </si>
  <si>
    <t>【一括保存時処理判定】</t>
    <rPh sb="1" eb="3">
      <t>イッカツ</t>
    </rPh>
    <rPh sb="3" eb="5">
      <t>ホゾン</t>
    </rPh>
    <rPh sb="5" eb="6">
      <t>ジ</t>
    </rPh>
    <rPh sb="6" eb="8">
      <t>ショリ</t>
    </rPh>
    <rPh sb="8" eb="10">
      <t>ハンテイ</t>
    </rPh>
    <phoneticPr fontId="1"/>
  </si>
  <si>
    <t>選択列番号</t>
    <rPh sb="0" eb="2">
      <t>センタク</t>
    </rPh>
    <rPh sb="2" eb="3">
      <t>レツ</t>
    </rPh>
    <rPh sb="3" eb="5">
      <t>バンゴウ</t>
    </rPh>
    <phoneticPr fontId="1"/>
  </si>
  <si>
    <t>ループカウント</t>
    <phoneticPr fontId="1"/>
  </si>
  <si>
    <t>選択セル名</t>
    <rPh sb="0" eb="2">
      <t>センタク</t>
    </rPh>
    <rPh sb="4" eb="5">
      <t>メイ</t>
    </rPh>
    <phoneticPr fontId="1"/>
  </si>
  <si>
    <t>【ボタン名】</t>
    <rPh sb="4" eb="5">
      <t>メイ</t>
    </rPh>
    <phoneticPr fontId="1"/>
  </si>
  <si>
    <t>新規</t>
    <rPh sb="0" eb="2">
      <t>シンキ</t>
    </rPh>
    <phoneticPr fontId="1"/>
  </si>
  <si>
    <t>参照</t>
    <rPh sb="0" eb="2">
      <t>サンショウ</t>
    </rPh>
    <phoneticPr fontId="1"/>
  </si>
  <si>
    <t>修正/参照ボタン</t>
    <rPh sb="0" eb="2">
      <t>シュウセイ</t>
    </rPh>
    <rPh sb="3" eb="5">
      <t>サンショウ</t>
    </rPh>
    <phoneticPr fontId="1"/>
  </si>
  <si>
    <t>-</t>
    <phoneticPr fontId="1"/>
  </si>
  <si>
    <t>保存ボタン</t>
    <rPh sb="0" eb="2">
      <t>ホゾン</t>
    </rPh>
    <phoneticPr fontId="1"/>
  </si>
  <si>
    <t>保存</t>
    <rPh sb="0" eb="2">
      <t>ホゾン</t>
    </rPh>
    <phoneticPr fontId="1"/>
  </si>
  <si>
    <t>-</t>
    <phoneticPr fontId="1"/>
  </si>
  <si>
    <t>【ボタン表示制御】</t>
    <rPh sb="4" eb="6">
      <t>ヒョウジ</t>
    </rPh>
    <rPh sb="6" eb="8">
      <t>セイギョ</t>
    </rPh>
    <phoneticPr fontId="1"/>
  </si>
  <si>
    <t>新規作成ボタン</t>
    <rPh sb="0" eb="2">
      <t>シンキ</t>
    </rPh>
    <rPh sb="2" eb="4">
      <t>サクセイ</t>
    </rPh>
    <phoneticPr fontId="1"/>
  </si>
  <si>
    <t>-</t>
    <phoneticPr fontId="1"/>
  </si>
  <si>
    <t>無効(2)</t>
    <rPh sb="0" eb="2">
      <t>ムコウ</t>
    </rPh>
    <phoneticPr fontId="1"/>
  </si>
  <si>
    <t>参照作成ボタン</t>
    <rPh sb="0" eb="2">
      <t>サンショウ</t>
    </rPh>
    <rPh sb="2" eb="4">
      <t>サクセイ</t>
    </rPh>
    <phoneticPr fontId="1"/>
  </si>
  <si>
    <t>無効(2)</t>
  </si>
  <si>
    <t>有効(1)</t>
  </si>
  <si>
    <t>削除ボタン</t>
    <rPh sb="0" eb="2">
      <t>サクジョ</t>
    </rPh>
    <phoneticPr fontId="1"/>
  </si>
  <si>
    <t>一時保存ボタン</t>
    <rPh sb="0" eb="2">
      <t>イチジ</t>
    </rPh>
    <rPh sb="2" eb="4">
      <t>ホゾン</t>
    </rPh>
    <phoneticPr fontId="1"/>
  </si>
  <si>
    <t>キャンセルボタン</t>
    <phoneticPr fontId="1"/>
  </si>
  <si>
    <t>行追加ボタン</t>
    <rPh sb="0" eb="1">
      <t>ギョウ</t>
    </rPh>
    <rPh sb="1" eb="3">
      <t>ツイカ</t>
    </rPh>
    <phoneticPr fontId="1"/>
  </si>
  <si>
    <t>行削除ボタン</t>
    <rPh sb="0" eb="3">
      <t>ギョウサクジョ</t>
    </rPh>
    <phoneticPr fontId="1"/>
  </si>
  <si>
    <t>前ページボタン</t>
    <rPh sb="0" eb="1">
      <t>マエ</t>
    </rPh>
    <phoneticPr fontId="1"/>
  </si>
  <si>
    <t>受注データ接続モードかつ現在ページ&gt;1の場合</t>
    <rPh sb="0" eb="2">
      <t>ジュチュウ</t>
    </rPh>
    <rPh sb="5" eb="7">
      <t>セツゾク</t>
    </rPh>
    <rPh sb="12" eb="14">
      <t>ゲンザイ</t>
    </rPh>
    <rPh sb="20" eb="22">
      <t>バアイ</t>
    </rPh>
    <phoneticPr fontId="1"/>
  </si>
  <si>
    <t>次ページボタン</t>
    <rPh sb="0" eb="1">
      <t>ツギ</t>
    </rPh>
    <phoneticPr fontId="1"/>
  </si>
  <si>
    <t>受注データ接続モードかつ現在ページ&lt;最大ページの場合</t>
    <rPh sb="0" eb="2">
      <t>ジュチュウ</t>
    </rPh>
    <rPh sb="5" eb="7">
      <t>セツゾク</t>
    </rPh>
    <rPh sb="12" eb="14">
      <t>ゲンザイ</t>
    </rPh>
    <rPh sb="18" eb="20">
      <t>サイダイ</t>
    </rPh>
    <rPh sb="24" eb="26">
      <t>バアイ</t>
    </rPh>
    <phoneticPr fontId="1"/>
  </si>
  <si>
    <t>一括登録ボタン</t>
    <rPh sb="0" eb="2">
      <t>イッカツ</t>
    </rPh>
    <rPh sb="2" eb="4">
      <t>トウロク</t>
    </rPh>
    <phoneticPr fontId="1"/>
  </si>
  <si>
    <t>-</t>
    <phoneticPr fontId="1"/>
  </si>
  <si>
    <t>Excel出力ボタン</t>
    <phoneticPr fontId="1"/>
  </si>
  <si>
    <t>【ボタンエラー判定】</t>
    <rPh sb="7" eb="9">
      <t>ハンテイ</t>
    </rPh>
    <phoneticPr fontId="1"/>
  </si>
  <si>
    <t>行削除</t>
    <rPh sb="0" eb="3">
      <t>ギョウサクジョ</t>
    </rPh>
    <phoneticPr fontId="1"/>
  </si>
  <si>
    <t>1:エラー</t>
  </si>
  <si>
    <t>0:OK</t>
  </si>
  <si>
    <t>【Excel保存】</t>
    <rPh sb="6" eb="8">
      <t>ホゾン</t>
    </rPh>
    <phoneticPr fontId="1"/>
  </si>
  <si>
    <t>Excel保存ファイル名</t>
    <rPh sb="5" eb="7">
      <t>ホゾン</t>
    </rPh>
    <rPh sb="11" eb="12">
      <t>メイ</t>
    </rPh>
    <phoneticPr fontId="1"/>
  </si>
  <si>
    <t>ユーザーID</t>
    <phoneticPr fontId="1"/>
  </si>
  <si>
    <t>シリアル</t>
    <phoneticPr fontId="1"/>
  </si>
  <si>
    <t>ページ</t>
    <phoneticPr fontId="1"/>
  </si>
  <si>
    <t>参照No.</t>
    <rPh sb="0" eb="2">
      <t>サンショウ</t>
    </rPh>
    <phoneticPr fontId="1"/>
  </si>
  <si>
    <t>ストアド用SQL</t>
    <rPh sb="4" eb="5">
      <t>ヨウ</t>
    </rPh>
    <phoneticPr fontId="1"/>
  </si>
  <si>
    <t>メイン</t>
  </si>
  <si>
    <t>SQL文</t>
    <rPh sb="3" eb="4">
      <t>ブン</t>
    </rPh>
    <phoneticPr fontId="1"/>
  </si>
  <si>
    <t>0:読込</t>
    <phoneticPr fontId="1"/>
  </si>
  <si>
    <t>1:新規保存</t>
    <phoneticPr fontId="1"/>
  </si>
  <si>
    <t>2:更新</t>
    <phoneticPr fontId="1"/>
  </si>
  <si>
    <t>3:削除</t>
    <phoneticPr fontId="1"/>
  </si>
  <si>
    <t>6:参照作成</t>
    <phoneticPr fontId="1"/>
  </si>
  <si>
    <t>99(ELSE):ワークテーブルクリア</t>
    <phoneticPr fontId="1"/>
  </si>
  <si>
    <t>ヘッダデータ取得用SQL</t>
    <rPh sb="6" eb="8">
      <t>シュトク</t>
    </rPh>
    <rPh sb="8" eb="9">
      <t>ヨウ</t>
    </rPh>
    <phoneticPr fontId="1"/>
  </si>
  <si>
    <t>SELECT</t>
    <phoneticPr fontId="1"/>
  </si>
  <si>
    <t>WHERE</t>
    <phoneticPr fontId="1"/>
  </si>
  <si>
    <t>ボディデータ取得用SQL</t>
    <rPh sb="6" eb="8">
      <t>シュトク</t>
    </rPh>
    <rPh sb="8" eb="9">
      <t>ヨウ</t>
    </rPh>
    <phoneticPr fontId="1"/>
  </si>
  <si>
    <t>テーブル更新用SQL</t>
    <rPh sb="4" eb="6">
      <t>コウシン</t>
    </rPh>
    <rPh sb="6" eb="7">
      <t>ヨウ</t>
    </rPh>
    <phoneticPr fontId="1"/>
  </si>
  <si>
    <t>MAXページ番号取得SQL</t>
    <rPh sb="6" eb="8">
      <t>バンゴウ</t>
    </rPh>
    <rPh sb="8" eb="10">
      <t>シュトク</t>
    </rPh>
    <phoneticPr fontId="1"/>
  </si>
  <si>
    <t>プルダウンデータ取得用SQL</t>
    <rPh sb="8" eb="10">
      <t>シュトク</t>
    </rPh>
    <rPh sb="10" eb="11">
      <t>ヨウ</t>
    </rPh>
    <phoneticPr fontId="1"/>
  </si>
  <si>
    <t>連動区分</t>
    <rPh sb="0" eb="2">
      <t>レンドウ</t>
    </rPh>
    <rPh sb="2" eb="4">
      <t>クブン</t>
    </rPh>
    <phoneticPr fontId="1"/>
  </si>
  <si>
    <t>初期値取得用SQL</t>
    <rPh sb="0" eb="3">
      <t>ショキチ</t>
    </rPh>
    <rPh sb="3" eb="5">
      <t>シュトク</t>
    </rPh>
    <rPh sb="5" eb="6">
      <t>ヨウ</t>
    </rPh>
    <phoneticPr fontId="1"/>
  </si>
  <si>
    <t>入力者</t>
    <rPh sb="0" eb="2">
      <t>ニュウリョク</t>
    </rPh>
    <rPh sb="2" eb="3">
      <t>シャ</t>
    </rPh>
    <phoneticPr fontId="1"/>
  </si>
  <si>
    <t xml:space="preserve">SELECT DATA_1
  FROM M_MEISHO_B
 WHERE M_MEISHO_B.MEISHO_KBN = 'K029'
   AND M_MEISHO_B.MEISHO_CD = 2
</t>
    <phoneticPr fontId="1"/>
  </si>
  <si>
    <t>その他</t>
    <rPh sb="2" eb="3">
      <t>タ</t>
    </rPh>
    <phoneticPr fontId="1"/>
  </si>
  <si>
    <t>UNKB0210_H</t>
    <phoneticPr fontId="1"/>
  </si>
  <si>
    <t>UNKB0210</t>
    <phoneticPr fontId="1"/>
  </si>
  <si>
    <t>UNKB0210_IF_MODE</t>
    <phoneticPr fontId="1"/>
  </si>
  <si>
    <t>購買区分</t>
  </si>
  <si>
    <t>商管連動区分▼</t>
    <rPh sb="0" eb="2">
      <t>ショウカン</t>
    </rPh>
    <rPh sb="2" eb="4">
      <t>レンドウ</t>
    </rPh>
    <rPh sb="4" eb="6">
      <t>クブン</t>
    </rPh>
    <phoneticPr fontId="1"/>
  </si>
  <si>
    <t>商管連動区分</t>
    <rPh sb="0" eb="2">
      <t>ショウカン</t>
    </rPh>
    <rPh sb="2" eb="4">
      <t>レンドウ</t>
    </rPh>
    <rPh sb="4" eb="6">
      <t>クブン</t>
    </rPh>
    <phoneticPr fontId="1"/>
  </si>
  <si>
    <t>UNKB0210_B_HIDE_COLUMN</t>
  </si>
  <si>
    <t>UNKB0210_B_GYO_COUNT</t>
  </si>
  <si>
    <t>UNKB0210_B_GYO_INCREMENT</t>
  </si>
  <si>
    <t>UNKB0210_B_GYO_DECREMENT</t>
  </si>
  <si>
    <t>UNKB0210_B_COPY_GYO_SUSHIKI</t>
  </si>
  <si>
    <t>UNKB0210_B_LIST_CLEAR_AREA</t>
  </si>
  <si>
    <t>UNKB0210_B_LIST_INSERT_AREA</t>
  </si>
  <si>
    <t>UNKB0210_B_LIST_DELETE_AREA</t>
  </si>
  <si>
    <t>UNKB0210_B_MULTI_SELECT_COPY_SAKI</t>
  </si>
  <si>
    <t>UNKB0210_H_HIDE_COLUMN</t>
  </si>
  <si>
    <t>UNKB0210_H_NYURYOKUSHA_CD</t>
  </si>
  <si>
    <t>UNKB0210_H_STS_CD</t>
  </si>
  <si>
    <t>UNKB0210_H_RENDO_KBN_CD</t>
  </si>
  <si>
    <t>UNKB0210_H_TAX_RATE</t>
  </si>
  <si>
    <t>UNKB0210_H_PAGE_TOTAL</t>
  </si>
  <si>
    <t>UNKB0210_H_PAGE_NO</t>
  </si>
  <si>
    <t>UNKB0210_H_PAGE_PREV</t>
  </si>
  <si>
    <t>UNKB0210_H_PAGE_NEXT</t>
  </si>
  <si>
    <t>UNKB0210_IF_MULTI_SELECT_LIST_GYO</t>
  </si>
  <si>
    <t>UNKB0210_IF_DATA_SEARCH_FLG</t>
  </si>
  <si>
    <t>UNKB0210_IF_SAVE_COPY_MOTO</t>
  </si>
  <si>
    <t>UNKB0210_IF_MULTI_SELECT_KENSU</t>
  </si>
  <si>
    <t>UNKB0210_IF_REF_NO</t>
  </si>
  <si>
    <t>UNKB0210_IF_W_USER_ID</t>
  </si>
  <si>
    <t>UNKB0210_IF_SAVE_JOGAI_GYO</t>
  </si>
  <si>
    <t>UNKB0210_IF_MULTI_SELECT_TENKAI_START</t>
  </si>
  <si>
    <t>UNKB0210_IF_COPY_H_SHINKI</t>
  </si>
  <si>
    <t>UNKB0210_IF_COPY_B_GYO_SUSHIKI</t>
  </si>
  <si>
    <t>UNKB0210_IF_W_SERIAL</t>
  </si>
  <si>
    <t>UNKB0210_IF</t>
  </si>
  <si>
    <t>UNKB0210_IF_MULTI_SELECT_TENKAI_KENSU</t>
  </si>
  <si>
    <t>UNKB0210_IF_MULTI_SELECT_FLG</t>
  </si>
  <si>
    <t>UNKB0210_IF_W_SERIAL_CREATE</t>
  </si>
  <si>
    <t>UNKB0210_IF_SAVE_COPY_START</t>
  </si>
  <si>
    <t>UNKB0210_IF_MULTI_SELECT_CHECK</t>
  </si>
  <si>
    <t>UNKB0210_IF_PAGE_SAVE_CHECK</t>
  </si>
  <si>
    <t>UNKB0210_IF_W_MODE</t>
  </si>
  <si>
    <t>UNKB0210_IF_MULTI_SELECT_GYO_INCREMENT</t>
  </si>
  <si>
    <t>UNKB0210_IF_SAVE_RENDO_CHECK</t>
  </si>
  <si>
    <t>UNKB0210_SAVE_BAT_FLG</t>
  </si>
  <si>
    <t>UNKB0210_H</t>
  </si>
  <si>
    <t>UNKB0210_SAVE_TEMP_FLG</t>
  </si>
  <si>
    <t>UNKB0210_IF_MULTI_SELECT_SHOSHIKI_COPY_SAKI</t>
  </si>
  <si>
    <t>UNKB0210_IF_MULTI_SELECT_GYO_SUSHIKI_COPY_SAKI</t>
  </si>
  <si>
    <t>UNKB0210_IF_MODE</t>
  </si>
  <si>
    <t>UNKB0210_IF_SAVE_COPY_SAKI</t>
  </si>
  <si>
    <t>UNKB0210_IF_MULTI_SELECT_SOSU_SUSHIKI_COPY_SAKI</t>
  </si>
  <si>
    <t>UNKB0210_IF_SAVE_KENSU</t>
  </si>
  <si>
    <t>UNKB0210_IF_PREVIOUS_ID</t>
  </si>
  <si>
    <t>UNKB0210_IF_MULTI_SELECT_COPY_MOTO</t>
  </si>
  <si>
    <t>UNKB0210_IF_COPY_B_MEISAI_SHUSEI</t>
  </si>
  <si>
    <t>UNKB0210_IF_COPY_H_SHUSEI</t>
  </si>
  <si>
    <t>UNKB0210_IF_INPUT_CHECK</t>
  </si>
  <si>
    <t>UNKB0210_IF_INPUT_ERROR_MESSAGE</t>
  </si>
  <si>
    <t>UNKB0210_IF_COPY_B_MEISAI_SANSHO</t>
  </si>
  <si>
    <t>UNKB0210_IF_ACTIVE_SHEET</t>
  </si>
  <si>
    <t>UNKB0210_IF_ACTIVE_ROW</t>
  </si>
  <si>
    <t>UNKB0210_IF_ACTIVE_COLUMN</t>
  </si>
  <si>
    <t>UNKB0210_IF_ACTIVE_CELL_NAME</t>
  </si>
  <si>
    <t>UNKB0210_IF_SAVE_RESULT_KENSU</t>
  </si>
  <si>
    <t>UNKB0210_IF_SAVE_RESULT_CD</t>
  </si>
  <si>
    <t>UNKB0210_IF_SAVE_RESULT_MESSAGE</t>
  </si>
  <si>
    <t>UNKB0210_IF_COPY_B_LIST_CLEAR</t>
  </si>
  <si>
    <t>UNKB0210_IF_SAVE_ERROR_CHECK</t>
  </si>
  <si>
    <t>UNKB0210_IF_COPY_H_SANSHO</t>
  </si>
  <si>
    <t>UNKB0210_IF_BUTTON_03_HYOJI</t>
  </si>
  <si>
    <t>UNKB0210_IF_SAVE_BAT_LOOP_CNT</t>
  </si>
  <si>
    <t>UNKB0210_IF_BUTTON_04_HYOJI</t>
  </si>
  <si>
    <t>UNKB0210_IF_BUTTON_06_HYOJI</t>
  </si>
  <si>
    <t>UNKB0210_IF_BUTTON_07_HYOJI</t>
  </si>
  <si>
    <t>UNKB0210_IF_BUTTON_08_HYOJI</t>
  </si>
  <si>
    <t>UNKB0210_IF_BUTTON_09_HYOJI</t>
  </si>
  <si>
    <t>UNKB0210_IF_BUTTON_10_HYOJI</t>
  </si>
  <si>
    <t>UNKB0210_IF_BUTTON_11_HYOJI</t>
  </si>
  <si>
    <t>UNKB0210_IF_BUTTON_12_HYOJI</t>
  </si>
  <si>
    <t>UNKB0210_IF_BUTTON_20_HYOJI</t>
  </si>
  <si>
    <t>UNKB0210_SQL_SERIAL</t>
  </si>
  <si>
    <t>UNKB0210_SQL_PAGE</t>
  </si>
  <si>
    <t>UNKB0210_SQL_REF_NO</t>
  </si>
  <si>
    <t>UNKB0210_SQL_PROC</t>
  </si>
  <si>
    <t>UNKB0210_SQL_PROC_SEARCH_AREA</t>
  </si>
  <si>
    <t>UNKB0210_SQL_SELECT_H</t>
  </si>
  <si>
    <t>UNKB0210_SQL_SELECT_B</t>
  </si>
  <si>
    <t>UNKB0210_SQL_SELECT_TABLE_UPDATE</t>
  </si>
  <si>
    <t>UNKB0210_SQL_SELECT_MAX_PAGE</t>
  </si>
  <si>
    <t>UNKB0210_SQL_INIT_NYURYOKUSHA</t>
  </si>
  <si>
    <t>UNKB0210_SQL_INIT_STS</t>
  </si>
  <si>
    <t>UNKB0210_SQL_INIT_RENDO_KBN</t>
  </si>
  <si>
    <t>UNKB0210_H_SHIIRESAKI_MEI</t>
    <phoneticPr fontId="1"/>
  </si>
  <si>
    <t>仕入先端数処理区分</t>
    <rPh sb="0" eb="2">
      <t>シイレ</t>
    </rPh>
    <rPh sb="2" eb="3">
      <t>サキ</t>
    </rPh>
    <rPh sb="3" eb="5">
      <t>ハスウ</t>
    </rPh>
    <rPh sb="5" eb="7">
      <t>ショリ</t>
    </rPh>
    <rPh sb="7" eb="9">
      <t>クブン</t>
    </rPh>
    <phoneticPr fontId="1"/>
  </si>
  <si>
    <t>UNKB0210_H_SHIIRESAKI_HASU</t>
    <phoneticPr fontId="1"/>
  </si>
  <si>
    <t>UNKB0210_H_SHOKAN_RENDO_DATE_TIME</t>
    <phoneticPr fontId="1"/>
  </si>
  <si>
    <t>メーカー名</t>
    <rPh sb="4" eb="5">
      <t>メイ</t>
    </rPh>
    <phoneticPr fontId="1"/>
  </si>
  <si>
    <t>UNKB0210_H_HIDE_ROW</t>
    <phoneticPr fontId="1"/>
  </si>
  <si>
    <t>UNKB0210_B_HIDE_ROW</t>
    <phoneticPr fontId="1"/>
  </si>
  <si>
    <t>UNKB0210_B_SCROLL_LOCK</t>
    <phoneticPr fontId="1"/>
  </si>
  <si>
    <t>UNKB0210_B_LIST_START</t>
    <phoneticPr fontId="1"/>
  </si>
  <si>
    <t>購買品CD展開位置</t>
    <rPh sb="0" eb="3">
      <t>コウバイヒン</t>
    </rPh>
    <rPh sb="5" eb="7">
      <t>テンカイ</t>
    </rPh>
    <rPh sb="7" eb="9">
      <t>イチ</t>
    </rPh>
    <phoneticPr fontId="1"/>
  </si>
  <si>
    <t>購買品名展開位置</t>
    <rPh sb="0" eb="3">
      <t>コウバイヒン</t>
    </rPh>
    <rPh sb="3" eb="4">
      <t>メイ</t>
    </rPh>
    <rPh sb="4" eb="6">
      <t>テンカイ</t>
    </rPh>
    <rPh sb="6" eb="8">
      <t>イチ</t>
    </rPh>
    <phoneticPr fontId="1"/>
  </si>
  <si>
    <t>UNKB0210_B_KOBAIHIN_CD_TENKAI</t>
    <phoneticPr fontId="1"/>
  </si>
  <si>
    <t>UNKB0210_B_KOBAIHIN_MEI_TENKAI</t>
    <phoneticPr fontId="1"/>
  </si>
  <si>
    <t>単価</t>
  </si>
  <si>
    <t>単価展開位置</t>
    <rPh sb="0" eb="2">
      <t>タンカ</t>
    </rPh>
    <rPh sb="2" eb="4">
      <t>テンカイ</t>
    </rPh>
    <rPh sb="4" eb="6">
      <t>イチ</t>
    </rPh>
    <phoneticPr fontId="1"/>
  </si>
  <si>
    <t>入数単位展開位置</t>
    <rPh sb="0" eb="1">
      <t>イリ</t>
    </rPh>
    <rPh sb="1" eb="2">
      <t>スウ</t>
    </rPh>
    <rPh sb="2" eb="4">
      <t>タンイ</t>
    </rPh>
    <rPh sb="4" eb="6">
      <t>テンカイ</t>
    </rPh>
    <rPh sb="6" eb="8">
      <t>イチ</t>
    </rPh>
    <phoneticPr fontId="1"/>
  </si>
  <si>
    <t>バラ単位展開位置</t>
    <rPh sb="2" eb="4">
      <t>タンイ</t>
    </rPh>
    <rPh sb="4" eb="6">
      <t>テンカイ</t>
    </rPh>
    <rPh sb="6" eb="8">
      <t>イチ</t>
    </rPh>
    <phoneticPr fontId="1"/>
  </si>
  <si>
    <t>メーカーCD展開位置</t>
    <rPh sb="6" eb="8">
      <t>テンカイ</t>
    </rPh>
    <rPh sb="8" eb="10">
      <t>イチ</t>
    </rPh>
    <phoneticPr fontId="1"/>
  </si>
  <si>
    <t>メーカー名展開位置</t>
    <rPh sb="4" eb="5">
      <t>メイ</t>
    </rPh>
    <rPh sb="5" eb="7">
      <t>テンカイ</t>
    </rPh>
    <rPh sb="7" eb="9">
      <t>イチ</t>
    </rPh>
    <phoneticPr fontId="1"/>
  </si>
  <si>
    <t>予算コード展開位置</t>
    <rPh sb="0" eb="2">
      <t>ヨサン</t>
    </rPh>
    <rPh sb="5" eb="7">
      <t>テンカイ</t>
    </rPh>
    <rPh sb="7" eb="9">
      <t>イチ</t>
    </rPh>
    <phoneticPr fontId="1"/>
  </si>
  <si>
    <t>予算名展開位置</t>
    <rPh sb="0" eb="2">
      <t>ヨサン</t>
    </rPh>
    <rPh sb="2" eb="3">
      <t>メイ</t>
    </rPh>
    <rPh sb="3" eb="5">
      <t>テンカイ</t>
    </rPh>
    <rPh sb="5" eb="7">
      <t>イチ</t>
    </rPh>
    <phoneticPr fontId="1"/>
  </si>
  <si>
    <t>受理No.展開位置</t>
    <rPh sb="0" eb="2">
      <t>ジュリ</t>
    </rPh>
    <rPh sb="5" eb="7">
      <t>テンカイ</t>
    </rPh>
    <rPh sb="7" eb="9">
      <t>イチ</t>
    </rPh>
    <phoneticPr fontId="1"/>
  </si>
  <si>
    <t>UNKB0210_B_TANKA_TENKAI</t>
    <phoneticPr fontId="1"/>
  </si>
  <si>
    <t>UNKB0210_B_IRISU_TENKAI</t>
    <phoneticPr fontId="1"/>
  </si>
  <si>
    <t>入数展開位置</t>
    <rPh sb="0" eb="1">
      <t>イリ</t>
    </rPh>
    <rPh sb="1" eb="2">
      <t>スウ</t>
    </rPh>
    <rPh sb="2" eb="4">
      <t>テンカイ</t>
    </rPh>
    <rPh sb="4" eb="6">
      <t>イチ</t>
    </rPh>
    <phoneticPr fontId="1"/>
  </si>
  <si>
    <t>UNKB0210_B_IRISU_TANI_TENKAI</t>
    <phoneticPr fontId="1"/>
  </si>
  <si>
    <t>UNKB0210_B_BARA_TANI_TENKAI</t>
    <phoneticPr fontId="1"/>
  </si>
  <si>
    <t>UNKB0210_B_MAKER_CD_TENKAI</t>
    <phoneticPr fontId="1"/>
  </si>
  <si>
    <t>UNKB0210_B_MAKER_MEI_TENKAI</t>
    <phoneticPr fontId="1"/>
  </si>
  <si>
    <t>UNKB0210_B_YOSAN_CD_TENKAI</t>
    <phoneticPr fontId="1"/>
  </si>
  <si>
    <t>UNKB0210_B_YOSAN_MEI_TENKAI</t>
    <phoneticPr fontId="1"/>
  </si>
  <si>
    <t>UNKB0210_B_JURI_NO_TENKAI</t>
    <phoneticPr fontId="1"/>
  </si>
  <si>
    <t>合計金額数式コピー先</t>
    <rPh sb="0" eb="2">
      <t>ゴウケイ</t>
    </rPh>
    <rPh sb="2" eb="4">
      <t>キンガク</t>
    </rPh>
    <rPh sb="4" eb="6">
      <t>スウシキ</t>
    </rPh>
    <rPh sb="9" eb="10">
      <t>サキ</t>
    </rPh>
    <phoneticPr fontId="1"/>
  </si>
  <si>
    <t>メーカー名数式コピー先</t>
    <rPh sb="4" eb="5">
      <t>メイ</t>
    </rPh>
    <rPh sb="5" eb="7">
      <t>スウシキ</t>
    </rPh>
    <rPh sb="10" eb="11">
      <t>サキ</t>
    </rPh>
    <phoneticPr fontId="1"/>
  </si>
  <si>
    <t>UNKB0210_B_SOSU_SUSHIKI</t>
    <phoneticPr fontId="1"/>
  </si>
  <si>
    <t>対象仕入No.</t>
    <rPh sb="0" eb="2">
      <t>タイショウ</t>
    </rPh>
    <rPh sb="2" eb="4">
      <t>シイ</t>
    </rPh>
    <phoneticPr fontId="1"/>
  </si>
  <si>
    <t>購買データ接続モード</t>
    <rPh sb="0" eb="2">
      <t>コウバイ</t>
    </rPh>
    <rPh sb="5" eb="7">
      <t>セツゾク</t>
    </rPh>
    <phoneticPr fontId="1"/>
  </si>
  <si>
    <t>UNKB0210_IF_KOBAI_MODE</t>
    <phoneticPr fontId="1"/>
  </si>
  <si>
    <t>支払日取得判定</t>
    <rPh sb="0" eb="3">
      <t>シハライビ</t>
    </rPh>
    <rPh sb="3" eb="5">
      <t>シュトク</t>
    </rPh>
    <rPh sb="5" eb="7">
      <t>ハンテイ</t>
    </rPh>
    <phoneticPr fontId="1"/>
  </si>
  <si>
    <t>支払先/仕入日がない場合、無効(2)</t>
    <rPh sb="0" eb="2">
      <t>シハライ</t>
    </rPh>
    <rPh sb="2" eb="3">
      <t>サキ</t>
    </rPh>
    <rPh sb="4" eb="6">
      <t>シイレ</t>
    </rPh>
    <rPh sb="6" eb="7">
      <t>ビ</t>
    </rPh>
    <rPh sb="10" eb="12">
      <t>バアイ</t>
    </rPh>
    <rPh sb="13" eb="15">
      <t>ムコウ</t>
    </rPh>
    <phoneticPr fontId="1"/>
  </si>
  <si>
    <t>UNKB0210_IF_BUTTON_06_NAME</t>
    <phoneticPr fontId="1"/>
  </si>
  <si>
    <t>UNKB0210_IF_BUTTON_10_NAME</t>
    <phoneticPr fontId="1"/>
  </si>
  <si>
    <t>UNKB0210_IF_BUTTON_12_ERROR</t>
    <phoneticPr fontId="1"/>
  </si>
  <si>
    <t>UNKB0210_IF_EXCEL_FILE_NAME</t>
    <phoneticPr fontId="1"/>
  </si>
  <si>
    <t>UNKB0210_IF_LIST_KOBAI_KBN</t>
    <phoneticPr fontId="1"/>
  </si>
  <si>
    <t>UNKB0210_IF_LIST_RENDO_KBN</t>
    <phoneticPr fontId="1"/>
  </si>
  <si>
    <t>「=OFFSET(UNKB0210_IF_LIST_KOBAI_KBN_START,,,IF(UNKB0210_IF_LIST_KOBAI_KBN_KENSU=0,1,UNKB0210_IF_LIST_KOBAI_KBN_KENSU),1)」</t>
    <phoneticPr fontId="1"/>
  </si>
  <si>
    <t>「=OFFSET(UNKB0210_IF_LIST_RENDO_KBN_START,,,IF(UNKB0210_IF_LIST_RENDO_KBN_KENSU=0,1,UNKB0210_IF_LIST_RENDO_KBN_KENSU),1)」</t>
    <phoneticPr fontId="1"/>
  </si>
  <si>
    <t>商管連動区分CD</t>
    <rPh sb="0" eb="2">
      <t>ショウカン</t>
    </rPh>
    <rPh sb="2" eb="4">
      <t>レンドウ</t>
    </rPh>
    <rPh sb="4" eb="6">
      <t>クブン</t>
    </rPh>
    <phoneticPr fontId="1"/>
  </si>
  <si>
    <t>購買区分CD</t>
    <rPh sb="0" eb="2">
      <t>コウバイ</t>
    </rPh>
    <rPh sb="2" eb="4">
      <t>クブン</t>
    </rPh>
    <phoneticPr fontId="1"/>
  </si>
  <si>
    <t>UNKB0210_H_KOBAI_KBN_CD</t>
    <phoneticPr fontId="1"/>
  </si>
  <si>
    <t>UNKB0210_IF_COPY_B_SOSU_SUSHIKI</t>
    <phoneticPr fontId="1"/>
  </si>
  <si>
    <t>UNKB0210_IF_COPY_B_TOTAL_SUSHIKI</t>
    <phoneticPr fontId="1"/>
  </si>
  <si>
    <t>UNKB0210_IF_SAVE_ERROR_MESSAGE</t>
    <phoneticPr fontId="1"/>
  </si>
  <si>
    <t>UNKB0210_IF_SAVE_BAT_KOBAI_NO</t>
    <phoneticPr fontId="1"/>
  </si>
  <si>
    <t>対象購買No.</t>
    <rPh sb="0" eb="2">
      <t>タイショウ</t>
    </rPh>
    <rPh sb="2" eb="4">
      <t>コウバイ</t>
    </rPh>
    <phoneticPr fontId="1"/>
  </si>
  <si>
    <t>UNKB0210_IF_SAVE_CHECK_RESULT</t>
    <phoneticPr fontId="1"/>
  </si>
  <si>
    <t>UNKB0210_IF_SAVE_CHECK_ERROR_KOMOKU</t>
    <phoneticPr fontId="1"/>
  </si>
  <si>
    <t>UNKB0210_IF_MULTI_SELECT_LIST_SOSU</t>
    <phoneticPr fontId="1"/>
  </si>
  <si>
    <t>UNKB0210_IF_MULTI_SELECT_LIST_TOTAL</t>
    <phoneticPr fontId="1"/>
  </si>
  <si>
    <t>ユーザーID</t>
  </si>
  <si>
    <t>ページ番号</t>
  </si>
  <si>
    <t>仕入No.</t>
  </si>
  <si>
    <t>仕入日</t>
  </si>
  <si>
    <t>仕入入力者CD</t>
  </si>
  <si>
    <t>支払予定日</t>
  </si>
  <si>
    <t>仕入ステータス</t>
  </si>
  <si>
    <t>仕入先CD</t>
  </si>
  <si>
    <t>商管伝票No.</t>
  </si>
  <si>
    <t>購買品CD</t>
  </si>
  <si>
    <t>購買品名</t>
  </si>
  <si>
    <t>入数</t>
  </si>
  <si>
    <t>数量</t>
  </si>
  <si>
    <t>注文総数</t>
  </si>
  <si>
    <t>合計金額</t>
  </si>
  <si>
    <t>メーカーCD</t>
  </si>
  <si>
    <t>予算コード</t>
  </si>
  <si>
    <t>受理No.</t>
  </si>
  <si>
    <t>備考</t>
  </si>
  <si>
    <t>購買申請No.</t>
  </si>
  <si>
    <t>購買申請SEQ</t>
  </si>
  <si>
    <t>SHIIRE_NO</t>
  </si>
  <si>
    <t>SHIIRE_DATE</t>
  </si>
  <si>
    <t>KOBAI_KBN</t>
  </si>
  <si>
    <t>SHIIRE_NYURYOKUSHA_CD</t>
  </si>
  <si>
    <t>SHIHARAI_DATE</t>
  </si>
  <si>
    <t>SHIIRE_STS</t>
  </si>
  <si>
    <t>SHIIRE_CD</t>
  </si>
  <si>
    <t>SHOKAN_NO</t>
  </si>
  <si>
    <t>SHIIRE_LINK_DATETIME</t>
  </si>
  <si>
    <t>KOBAIHIN_CD</t>
  </si>
  <si>
    <t>KOBAIHIN_MEI</t>
  </si>
  <si>
    <t>TANKA</t>
  </si>
  <si>
    <t>IRISU</t>
  </si>
  <si>
    <t>SURYO</t>
  </si>
  <si>
    <t>TOTAL</t>
  </si>
  <si>
    <t>MAKER_CD</t>
  </si>
  <si>
    <t>YOSAN_CD</t>
  </si>
  <si>
    <t>BIKO</t>
  </si>
  <si>
    <t>KOBAI_NO</t>
  </si>
  <si>
    <t>KOBAI_SEQ</t>
  </si>
  <si>
    <t>参照元購買申請SEQ</t>
    <phoneticPr fontId="1"/>
  </si>
  <si>
    <t>UNKB0210_SQL_USER_ID</t>
    <phoneticPr fontId="1"/>
  </si>
  <si>
    <t>UNKB0210_SQL_LIST_KOBAI_KBN</t>
    <phoneticPr fontId="1"/>
  </si>
  <si>
    <t>UNKB0210_SQL_LIST_RENDO_KBN</t>
    <phoneticPr fontId="1"/>
  </si>
  <si>
    <t>支払日セット</t>
    <rPh sb="0" eb="2">
      <t>シハラ</t>
    </rPh>
    <rPh sb="2" eb="3">
      <t>ビ</t>
    </rPh>
    <phoneticPr fontId="1"/>
  </si>
  <si>
    <t>UNKB0210_SQL_SHIHARAI_DATE</t>
    <phoneticPr fontId="1"/>
  </si>
  <si>
    <t>UNKB0210_IF_COPY_H_SHIIRE_DATE</t>
    <phoneticPr fontId="1"/>
  </si>
  <si>
    <t>購買品</t>
    <rPh sb="0" eb="3">
      <t>コウバイヒン</t>
    </rPh>
    <phoneticPr fontId="1"/>
  </si>
  <si>
    <t>外注手配</t>
    <phoneticPr fontId="1"/>
  </si>
  <si>
    <t>支払締月</t>
    <rPh sb="0" eb="2">
      <t>シハラ</t>
    </rPh>
    <rPh sb="2" eb="3">
      <t>シ</t>
    </rPh>
    <rPh sb="3" eb="4">
      <t>ツキ</t>
    </rPh>
    <phoneticPr fontId="1"/>
  </si>
  <si>
    <t>支払日</t>
    <rPh sb="0" eb="2">
      <t>シハラ</t>
    </rPh>
    <rPh sb="2" eb="3">
      <t>ヒ</t>
    </rPh>
    <phoneticPr fontId="1"/>
  </si>
  <si>
    <t>UNKB0210_SQL_SHIHARAI_MONTH</t>
    <phoneticPr fontId="1"/>
  </si>
  <si>
    <t>UNKB0210_SQL_SHIHARAI_DAY</t>
    <phoneticPr fontId="1"/>
  </si>
  <si>
    <t>仕入日</t>
    <rPh sb="0" eb="2">
      <t>シイ</t>
    </rPh>
    <rPh sb="2" eb="3">
      <t>ヒ</t>
    </rPh>
    <phoneticPr fontId="1"/>
  </si>
  <si>
    <t>UNKB0210_SQL_SHIIRE_DATE</t>
    <phoneticPr fontId="1"/>
  </si>
  <si>
    <t>コピー元書式名</t>
    <rPh sb="3" eb="4">
      <t>モト</t>
    </rPh>
    <rPh sb="4" eb="6">
      <t>ショシキ</t>
    </rPh>
    <rPh sb="6" eb="7">
      <t>メイ</t>
    </rPh>
    <phoneticPr fontId="1"/>
  </si>
  <si>
    <t>コピー元範囲</t>
    <rPh sb="3" eb="4">
      <t>モト</t>
    </rPh>
    <rPh sb="4" eb="6">
      <t>ハンイ</t>
    </rPh>
    <phoneticPr fontId="1"/>
  </si>
  <si>
    <t>コピー先範囲</t>
    <rPh sb="3" eb="4">
      <t>サキ</t>
    </rPh>
    <rPh sb="4" eb="6">
      <t>ハンイ</t>
    </rPh>
    <phoneticPr fontId="1"/>
  </si>
  <si>
    <t>UNKB0210_B_COPY_MOTO_NAME</t>
    <phoneticPr fontId="1"/>
  </si>
  <si>
    <t>UNKB0210_B_COPY_MOTO_AREA</t>
    <phoneticPr fontId="1"/>
  </si>
  <si>
    <t>UNKB0210_B_COPY_SAKI_AREA</t>
    <phoneticPr fontId="1"/>
  </si>
  <si>
    <t>ユーザーID</t>
    <phoneticPr fontId="1"/>
  </si>
  <si>
    <t>シリアル</t>
    <phoneticPr fontId="1"/>
  </si>
  <si>
    <t>行番号</t>
    <rPh sb="0" eb="1">
      <t>ギョウ</t>
    </rPh>
    <rPh sb="1" eb="3">
      <t>バンゴウ</t>
    </rPh>
    <phoneticPr fontId="1"/>
  </si>
  <si>
    <t>購買申請SEQ</t>
    <rPh sb="0" eb="2">
      <t>コウバイ</t>
    </rPh>
    <rPh sb="2" eb="4">
      <t>シンセイ</t>
    </rPh>
    <phoneticPr fontId="1"/>
  </si>
  <si>
    <t>購買区分CD</t>
    <rPh sb="0" eb="2">
      <t>コウバイ</t>
    </rPh>
    <rPh sb="2" eb="4">
      <t>クブン</t>
    </rPh>
    <phoneticPr fontId="1"/>
  </si>
  <si>
    <t>購買ステータスCD</t>
    <rPh sb="0" eb="2">
      <t>コウバイ</t>
    </rPh>
    <phoneticPr fontId="1"/>
  </si>
  <si>
    <t>予算名</t>
    <rPh sb="0" eb="2">
      <t>ヨサン</t>
    </rPh>
    <rPh sb="2" eb="3">
      <t>メイ</t>
    </rPh>
    <phoneticPr fontId="1"/>
  </si>
  <si>
    <t>申請者CD</t>
    <rPh sb="0" eb="3">
      <t>シンセイシャ</t>
    </rPh>
    <phoneticPr fontId="1"/>
  </si>
  <si>
    <t>仕入未計上フラグ</t>
    <rPh sb="0" eb="2">
      <t>シイ</t>
    </rPh>
    <rPh sb="2" eb="3">
      <t>ミ</t>
    </rPh>
    <rPh sb="3" eb="5">
      <t>ケイジョウ</t>
    </rPh>
    <phoneticPr fontId="1"/>
  </si>
  <si>
    <t>フリーワード検索用</t>
    <rPh sb="6" eb="8">
      <t>ケンサク</t>
    </rPh>
    <rPh sb="8" eb="9">
      <t>ヨウ</t>
    </rPh>
    <phoneticPr fontId="1"/>
  </si>
  <si>
    <t>4:購買データ検索接続</t>
    <rPh sb="2" eb="4">
      <t>コウバイ</t>
    </rPh>
    <phoneticPr fontId="1"/>
  </si>
  <si>
    <t>5:購買接続一括保存</t>
    <rPh sb="2" eb="4">
      <t>コウバイ</t>
    </rPh>
    <phoneticPr fontId="1"/>
  </si>
  <si>
    <t>UNKB0210_IF_BUTTON_17_HYOJI</t>
    <phoneticPr fontId="1"/>
  </si>
  <si>
    <t>UNKB0210_IF_BUTTON_16_HYOJI</t>
    <phoneticPr fontId="1"/>
  </si>
  <si>
    <t>UNKB0210_IF_BUTTON_15_HYOJI</t>
    <phoneticPr fontId="1"/>
  </si>
  <si>
    <t>UNKB_COMMON_SQL_SELECT_TAX_RATE</t>
    <phoneticPr fontId="1"/>
  </si>
  <si>
    <t>UNKB_COMMON_SQL_SELECT_CTRL_HYOJI_GYO_SU</t>
    <phoneticPr fontId="1"/>
  </si>
  <si>
    <t>UNKB_COMMON_SQL_SHAIN_SEARCH</t>
    <phoneticPr fontId="1"/>
  </si>
  <si>
    <t>UNKB_COMMON_SQL_SHIIRESAKI_SEARCH</t>
    <phoneticPr fontId="1"/>
  </si>
  <si>
    <t>UNKB_COMMON_SQL_KOBAI_NO_SEARCH</t>
    <phoneticPr fontId="1"/>
  </si>
  <si>
    <t>UNKB_COMMON_SQL_IRAI_NO_SEARCH</t>
    <phoneticPr fontId="1"/>
  </si>
  <si>
    <t>仕入ステータス取得用SQL</t>
    <rPh sb="0" eb="2">
      <t>シイ</t>
    </rPh>
    <rPh sb="7" eb="9">
      <t>シュトク</t>
    </rPh>
    <rPh sb="9" eb="10">
      <t>ヨウ</t>
    </rPh>
    <phoneticPr fontId="1"/>
  </si>
  <si>
    <t>未使用</t>
    <rPh sb="0" eb="3">
      <t>ミシヨウ</t>
    </rPh>
    <phoneticPr fontId="1"/>
  </si>
  <si>
    <t>UNKB0210_IF_GET_SHIHARAI_DATE_CHECK</t>
    <phoneticPr fontId="1"/>
  </si>
  <si>
    <t>UNKB_COMMON_SQL_SHIIRE_STS_SEARCH</t>
    <phoneticPr fontId="1"/>
  </si>
  <si>
    <t>POPUP</t>
    <phoneticPr fontId="1"/>
  </si>
  <si>
    <t>SELECT</t>
    <phoneticPr fontId="1"/>
  </si>
  <si>
    <t>共通WHERE句</t>
    <rPh sb="0" eb="2">
      <t>キョウツウ</t>
    </rPh>
    <rPh sb="7" eb="8">
      <t>ク</t>
    </rPh>
    <phoneticPr fontId="1"/>
  </si>
  <si>
    <t>条件(購買品)</t>
    <rPh sb="0" eb="2">
      <t>ジョウケン</t>
    </rPh>
    <rPh sb="3" eb="6">
      <t>コウバイヒン</t>
    </rPh>
    <phoneticPr fontId="1"/>
  </si>
  <si>
    <t>条件(外注手配)</t>
    <phoneticPr fontId="1"/>
  </si>
  <si>
    <t>条件(修繕・定期点検)</t>
    <phoneticPr fontId="1"/>
  </si>
  <si>
    <t>条件(投資)</t>
    <phoneticPr fontId="1"/>
  </si>
  <si>
    <t>条件(販売商品)</t>
    <phoneticPr fontId="1"/>
  </si>
  <si>
    <t>共通ORDER句</t>
    <rPh sb="0" eb="2">
      <t>キョウツウ</t>
    </rPh>
    <rPh sb="7" eb="8">
      <t>ク</t>
    </rPh>
    <phoneticPr fontId="1"/>
  </si>
  <si>
    <t xml:space="preserve"> ORDER BY SHOHIN_CD ASC</t>
    <phoneticPr fontId="1"/>
  </si>
  <si>
    <t>購買品選択</t>
    <rPh sb="0" eb="3">
      <t>コウバイヒン</t>
    </rPh>
    <rPh sb="3" eb="5">
      <t>センタク</t>
    </rPh>
    <phoneticPr fontId="1"/>
  </si>
  <si>
    <t>UNKB0210_SQL_KOBAIHIN_SEARCH</t>
  </si>
  <si>
    <t>条件(仕入先)</t>
    <rPh sb="3" eb="5">
      <t>シイレ</t>
    </rPh>
    <rPh sb="5" eb="6">
      <t>サキ</t>
    </rPh>
    <phoneticPr fontId="1"/>
  </si>
  <si>
    <t>-</t>
    <phoneticPr fontId="1"/>
  </si>
  <si>
    <t>購買品複数選択</t>
    <rPh sb="0" eb="3">
      <t>コウバイヒン</t>
    </rPh>
    <rPh sb="3" eb="5">
      <t>フクスウ</t>
    </rPh>
    <rPh sb="5" eb="7">
      <t>センタク</t>
    </rPh>
    <phoneticPr fontId="1"/>
  </si>
  <si>
    <t>UNKB0210_SQL_MULTI_SELECT</t>
    <phoneticPr fontId="1"/>
  </si>
  <si>
    <t>UNKB0210_IF_COPY_B_MAKER_MEI_SUSHIKI</t>
    <phoneticPr fontId="1"/>
  </si>
  <si>
    <t>UNKB0210_IF_MULTI_SELECT_MAKER_MEI_SUSHIKI_COPY_SAKI</t>
    <phoneticPr fontId="1"/>
  </si>
  <si>
    <t>UNKB0210_IF_MULTI_SELECT_TOTAL_SUSHIKI_COPY_SAKI</t>
    <phoneticPr fontId="1"/>
  </si>
  <si>
    <t>UNKB0210_IF_MULTI_SELECT_LIST_MAKER_MEI</t>
    <phoneticPr fontId="1"/>
  </si>
  <si>
    <t xml:space="preserve">SELECT ISNULL(MAX(W_SHIIRE.W_PAGE),0) AS MAX_PAGE
  FROM W_SHIIRE
</t>
    <phoneticPr fontId="1"/>
  </si>
  <si>
    <t>商管連動日時</t>
    <rPh sb="0" eb="2">
      <t>ショウカン</t>
    </rPh>
    <rPh sb="2" eb="4">
      <t>レンドウ</t>
    </rPh>
    <rPh sb="4" eb="6">
      <t>ニチジ</t>
    </rPh>
    <phoneticPr fontId="1"/>
  </si>
  <si>
    <t>UNKB0210_B_TOTAL_SUSHIKI</t>
    <phoneticPr fontId="1"/>
  </si>
  <si>
    <t>UNKB0210_B_MAKER_MEI_SUSHIKI</t>
    <phoneticPr fontId="1"/>
  </si>
  <si>
    <t>UNKB0210_IF_SAVE_RESULT_SHIIRE_NO</t>
    <phoneticPr fontId="1"/>
  </si>
  <si>
    <t>【保護設定】</t>
    <rPh sb="1" eb="3">
      <t>ホゴ</t>
    </rPh>
    <rPh sb="3" eb="5">
      <t>セッテイ</t>
    </rPh>
    <phoneticPr fontId="1"/>
  </si>
  <si>
    <t>ステータス</t>
    <phoneticPr fontId="1"/>
  </si>
  <si>
    <t>UNKB0210_IF_COPY_STS_LOCK</t>
    <phoneticPr fontId="1"/>
  </si>
  <si>
    <t>ステータス保護判定</t>
    <rPh sb="5" eb="7">
      <t>ホゴ</t>
    </rPh>
    <rPh sb="7" eb="9">
      <t>ハンテイ</t>
    </rPh>
    <phoneticPr fontId="1"/>
  </si>
  <si>
    <t>UNKB0210_IF_COPY_STS_LOCK_CHECK</t>
    <phoneticPr fontId="1"/>
  </si>
  <si>
    <t>商管No.がある場合、保護</t>
    <rPh sb="0" eb="1">
      <t>ショウ</t>
    </rPh>
    <rPh sb="1" eb="2">
      <t>カン</t>
    </rPh>
    <rPh sb="8" eb="10">
      <t>バアイ</t>
    </rPh>
    <rPh sb="11" eb="13">
      <t>ホゴ</t>
    </rPh>
    <phoneticPr fontId="1"/>
  </si>
  <si>
    <t xml:space="preserve">SELECT *
  FROM W_SHIIRE
</t>
    <phoneticPr fontId="1"/>
  </si>
  <si>
    <t>UNKB_COMMON_CHANGE_CHECK</t>
    <phoneticPr fontId="1"/>
  </si>
  <si>
    <t>UNKB_COMMON_ACTIVE_SHEET_NAME</t>
    <phoneticPr fontId="1"/>
  </si>
  <si>
    <t>UNKB_COMMON_CHANGE_CHECK_AREA</t>
    <phoneticPr fontId="1"/>
  </si>
  <si>
    <t>UNKB0210_IF_COPY_B_MEISAI_SHINKI</t>
    <phoneticPr fontId="1"/>
  </si>
  <si>
    <t>仕入入力</t>
  </si>
  <si>
    <t>【参照モード】</t>
  </si>
  <si>
    <t/>
  </si>
  <si>
    <t>仕入日▼</t>
  </si>
  <si>
    <t>購買区分▼</t>
  </si>
  <si>
    <t>支払予定日▼</t>
  </si>
  <si>
    <t>仕入No.：</t>
  </si>
  <si>
    <t>仕入入力者名▼</t>
  </si>
  <si>
    <t>ステータス▼</t>
  </si>
  <si>
    <t>商管伝票No.：</t>
  </si>
  <si>
    <t>仕入先▼</t>
  </si>
  <si>
    <t>注記：</t>
  </si>
  <si>
    <t>行</t>
  </si>
  <si>
    <t>総数</t>
  </si>
  <si>
    <t>メーカー名</t>
  </si>
  <si>
    <t>参照元購買申請No.</t>
  </si>
  <si>
    <t>非表示行指定</t>
    <rPh sb="0" eb="3">
      <t>ヒヒョウジ</t>
    </rPh>
    <rPh sb="3" eb="4">
      <t>ギョウ</t>
    </rPh>
    <rPh sb="4" eb="6">
      <t>シテイ</t>
    </rPh>
    <phoneticPr fontId="1"/>
  </si>
  <si>
    <t>非表示列指定</t>
    <rPh sb="0" eb="3">
      <t>ヒヒョウジ</t>
    </rPh>
    <rPh sb="3" eb="4">
      <t>レツ</t>
    </rPh>
    <rPh sb="4" eb="6">
      <t>シテイ</t>
    </rPh>
    <phoneticPr fontId="1"/>
  </si>
  <si>
    <t>その他設定項目</t>
    <rPh sb="2" eb="3">
      <t>タ</t>
    </rPh>
    <rPh sb="3" eb="7">
      <t>セッテイコウモク</t>
    </rPh>
    <phoneticPr fontId="1"/>
  </si>
  <si>
    <t>セル名</t>
    <phoneticPr fontId="1"/>
  </si>
  <si>
    <t>設定値</t>
    <rPh sb="0" eb="3">
      <t>セッテイチ</t>
    </rPh>
    <phoneticPr fontId="1"/>
  </si>
  <si>
    <t>修繕定期点検</t>
    <rPh sb="0" eb="2">
      <t>シュウゼン</t>
    </rPh>
    <rPh sb="2" eb="4">
      <t>テイキ</t>
    </rPh>
    <rPh sb="4" eb="6">
      <t>テンケン</t>
    </rPh>
    <phoneticPr fontId="1"/>
  </si>
  <si>
    <t>注文書発行済</t>
    <rPh sb="0" eb="3">
      <t>チュウモンショ</t>
    </rPh>
    <rPh sb="3" eb="5">
      <t>ハッコウ</t>
    </rPh>
    <rPh sb="5" eb="6">
      <t>ス</t>
    </rPh>
    <phoneticPr fontId="1"/>
  </si>
  <si>
    <t>検収済</t>
    <rPh sb="0" eb="2">
      <t>ケンシュウ</t>
    </rPh>
    <rPh sb="2" eb="3">
      <t>ズ</t>
    </rPh>
    <phoneticPr fontId="1"/>
  </si>
  <si>
    <t>申請者CD</t>
    <rPh sb="0" eb="2">
      <t>シンセイ</t>
    </rPh>
    <rPh sb="2" eb="3">
      <t>シャ</t>
    </rPh>
    <phoneticPr fontId="1"/>
  </si>
  <si>
    <t>-</t>
    <phoneticPr fontId="1"/>
  </si>
  <si>
    <t>購買品名</t>
    <rPh sb="0" eb="2">
      <t>コウバイ</t>
    </rPh>
    <rPh sb="2" eb="4">
      <t>ヒンメイ</t>
    </rPh>
    <phoneticPr fontId="1"/>
  </si>
  <si>
    <t>フリーワード区分</t>
    <rPh sb="6" eb="8">
      <t>クブン</t>
    </rPh>
    <phoneticPr fontId="1"/>
  </si>
  <si>
    <t>※検索ボタン押すと条件が保持される</t>
    <rPh sb="1" eb="3">
      <t>ケンサク</t>
    </rPh>
    <rPh sb="6" eb="7">
      <t>オ</t>
    </rPh>
    <rPh sb="9" eb="11">
      <t>ジョウケン</t>
    </rPh>
    <rPh sb="12" eb="14">
      <t>ホジ</t>
    </rPh>
    <phoneticPr fontId="1"/>
  </si>
  <si>
    <t>検索条件</t>
    <rPh sb="0" eb="4">
      <t>ケンサクジョウケン</t>
    </rPh>
    <phoneticPr fontId="1"/>
  </si>
  <si>
    <t>保存値セルのセル名</t>
    <rPh sb="0" eb="2">
      <t>ホゾン</t>
    </rPh>
    <rPh sb="2" eb="3">
      <t>チ</t>
    </rPh>
    <rPh sb="8" eb="9">
      <t>メイ</t>
    </rPh>
    <phoneticPr fontId="1"/>
  </si>
  <si>
    <t>保存値</t>
    <rPh sb="0" eb="2">
      <t>ホゾン</t>
    </rPh>
    <rPh sb="2" eb="3">
      <t>チ</t>
    </rPh>
    <phoneticPr fontId="1"/>
  </si>
  <si>
    <t>受入日・スタート</t>
    <rPh sb="0" eb="3">
      <t>ウケイレビ</t>
    </rPh>
    <phoneticPr fontId="1"/>
  </si>
  <si>
    <t>受入日・エンド</t>
    <rPh sb="0" eb="3">
      <t>ウケイレビ</t>
    </rPh>
    <phoneticPr fontId="1"/>
  </si>
  <si>
    <t>検収日・スタート</t>
    <rPh sb="0" eb="2">
      <t>ケンシュウ</t>
    </rPh>
    <rPh sb="2" eb="3">
      <t>ビ</t>
    </rPh>
    <phoneticPr fontId="1"/>
  </si>
  <si>
    <t>検収日・エンド</t>
    <rPh sb="0" eb="2">
      <t>ケンシュウ</t>
    </rPh>
    <rPh sb="2" eb="3">
      <t>ビ</t>
    </rPh>
    <phoneticPr fontId="1"/>
  </si>
  <si>
    <t>申請者名</t>
    <rPh sb="0" eb="2">
      <t>シンセイ</t>
    </rPh>
    <rPh sb="2" eb="3">
      <t>シャ</t>
    </rPh>
    <rPh sb="3" eb="4">
      <t>メイ</t>
    </rPh>
    <phoneticPr fontId="1"/>
  </si>
  <si>
    <t>購買品CD</t>
    <rPh sb="0" eb="2">
      <t>コウバイ</t>
    </rPh>
    <rPh sb="2" eb="3">
      <t>シナ</t>
    </rPh>
    <phoneticPr fontId="1"/>
  </si>
  <si>
    <t>フリーワード２</t>
  </si>
  <si>
    <t>フリーワード３</t>
  </si>
  <si>
    <t>グループ</t>
    <phoneticPr fontId="1"/>
  </si>
  <si>
    <t>-</t>
    <phoneticPr fontId="1"/>
  </si>
  <si>
    <t>-</t>
    <phoneticPr fontId="1"/>
  </si>
  <si>
    <t>申請日・スタート</t>
    <phoneticPr fontId="1"/>
  </si>
  <si>
    <t>申請日・エンド</t>
    <phoneticPr fontId="1"/>
  </si>
  <si>
    <t>メーカーCD</t>
    <phoneticPr fontId="1"/>
  </si>
  <si>
    <t>フリーワード１</t>
    <phoneticPr fontId="1"/>
  </si>
  <si>
    <t>UNKB0190_H_MAKER_MEI</t>
  </si>
  <si>
    <t>ステータス</t>
  </si>
  <si>
    <t>ステータス</t>
    <phoneticPr fontId="1"/>
  </si>
  <si>
    <t>仕入未計上のみ検索</t>
    <phoneticPr fontId="1"/>
  </si>
  <si>
    <t>UNKB0190_H_HIDE_ROW</t>
    <phoneticPr fontId="1"/>
  </si>
  <si>
    <t>UNKB0190_H_HIDE_COLUMN</t>
    <phoneticPr fontId="1"/>
  </si>
  <si>
    <t>UNKB0190_H_SHIIRESAKI_MEI</t>
    <phoneticPr fontId="1"/>
  </si>
  <si>
    <t>UNKB0190_H_FREEWD_KBN</t>
    <phoneticPr fontId="1"/>
  </si>
  <si>
    <t>UNKB0190_H_KOBAIHIN_KBN</t>
    <phoneticPr fontId="1"/>
  </si>
  <si>
    <t>UNKB0190_H_GAICHU_KBN</t>
    <phoneticPr fontId="1"/>
  </si>
  <si>
    <t>UNKB0190_H_SHUZEN_KBN</t>
    <phoneticPr fontId="1"/>
  </si>
  <si>
    <t>UNKB0190_H_TOSHI_KBN</t>
    <phoneticPr fontId="1"/>
  </si>
  <si>
    <t>UNKB0190_H_HANBAI_KBN</t>
    <phoneticPr fontId="1"/>
  </si>
  <si>
    <t>UNKB0190_H_CHUMONSHO_STS</t>
    <phoneticPr fontId="1"/>
  </si>
  <si>
    <t>UNKB0190_H_ICHIBU_STS</t>
    <phoneticPr fontId="1"/>
  </si>
  <si>
    <t>UNKB0190_H_SHINSEISHA_CD</t>
    <phoneticPr fontId="1"/>
  </si>
  <si>
    <t>UNKB0190_H_YOSAN_MEI</t>
    <phoneticPr fontId="1"/>
  </si>
  <si>
    <t>UNKB0190_H_KOBAIHIN_MEI</t>
    <phoneticPr fontId="1"/>
  </si>
  <si>
    <t>UNKB0190_H_NYUKA_STS</t>
    <phoneticPr fontId="1"/>
  </si>
  <si>
    <t>UNKB0190_H_KENSHU_STS</t>
    <phoneticPr fontId="1"/>
  </si>
  <si>
    <t>UNKB0190_H_INIT_HEADER_FLG_COPY_SAKI</t>
    <phoneticPr fontId="1"/>
  </si>
  <si>
    <t>UNKB0190_H_SHIIRESAKI_CD_S</t>
    <phoneticPr fontId="1"/>
  </si>
  <si>
    <t>UNKB0190_H_SHIIRESAKI_MEI_S</t>
    <phoneticPr fontId="1"/>
  </si>
  <si>
    <t>UNKB0190_H_SHIRE_MIKEIJO_FLG</t>
    <phoneticPr fontId="1"/>
  </si>
  <si>
    <t>UNKB0190_H_KOBAIHIN_KBN_S</t>
    <phoneticPr fontId="1"/>
  </si>
  <si>
    <t>UNKB0190_H_GAICHU_KBN_S</t>
    <phoneticPr fontId="1"/>
  </si>
  <si>
    <t>UNKB0190_H_SHUZEN_KBN_S</t>
    <phoneticPr fontId="1"/>
  </si>
  <si>
    <t>UNKB0190_H_TOSHI_KBN_S</t>
    <phoneticPr fontId="1"/>
  </si>
  <si>
    <t>UNKB0190_H_HANBAI_KBN_S</t>
    <phoneticPr fontId="1"/>
  </si>
  <si>
    <t>UNKB0190_H_CHUMONSHO_STS_S</t>
    <phoneticPr fontId="1"/>
  </si>
  <si>
    <t>UNKB0190_H_ICHIBU_STS_S</t>
    <phoneticPr fontId="1"/>
  </si>
  <si>
    <t>UNKB0190_H_NYUKA_STS_S</t>
    <phoneticPr fontId="1"/>
  </si>
  <si>
    <t>UNKB0190_H_KENSHU_STS_S</t>
    <phoneticPr fontId="1"/>
  </si>
  <si>
    <t>UNKB0190_H_SHINSEI_DATE_START_S</t>
    <phoneticPr fontId="1"/>
  </si>
  <si>
    <t>UNKB0190_H_SHINSEI_DATE_END_S</t>
    <phoneticPr fontId="1"/>
  </si>
  <si>
    <t>UNKB0190_H_UKEIRE_DATE_START_S</t>
    <phoneticPr fontId="1"/>
  </si>
  <si>
    <t>UNKB0190_H_UKEIRE_DATE_END_S</t>
    <phoneticPr fontId="1"/>
  </si>
  <si>
    <t>UNKB0190_H_KENSHU_DATE_START_S</t>
    <phoneticPr fontId="1"/>
  </si>
  <si>
    <t>UNKB0190_H_KENSHU_DATE_END_S</t>
    <phoneticPr fontId="1"/>
  </si>
  <si>
    <t>UNKB0190_H_SHINSEISHA_CD_S</t>
    <phoneticPr fontId="1"/>
  </si>
  <si>
    <t>UNKB0190_H_SHINSEISHA_MEI_S</t>
    <phoneticPr fontId="1"/>
  </si>
  <si>
    <t>UNKB0190_H_JURI_NO_S</t>
    <phoneticPr fontId="1"/>
  </si>
  <si>
    <t>UNKB0190_H_YOSAN_CD_S</t>
    <phoneticPr fontId="1"/>
  </si>
  <si>
    <t>UNKB0190_H_YOSAN_MEI_S</t>
    <phoneticPr fontId="1"/>
  </si>
  <si>
    <t>UNKB0190_H_KOBAIHIN_CD_S</t>
    <phoneticPr fontId="1"/>
  </si>
  <si>
    <t>UNKB0190_H_KOBAIHIN_MEI_S</t>
    <phoneticPr fontId="1"/>
  </si>
  <si>
    <t>UNKB0190_H_MAKER_CD_S</t>
    <phoneticPr fontId="1"/>
  </si>
  <si>
    <t>UNKB0190_H_MAKER_MEI_S</t>
    <phoneticPr fontId="1"/>
  </si>
  <si>
    <t>UNKB0190_H_FREEWD_1_S</t>
    <phoneticPr fontId="1"/>
  </si>
  <si>
    <t>UNKB0190_H_FREEWD_2_S</t>
    <phoneticPr fontId="1"/>
  </si>
  <si>
    <t>UNKB0190_H_FREEWD_3_S</t>
    <phoneticPr fontId="1"/>
  </si>
  <si>
    <t>UNKB0190_H_FREEWD_KBN_S</t>
    <phoneticPr fontId="1"/>
  </si>
  <si>
    <t>UNKB0190_H_SHIRE_MIKEIJO_FLG_S</t>
    <phoneticPr fontId="1"/>
  </si>
  <si>
    <t>全件数</t>
    <rPh sb="0" eb="2">
      <t>ゼンケン</t>
    </rPh>
    <rPh sb="2" eb="3">
      <t>スウ</t>
    </rPh>
    <phoneticPr fontId="1"/>
  </si>
  <si>
    <t>ページ番号</t>
    <rPh sb="3" eb="5">
      <t>バンゴウ</t>
    </rPh>
    <phoneticPr fontId="1"/>
  </si>
  <si>
    <t>表示件数</t>
    <rPh sb="0" eb="2">
      <t>ヒョウジ</t>
    </rPh>
    <rPh sb="2" eb="4">
      <t>ケンスウ</t>
    </rPh>
    <phoneticPr fontId="1"/>
  </si>
  <si>
    <t>表示行数定義</t>
    <rPh sb="0" eb="2">
      <t>ヒョウジ</t>
    </rPh>
    <rPh sb="2" eb="4">
      <t>ギョウスウ</t>
    </rPh>
    <rPh sb="4" eb="6">
      <t>テイギ</t>
    </rPh>
    <phoneticPr fontId="1"/>
  </si>
  <si>
    <t>リスト展開終了位置</t>
    <rPh sb="3" eb="5">
      <t>テンカイ</t>
    </rPh>
    <rPh sb="5" eb="7">
      <t>シュウリョウ</t>
    </rPh>
    <rPh sb="7" eb="9">
      <t>イチ</t>
    </rPh>
    <phoneticPr fontId="1"/>
  </si>
  <si>
    <t>リスト書式コピーフラグ</t>
    <phoneticPr fontId="1"/>
  </si>
  <si>
    <t>リスト書式コピー先</t>
    <rPh sb="3" eb="5">
      <t>ショシキ</t>
    </rPh>
    <rPh sb="8" eb="9">
      <t>サキ</t>
    </rPh>
    <phoneticPr fontId="1"/>
  </si>
  <si>
    <t>フラグコピー先</t>
    <phoneticPr fontId="1"/>
  </si>
  <si>
    <t>リストクリア範囲</t>
    <rPh sb="6" eb="8">
      <t>ハンイ</t>
    </rPh>
    <phoneticPr fontId="1"/>
  </si>
  <si>
    <t>前ページ判断</t>
    <rPh sb="0" eb="1">
      <t>マエ</t>
    </rPh>
    <rPh sb="4" eb="6">
      <t>ハンダン</t>
    </rPh>
    <phoneticPr fontId="1"/>
  </si>
  <si>
    <t>次ページ判断</t>
    <rPh sb="0" eb="1">
      <t>ツギ</t>
    </rPh>
    <rPh sb="4" eb="6">
      <t>ハンダン</t>
    </rPh>
    <phoneticPr fontId="1"/>
  </si>
  <si>
    <t>UNKB0190_B_HIDE_ROW</t>
    <phoneticPr fontId="1"/>
  </si>
  <si>
    <t>UNKB0190_B_HIDE_COLUMN</t>
    <phoneticPr fontId="1"/>
  </si>
  <si>
    <t>UNKB0190_B_SCROLL_LOCK</t>
    <phoneticPr fontId="1"/>
  </si>
  <si>
    <t>UNKB0190_B_ALL_KENSU</t>
    <phoneticPr fontId="1"/>
  </si>
  <si>
    <t>UNKB0190_B_PAGE_NO</t>
    <phoneticPr fontId="1"/>
  </si>
  <si>
    <t>UNKB0190_B_ALL_PAGE_SU</t>
    <phoneticPr fontId="1"/>
  </si>
  <si>
    <t>UNKB0190_B_HYOJI_KENSU</t>
    <phoneticPr fontId="1"/>
  </si>
  <si>
    <t>UNKB0190_B_HYOJI_GYO_SU</t>
    <phoneticPr fontId="1"/>
  </si>
  <si>
    <t>UNKB0190_B_LIST_START</t>
    <phoneticPr fontId="1"/>
  </si>
  <si>
    <t>UNKB0190_B_LIST_END</t>
    <phoneticPr fontId="1"/>
  </si>
  <si>
    <t>UNKB0190_B_LIST_COPY_SAKI</t>
    <phoneticPr fontId="1"/>
  </si>
  <si>
    <t>UNKB0190_B_SELECT_FLG_COPY_SAKI</t>
    <phoneticPr fontId="1"/>
  </si>
  <si>
    <t>UNKB0190_B_LIST_CLEAR</t>
    <phoneticPr fontId="1"/>
  </si>
  <si>
    <t>UNKB0190_B_NEXT_PAGE_NO</t>
    <phoneticPr fontId="1"/>
  </si>
  <si>
    <t>UNKB0190_B_BACK_PAGE_NO</t>
    <phoneticPr fontId="1"/>
  </si>
  <si>
    <t>UNKB0190_B_BACK_PAGE</t>
    <phoneticPr fontId="1"/>
  </si>
  <si>
    <t>UNKB0190_B_NEXT_PAGE</t>
    <phoneticPr fontId="1"/>
  </si>
  <si>
    <t>【コピー元書式】</t>
    <rPh sb="4" eb="5">
      <t>モト</t>
    </rPh>
    <rPh sb="5" eb="7">
      <t>ショシキ</t>
    </rPh>
    <phoneticPr fontId="1"/>
  </si>
  <si>
    <t>【初期化用】</t>
    <rPh sb="1" eb="4">
      <t>ショキカ</t>
    </rPh>
    <rPh sb="4" eb="5">
      <t>ヨウ</t>
    </rPh>
    <phoneticPr fontId="1"/>
  </si>
  <si>
    <t>申請者名</t>
  </si>
  <si>
    <t>【Excel保存用】</t>
    <rPh sb="6" eb="8">
      <t>ホゾン</t>
    </rPh>
    <rPh sb="8" eb="9">
      <t>ヨウ</t>
    </rPh>
    <phoneticPr fontId="1"/>
  </si>
  <si>
    <t>Excel出力用書式コピー元</t>
    <rPh sb="5" eb="7">
      <t>シュツリョク</t>
    </rPh>
    <rPh sb="7" eb="8">
      <t>ヨウ</t>
    </rPh>
    <rPh sb="8" eb="10">
      <t>ショシキ</t>
    </rPh>
    <rPh sb="13" eb="14">
      <t>モト</t>
    </rPh>
    <phoneticPr fontId="1"/>
  </si>
  <si>
    <t>リスト初期書式コピー元範囲</t>
    <rPh sb="3" eb="5">
      <t>ショキ</t>
    </rPh>
    <rPh sb="5" eb="7">
      <t>ショシキ</t>
    </rPh>
    <rPh sb="10" eb="11">
      <t>モト</t>
    </rPh>
    <rPh sb="11" eb="13">
      <t>ハンイ</t>
    </rPh>
    <phoneticPr fontId="1"/>
  </si>
  <si>
    <t>選択フラグ</t>
    <phoneticPr fontId="1"/>
  </si>
  <si>
    <t>保管場所区分名</t>
    <rPh sb="0" eb="2">
      <t>ホカン</t>
    </rPh>
    <rPh sb="2" eb="4">
      <t>バショ</t>
    </rPh>
    <rPh sb="4" eb="6">
      <t>クブン</t>
    </rPh>
    <rPh sb="6" eb="7">
      <t>メイ</t>
    </rPh>
    <phoneticPr fontId="1"/>
  </si>
  <si>
    <t>仕入先名</t>
    <phoneticPr fontId="1"/>
  </si>
  <si>
    <t>購買区分</t>
    <phoneticPr fontId="1"/>
  </si>
  <si>
    <t>購買品名</t>
    <phoneticPr fontId="1"/>
  </si>
  <si>
    <t>リスト書式コピー元範囲</t>
    <rPh sb="3" eb="5">
      <t>ショシキ</t>
    </rPh>
    <rPh sb="8" eb="9">
      <t>モト</t>
    </rPh>
    <rPh sb="9" eb="11">
      <t>ハンイ</t>
    </rPh>
    <phoneticPr fontId="1"/>
  </si>
  <si>
    <t>フラグコピー元</t>
    <phoneticPr fontId="1"/>
  </si>
  <si>
    <t>検索件数</t>
    <rPh sb="0" eb="2">
      <t>ケンサク</t>
    </rPh>
    <rPh sb="2" eb="4">
      <t>ケンスウ</t>
    </rPh>
    <phoneticPr fontId="1"/>
  </si>
  <si>
    <t>【処理用判定】</t>
    <rPh sb="1" eb="3">
      <t>ショリ</t>
    </rPh>
    <rPh sb="3" eb="4">
      <t>ヨウ</t>
    </rPh>
    <rPh sb="4" eb="6">
      <t>ハンテイ</t>
    </rPh>
    <phoneticPr fontId="1"/>
  </si>
  <si>
    <t>書式コピーフラグ</t>
    <rPh sb="0" eb="2">
      <t>ショシキ</t>
    </rPh>
    <phoneticPr fontId="1"/>
  </si>
  <si>
    <t>購買申請No.</t>
    <phoneticPr fontId="1"/>
  </si>
  <si>
    <t>保存ファイル名</t>
    <rPh sb="0" eb="2">
      <t>ホゾン</t>
    </rPh>
    <rPh sb="6" eb="7">
      <t>メイ</t>
    </rPh>
    <phoneticPr fontId="1"/>
  </si>
  <si>
    <t>購買申請SEQ</t>
    <phoneticPr fontId="1"/>
  </si>
  <si>
    <t>モード</t>
  </si>
  <si>
    <t>データ取得SQL</t>
    <rPh sb="3" eb="5">
      <t>シュトク</t>
    </rPh>
    <phoneticPr fontId="1"/>
  </si>
  <si>
    <t>検索結果取得SQL</t>
    <rPh sb="0" eb="2">
      <t>ケンサク</t>
    </rPh>
    <rPh sb="2" eb="4">
      <t>ケッカ</t>
    </rPh>
    <rPh sb="4" eb="6">
      <t>シュトク</t>
    </rPh>
    <phoneticPr fontId="1"/>
  </si>
  <si>
    <t xml:space="preserve">SELECT *
</t>
    <phoneticPr fontId="1"/>
  </si>
  <si>
    <t>FROM</t>
    <phoneticPr fontId="1"/>
  </si>
  <si>
    <t>Excel用データ取得SQL</t>
    <rPh sb="5" eb="6">
      <t>ヨウ</t>
    </rPh>
    <rPh sb="9" eb="11">
      <t>シュトク</t>
    </rPh>
    <phoneticPr fontId="1"/>
  </si>
  <si>
    <t>共通項目</t>
    <rPh sb="0" eb="2">
      <t>キョウツウ</t>
    </rPh>
    <rPh sb="2" eb="4">
      <t>コウモク</t>
    </rPh>
    <phoneticPr fontId="1"/>
  </si>
  <si>
    <t>申請日・スタート</t>
  </si>
  <si>
    <t>申請日・エンド</t>
  </si>
  <si>
    <t>フリーワード１</t>
  </si>
  <si>
    <t>表示データSQL</t>
    <phoneticPr fontId="1"/>
  </si>
  <si>
    <t>ワークテーブル取得データSQL</t>
    <rPh sb="7" eb="9">
      <t>シュトク</t>
    </rPh>
    <phoneticPr fontId="1"/>
  </si>
  <si>
    <t>FROM</t>
    <phoneticPr fontId="1"/>
  </si>
  <si>
    <t>並び替えSQL</t>
    <rPh sb="0" eb="1">
      <t>ナラ</t>
    </rPh>
    <rPh sb="2" eb="3">
      <t>カ</t>
    </rPh>
    <phoneticPr fontId="1"/>
  </si>
  <si>
    <t>初期値</t>
    <rPh sb="0" eb="3">
      <t>ショキチ</t>
    </rPh>
    <phoneticPr fontId="1"/>
  </si>
  <si>
    <t>ORDER BY</t>
    <phoneticPr fontId="1"/>
  </si>
  <si>
    <t>FROM</t>
    <phoneticPr fontId="1"/>
  </si>
  <si>
    <t>SELECT</t>
    <phoneticPr fontId="1"/>
  </si>
  <si>
    <t>カウントSQL</t>
    <phoneticPr fontId="1"/>
  </si>
  <si>
    <t xml:space="preserve">SELECT COUNT(*) AS CNT
</t>
    <phoneticPr fontId="1"/>
  </si>
  <si>
    <t>FROM</t>
    <phoneticPr fontId="1"/>
  </si>
  <si>
    <t>WHERE</t>
    <phoneticPr fontId="1"/>
  </si>
  <si>
    <t>フリーワード</t>
    <phoneticPr fontId="1"/>
  </si>
  <si>
    <t>PAGE</t>
    <phoneticPr fontId="1"/>
  </si>
  <si>
    <t>ORDER BY</t>
    <phoneticPr fontId="1"/>
  </si>
  <si>
    <t>UNKB0190_IF_MODE</t>
  </si>
  <si>
    <t>UNKB0190_IF_ACTIVE_SHEET</t>
    <phoneticPr fontId="1"/>
  </si>
  <si>
    <t>UNKB0190_IF_ACTIVE_ROW</t>
    <phoneticPr fontId="1"/>
  </si>
  <si>
    <t>UNKB0190_IF_ACTIVE_COLUMN</t>
    <phoneticPr fontId="1"/>
  </si>
  <si>
    <t>UNKB0190_IF_ACTIVE_CELL_NAME</t>
    <phoneticPr fontId="1"/>
  </si>
  <si>
    <t>UNKB0190_IF_DATA_SEARCH_FLG</t>
    <phoneticPr fontId="1"/>
  </si>
  <si>
    <t>UNKB0190_IF_KOBAI_NO</t>
    <phoneticPr fontId="1"/>
  </si>
  <si>
    <t>UNKB0190_IF_KOBAI_SEQ</t>
    <phoneticPr fontId="1"/>
  </si>
  <si>
    <t>UNKB0190_IF_W_SERIAL</t>
    <phoneticPr fontId="1"/>
  </si>
  <si>
    <t>UNKB0190_IF_W_SERIAL_CREATE</t>
    <phoneticPr fontId="1"/>
  </si>
  <si>
    <t>UNKB0190_IF_LIST_COPY_MOTO</t>
    <phoneticPr fontId="1"/>
  </si>
  <si>
    <t>UNKB0190_IF_LIST_DEFAULT</t>
    <phoneticPr fontId="1"/>
  </si>
  <si>
    <t>UNKB0190_IF_B_FLG_COPY_MOTO</t>
    <phoneticPr fontId="1"/>
  </si>
  <si>
    <t>仕入未計上のみ検索</t>
  </si>
  <si>
    <t>UNKB0190_IF_INIT_HEADER_FLG_COPY_MOTO</t>
    <phoneticPr fontId="1"/>
  </si>
  <si>
    <t>UNKB0190_IF_INIT_HEADER_COPY_MOTO</t>
    <phoneticPr fontId="1"/>
  </si>
  <si>
    <t>UNKB0190_IF_PRINT_SHOSHIKI_COPY_SAKI</t>
    <phoneticPr fontId="1"/>
  </si>
  <si>
    <t>UNKB0190_IF_PRINT_SHOSHIKI_COPY_FLAG</t>
    <phoneticPr fontId="1"/>
  </si>
  <si>
    <t>UNKB0190_IF_EXCEL_FILE_NAME</t>
    <phoneticPr fontId="1"/>
  </si>
  <si>
    <t>UNKB0190_SQL_DEFAULT_SORT</t>
  </si>
  <si>
    <t>UNKB0190_IF_W_USER_ID</t>
    <phoneticPr fontId="1"/>
  </si>
  <si>
    <t>SELECT M_MEISHO_B.DATA_1   AS 並べ替え
      ,M_MEISHO_B.DATA_2        AS ORDER句
  FROM M_MEISHO_B
 WHERE M_MEISHO_B.MEISHO_KBN='O501'
 ORDER BY
       M_MEISHO_B.SORT_NO ASC
      ,CAST(M_MEISHO_B.MEISHO_CD AS INT) ASC</t>
    <phoneticPr fontId="1"/>
  </si>
  <si>
    <t>UNKB0190_SQL_SHIIRE_LIST_CNT</t>
    <phoneticPr fontId="1"/>
  </si>
  <si>
    <t>UNKB0190_SQL_W_SHIIRE_LIST</t>
    <phoneticPr fontId="1"/>
  </si>
  <si>
    <t>仕入未計上フラグ</t>
    <phoneticPr fontId="1"/>
  </si>
  <si>
    <t>UNKB0190_SQL_SORT</t>
    <phoneticPr fontId="1"/>
  </si>
  <si>
    <t>UNKB0190_SQL_SORT_BY</t>
    <phoneticPr fontId="1"/>
  </si>
  <si>
    <t>仕入No.</t>
    <rPh sb="0" eb="1">
      <t>シ</t>
    </rPh>
    <rPh sb="1" eb="2">
      <t>ニュウ</t>
    </rPh>
    <phoneticPr fontId="1"/>
  </si>
  <si>
    <t>仕入先CD</t>
    <phoneticPr fontId="1"/>
  </si>
  <si>
    <t>入数単位</t>
    <phoneticPr fontId="1"/>
  </si>
  <si>
    <t>UNKB0190_IF_PRINT_SHOSHIKI_COPY_MOTO</t>
    <phoneticPr fontId="1"/>
  </si>
  <si>
    <t>UNKB0190_IF_PRINT_COUNT</t>
    <phoneticPr fontId="1"/>
  </si>
  <si>
    <t xml:space="preserve"> FROM V_SHIIRE_KOBAI_LIST
</t>
  </si>
  <si>
    <t xml:space="preserve">FROM W_SHIIRE_KOBAI
</t>
  </si>
  <si>
    <t>選択フラグ</t>
  </si>
  <si>
    <t>仕入No.</t>
    <rPh sb="0" eb="2">
      <t>シイ</t>
    </rPh>
    <phoneticPr fontId="1"/>
  </si>
  <si>
    <t>フリーワード検索用</t>
    <phoneticPr fontId="1"/>
  </si>
  <si>
    <t>UNKB0190_SQL_SHIIRE_LIST</t>
    <phoneticPr fontId="1"/>
  </si>
  <si>
    <t>UNKB0190_SQL_EXCEL_LIST</t>
    <phoneticPr fontId="1"/>
  </si>
  <si>
    <t>UNKB0190_B_SAVE_START</t>
    <phoneticPr fontId="1"/>
  </si>
  <si>
    <t>購買区分名</t>
    <rPh sb="0" eb="2">
      <t>コウバイ</t>
    </rPh>
    <rPh sb="2" eb="4">
      <t>クブン</t>
    </rPh>
    <rPh sb="4" eb="5">
      <t>メイ</t>
    </rPh>
    <phoneticPr fontId="1"/>
  </si>
  <si>
    <t>購買ステータス名</t>
    <rPh sb="0" eb="2">
      <t>コウバイ</t>
    </rPh>
    <rPh sb="7" eb="8">
      <t>メイ</t>
    </rPh>
    <phoneticPr fontId="1"/>
  </si>
  <si>
    <t>申請者名</t>
    <phoneticPr fontId="1"/>
  </si>
  <si>
    <t>申請日</t>
    <phoneticPr fontId="1"/>
  </si>
  <si>
    <t>単価</t>
    <phoneticPr fontId="1"/>
  </si>
  <si>
    <t>入数</t>
    <phoneticPr fontId="1"/>
  </si>
  <si>
    <t>注文総数</t>
    <phoneticPr fontId="1"/>
  </si>
  <si>
    <t>受入日</t>
    <phoneticPr fontId="1"/>
  </si>
  <si>
    <t>検収日</t>
    <phoneticPr fontId="1"/>
  </si>
  <si>
    <t>予算コード</t>
    <phoneticPr fontId="1"/>
  </si>
  <si>
    <t>受理No.</t>
    <phoneticPr fontId="1"/>
  </si>
  <si>
    <t>備考</t>
    <phoneticPr fontId="1"/>
  </si>
  <si>
    <t>依頼No.</t>
    <phoneticPr fontId="1"/>
  </si>
  <si>
    <t>注文No.</t>
    <phoneticPr fontId="1"/>
  </si>
  <si>
    <t>購買ステータス</t>
    <phoneticPr fontId="1"/>
  </si>
  <si>
    <t>予算名</t>
    <phoneticPr fontId="1"/>
  </si>
  <si>
    <t>申請者CD</t>
    <phoneticPr fontId="1"/>
  </si>
  <si>
    <t>仕入未計上フラグ</t>
    <phoneticPr fontId="1"/>
  </si>
  <si>
    <t xml:space="preserve">  FROM V_SHIIRE_KOBAI_LIST
  </t>
    <phoneticPr fontId="1"/>
  </si>
  <si>
    <t>UNKB0200_H_HIDE_ROW</t>
  </si>
  <si>
    <t>UNKB0200_H_HIDE_COLUMN</t>
  </si>
  <si>
    <t>UNKB0200_H_INIT_HEADER_FLG_COPY_SAKI</t>
  </si>
  <si>
    <t>UNKB0200_H_YOSAN_CD_S</t>
  </si>
  <si>
    <t>UNKB0200_H_YOSAN_MEI_S</t>
  </si>
  <si>
    <t>UNKB0200_H_KOBAIHIN_CD_S</t>
  </si>
  <si>
    <t>UNKB0200_H_KOBAIHIN_MEI_S</t>
  </si>
  <si>
    <t>UNKB0200_H_SHIIRESAKI_CD_S</t>
  </si>
  <si>
    <t>UNKB0200_H_SHIIRESAKI_MEI_S</t>
  </si>
  <si>
    <t>UNKB0200_H_MAKER_CD_S</t>
  </si>
  <si>
    <t>UNKB0200_H_MAKER_MEI_S</t>
  </si>
  <si>
    <t>UNKB0200_H_FREEWD_1_S</t>
  </si>
  <si>
    <t>UNKB0200_H_FREEWD_2_S</t>
  </si>
  <si>
    <t>UNKB0200_H_FREEWD_3_S</t>
  </si>
  <si>
    <t>UNKB0200_H_FREEWD_KBN_S</t>
  </si>
  <si>
    <t>伝票突合済</t>
    <phoneticPr fontId="1"/>
  </si>
  <si>
    <t>仕入連携済</t>
    <rPh sb="0" eb="1">
      <t>シ</t>
    </rPh>
    <rPh sb="1" eb="2">
      <t>ニュウ</t>
    </rPh>
    <rPh sb="2" eb="4">
      <t>レンケイ</t>
    </rPh>
    <rPh sb="4" eb="5">
      <t>スミ</t>
    </rPh>
    <phoneticPr fontId="1"/>
  </si>
  <si>
    <t>仕入入力者CD</t>
    <phoneticPr fontId="1"/>
  </si>
  <si>
    <t>UNKB0200_B_HIDE_ROW</t>
  </si>
  <si>
    <t>UNKB0200_B_HIDE_COLUMN</t>
  </si>
  <si>
    <t>UNKB0200_B_SCROLL_LOCK</t>
  </si>
  <si>
    <t>UNKB0200_B_ALL_KENSU</t>
  </si>
  <si>
    <t>UNKB0200_B_PAGE_NO</t>
  </si>
  <si>
    <t>UNKB0200_B_ALL_PAGE_SU</t>
  </si>
  <si>
    <t>UNKB0200_B_HYOJI_KENSU</t>
  </si>
  <si>
    <t>UNKB0200_B_HYOJI_GYO_SU</t>
  </si>
  <si>
    <t>UNKB0200_B_LIST_START</t>
  </si>
  <si>
    <t>UNKB0200_B_LIST_END</t>
  </si>
  <si>
    <t>UNKB0200_B_LIST_COPY_SAKI</t>
  </si>
  <si>
    <t>UNKB0200_B_LIST_CLEAR</t>
  </si>
  <si>
    <t>UNKB0200_B_NEXT_PAGE_NO</t>
  </si>
  <si>
    <t>UNKB0200_B_BACK_PAGE_NO</t>
  </si>
  <si>
    <t>UNKB0200_B_BACK_PAGE</t>
  </si>
  <si>
    <t>UNKB0200_B_NEXT_PAGE</t>
  </si>
  <si>
    <t>削除済も表示</t>
    <phoneticPr fontId="1"/>
  </si>
  <si>
    <t>削除済も表示</t>
    <phoneticPr fontId="1"/>
  </si>
  <si>
    <t>UNKB0200_H_MITOTSUGO_STS</t>
    <phoneticPr fontId="1"/>
  </si>
  <si>
    <t>UNKB0200_H_TOTSUGOSUMI_STS</t>
    <phoneticPr fontId="1"/>
  </si>
  <si>
    <t>UNKB0200_H_SHIIRE_LINK_STS</t>
    <phoneticPr fontId="1"/>
  </si>
  <si>
    <t>UNKB0200_H_TOSHI_KBN</t>
    <phoneticPr fontId="1"/>
  </si>
  <si>
    <t>UNKB0200_H_SHIIRESAKI_MEI</t>
    <phoneticPr fontId="1"/>
  </si>
  <si>
    <t>UNKB0200_H_KOBAIHIN_MEI</t>
    <phoneticPr fontId="1"/>
  </si>
  <si>
    <t>UNKB0200_H_MAKER_MEI</t>
    <phoneticPr fontId="1"/>
  </si>
  <si>
    <t>UNKB0200_H_YOSAN_MEI</t>
    <phoneticPr fontId="1"/>
  </si>
  <si>
    <t>仕入入力者CD</t>
    <phoneticPr fontId="1"/>
  </si>
  <si>
    <t>UNKB0200_H_NYURYOKUSHA_CD</t>
    <phoneticPr fontId="1"/>
  </si>
  <si>
    <t>UNKB0200_H_FREEWD_KBN</t>
    <phoneticPr fontId="1"/>
  </si>
  <si>
    <t>UNKB0200_H_KOBAIHIN_KBN</t>
    <phoneticPr fontId="1"/>
  </si>
  <si>
    <t>UNKB0200_H_GAICHU_KBN</t>
    <phoneticPr fontId="1"/>
  </si>
  <si>
    <t>UNKB0200_H_SHUZEN_KBN</t>
    <phoneticPr fontId="1"/>
  </si>
  <si>
    <t>UNKB0200_H_HANBAI_KBN</t>
    <phoneticPr fontId="1"/>
  </si>
  <si>
    <t>UNKB0200_H_DEL_HYOJI_FLG</t>
    <phoneticPr fontId="1"/>
  </si>
  <si>
    <t>仕入No・スタート</t>
    <phoneticPr fontId="1"/>
  </si>
  <si>
    <t>仕入No・エンド</t>
    <phoneticPr fontId="1"/>
  </si>
  <si>
    <t>仕入日・スタート</t>
    <phoneticPr fontId="1"/>
  </si>
  <si>
    <t>仕入日・エンド</t>
    <phoneticPr fontId="1"/>
  </si>
  <si>
    <t>支払予定日・スタート</t>
    <rPh sb="0" eb="2">
      <t>シハライ</t>
    </rPh>
    <rPh sb="2" eb="4">
      <t>ヨテイ</t>
    </rPh>
    <rPh sb="4" eb="5">
      <t>ビ</t>
    </rPh>
    <phoneticPr fontId="1"/>
  </si>
  <si>
    <t>支払予定日・エンド</t>
    <rPh sb="0" eb="2">
      <t>シハライ</t>
    </rPh>
    <rPh sb="2" eb="4">
      <t>ヨテイ</t>
    </rPh>
    <rPh sb="4" eb="5">
      <t>ビ</t>
    </rPh>
    <phoneticPr fontId="1"/>
  </si>
  <si>
    <t>仕入入力者名</t>
    <phoneticPr fontId="1"/>
  </si>
  <si>
    <t>購買申請No.</t>
    <phoneticPr fontId="1"/>
  </si>
  <si>
    <t>仕入入力者CD</t>
    <phoneticPr fontId="1"/>
  </si>
  <si>
    <t>UNKB0200_H_MITOTSUGO_STS_S</t>
    <phoneticPr fontId="1"/>
  </si>
  <si>
    <t>UNKB0200_H_TOTSUGOSUMI_STS_S</t>
    <phoneticPr fontId="1"/>
  </si>
  <si>
    <t>UNKB0200_H_SHIIRE_LINK_STS_S</t>
    <phoneticPr fontId="1"/>
  </si>
  <si>
    <t>UNKB0200_H_KOBAIHIN_KBN_S</t>
    <phoneticPr fontId="1"/>
  </si>
  <si>
    <t>UNKB0200_H_GAICHU_KBN_S</t>
    <phoneticPr fontId="1"/>
  </si>
  <si>
    <t>UNKB0200_H_SHUZEN_KBN_S</t>
    <phoneticPr fontId="1"/>
  </si>
  <si>
    <t>UNKB0200_H_TOSHI_KBN_S</t>
    <phoneticPr fontId="1"/>
  </si>
  <si>
    <t>UNKB0200_H_HANBAI_KBN_S</t>
    <phoneticPr fontId="1"/>
  </si>
  <si>
    <t>UNKB0200_H_DEL_HYOJI_FLG_S</t>
    <phoneticPr fontId="1"/>
  </si>
  <si>
    <t>UNKB0200_H_SHIIRE_NO_START_S</t>
    <phoneticPr fontId="1"/>
  </si>
  <si>
    <t>UNKB0200_H_SHIIRE_NO_END_S</t>
    <phoneticPr fontId="1"/>
  </si>
  <si>
    <t>UNKB0200_H_SHIIRE_DATE_START_S</t>
    <phoneticPr fontId="1"/>
  </si>
  <si>
    <t>UNKB0200_H_SHIIRE_DATE_END_S</t>
    <phoneticPr fontId="1"/>
  </si>
  <si>
    <t>UNKB0200_H_YOTEI_DATE_START_S</t>
    <phoneticPr fontId="1"/>
  </si>
  <si>
    <t>UNKB0200_H_YOTEI_DATE_END_S</t>
    <phoneticPr fontId="1"/>
  </si>
  <si>
    <t>UNKB0200_H_JURI_NO_S</t>
    <phoneticPr fontId="1"/>
  </si>
  <si>
    <t>UNKB0200_H_NYURYOKUSHA_MEI_S</t>
    <phoneticPr fontId="1"/>
  </si>
  <si>
    <t>UNKB0200_H_NYURYOKUSHA_CD_S</t>
    <phoneticPr fontId="1"/>
  </si>
  <si>
    <t>UNKB0200_H_KOBAISHINSEI_NO_S</t>
    <phoneticPr fontId="1"/>
  </si>
  <si>
    <t>UNKB0200_IF_INIT_HEADER_FLG_COPY_MOTO</t>
  </si>
  <si>
    <t>UNKB0200_IF_LIST_COPY_MOTO</t>
  </si>
  <si>
    <t>UNKB0200_IF_PRINT_COUNT</t>
  </si>
  <si>
    <t>UNKB0200_IF_PRINT_SHOSHIKI_COPY_FLAG</t>
  </si>
  <si>
    <t>UNKB0200_IF_DATA_SEARCH_FLG</t>
  </si>
  <si>
    <t>UNKB0200_IF_ACTIVE_SHEET</t>
  </si>
  <si>
    <t>UNKB0200_IF_ACTIVE_ROW</t>
  </si>
  <si>
    <t>UNKB0200_IF_ACTIVE_COLUMN</t>
  </si>
  <si>
    <t>UNKB0200_IF_ACTIVE_CELL_NAME</t>
  </si>
  <si>
    <t>UNKB0200_IF_LIST_DEFAULT</t>
    <phoneticPr fontId="1"/>
  </si>
  <si>
    <t>伝票突合済</t>
  </si>
  <si>
    <t>削除済も表示</t>
  </si>
  <si>
    <t>UNKB0200_IF_INIT_HEADER_COPY_MOTO</t>
    <phoneticPr fontId="1"/>
  </si>
  <si>
    <t xml:space="preserve"> FROM V_SHIIRE_KENSAKU_LIST
</t>
  </si>
  <si>
    <t xml:space="preserve"> FROM V_SHIIRE_KENSAKU_LIST
</t>
    <phoneticPr fontId="1"/>
  </si>
  <si>
    <t>UNKB0200_SQL_EXCEL_LIST</t>
  </si>
  <si>
    <t>UNKB0200_SQL_SHIIRE_LIST_CNT</t>
  </si>
  <si>
    <t>UNKB0200_SQL_SORT_BY</t>
  </si>
  <si>
    <t>UNKB0200_SQL_DEFAULT_SORT</t>
  </si>
  <si>
    <t>購買区分</t>
    <phoneticPr fontId="1"/>
  </si>
  <si>
    <t>ステータス</t>
    <phoneticPr fontId="1"/>
  </si>
  <si>
    <t>仕入日・スタート</t>
    <phoneticPr fontId="1"/>
  </si>
  <si>
    <t>仕入日・エンド</t>
    <phoneticPr fontId="1"/>
  </si>
  <si>
    <t>購買品CD</t>
    <phoneticPr fontId="1"/>
  </si>
  <si>
    <t>購買申請No.</t>
    <phoneticPr fontId="1"/>
  </si>
  <si>
    <t>SELECT M_MEISHO_B.DATA_1   AS 並べ替え
      ,M_MEISHO_B.DATA_2        AS ORDER句
  FROM M_MEISHO_B
 WHERE M_MEISHO_B.MEISHO_KBN='O502'
 ORDER BY
       M_MEISHO_B.SORT_NO ASC
      ,CAST(M_MEISHO_B.MEISHO_CD AS INT) ASC</t>
    <phoneticPr fontId="1"/>
  </si>
  <si>
    <t>UNKB0200_SQL_SHIIRE_LIST</t>
    <phoneticPr fontId="1"/>
  </si>
  <si>
    <t>UNKB0200_IF_PRINT_SHOSHIKI_COPY_SAKI</t>
    <phoneticPr fontId="1"/>
  </si>
  <si>
    <t>UNKB0200_SQL_SORT</t>
    <phoneticPr fontId="1"/>
  </si>
  <si>
    <t>UNKB0200_B_LIST_COPY_FLG</t>
    <phoneticPr fontId="1"/>
  </si>
  <si>
    <t>UNKB0190_B_LIST_COPY_FLG</t>
    <phoneticPr fontId="1"/>
  </si>
  <si>
    <t xml:space="preserve">SELECT
       V_SHIIRE_KENSAKU_LIST.GYO_MOJI                  -- 選択
      ,V_SHIIRE_KENSAKU_LIST.SHIIRE_NO                 -- 仕入No.
      ,V_SHIIRE_KENSAKU_LIST.SHIIRE_STS_MEI            -- 仕入ステータス名
      ,V_SHIIRE_KENSAKU_LIST.KOBAI_KBN_MEI             -- 購買区分名
      ,V_SHIIRE_KENSAKU_LIST.SHIIRE_DATE               -- 仕入日
      ,V_SHIIRE_KENSAKU_LIST.SHIHARAI_DATE             -- 支払予定日
      ,V_SHIIRE_KENSAKU_LIST.SHIIRE_CD                 -- 仕入先CD
      ,V_SHIIRE_KENSAKU_LIST.SHIIRE_MEI                -- 仕入先名
      ,V_SHIIRE_KENSAKU_LIST.SHOKAN_NO                 -- 商管伝票No.
      ,V_SHIIRE_KENSAKU_LIST.SHOKAN_LINK_DATETIME      -- 連動日時
      ,CASE V_SHIIRE_KENSAKU_LIST.DEL_FLG
       WHEN 'True' THEN '×'
       ELSE NULL
       END                             AS  DEL_FLG    -- 削除表示
</t>
    <phoneticPr fontId="1"/>
  </si>
  <si>
    <t>UNKB0200_IF_EXCEL_FILE_NAME</t>
    <phoneticPr fontId="1"/>
  </si>
  <si>
    <t>UNKB0200_IF_PRINT_SHOSHIKI_COPY_MOTO</t>
    <phoneticPr fontId="1"/>
  </si>
  <si>
    <t>SELECT SHIIRE_NO                AS '仕入No.'
      ,SHIIRE_DATE              AS 仕入日
      ,KOBAI_KBN_MEI            AS 購買区分
      ,SHIIRE_NYURYOKUSHA_MEI   AS 入力者
      ,SHIIRE_STS_MEI           AS ステータス
      ,SHIIRE_CD                AS 仕入先CD
      ,SHIIRE_MEI               AS 仕入先名
      ,NUKI_TOTAL               AS 税抜合計
      ,SHOKAN_NO                AS '商管伝票No.'
  FROM V_C_SHIIRE_H
 WHERE DEL_FLG = 'False'</t>
    <phoneticPr fontId="1"/>
  </si>
  <si>
    <t>仕入No.検索</t>
    <phoneticPr fontId="1"/>
  </si>
  <si>
    <t>UNKB_COMMON_SQL_SHIIRE_NO_SEARCH</t>
    <phoneticPr fontId="1"/>
  </si>
  <si>
    <t>選択件数カウント</t>
    <rPh sb="0" eb="2">
      <t>センタク</t>
    </rPh>
    <rPh sb="2" eb="4">
      <t>ケンスウ</t>
    </rPh>
    <phoneticPr fontId="1"/>
  </si>
  <si>
    <t>UNKB0190_IF_SELECT_CNT</t>
    <phoneticPr fontId="1"/>
  </si>
  <si>
    <t>選択件数取得SQL</t>
    <rPh sb="0" eb="2">
      <t>センタク</t>
    </rPh>
    <rPh sb="2" eb="4">
      <t>ケンスウ</t>
    </rPh>
    <rPh sb="4" eb="6">
      <t>シュトク</t>
    </rPh>
    <phoneticPr fontId="1"/>
  </si>
  <si>
    <t>UNKB0190_SQL_SELECT_CNT</t>
    <phoneticPr fontId="1"/>
  </si>
  <si>
    <t xml:space="preserve">SELECT COUNT(*)
</t>
    <phoneticPr fontId="1"/>
  </si>
  <si>
    <t>選択行番号</t>
    <rPh sb="0" eb="2">
      <t>センタク</t>
    </rPh>
    <rPh sb="2" eb="5">
      <t>ギョウバンゴウ</t>
    </rPh>
    <phoneticPr fontId="1"/>
  </si>
  <si>
    <t>UNKB0200_B_SELECT_GYO_NO</t>
    <phoneticPr fontId="1"/>
  </si>
  <si>
    <t>UNKB0200_B_SELECT_SHIIRE_NO</t>
    <phoneticPr fontId="1"/>
  </si>
  <si>
    <t>選択仕入No.</t>
    <rPh sb="0" eb="2">
      <t>センタク</t>
    </rPh>
    <rPh sb="2" eb="4">
      <t>シイ</t>
    </rPh>
    <phoneticPr fontId="1"/>
  </si>
  <si>
    <t>バラ
単位</t>
    <rPh sb="3" eb="5">
      <t>タンイ</t>
    </rPh>
    <phoneticPr fontId="1"/>
  </si>
  <si>
    <t>入数
単位</t>
    <rPh sb="0" eb="1">
      <t>イ</t>
    </rPh>
    <rPh sb="1" eb="2">
      <t>スウ</t>
    </rPh>
    <rPh sb="3" eb="5">
      <t>タンイ</t>
    </rPh>
    <phoneticPr fontId="1"/>
  </si>
  <si>
    <t>SELECT DATA_2   AS ORDER句
  FROM M_MEISHO_B
 WHERE MEISHO_KBN = 'O501'
   AND MEISHO_CD  = '2'</t>
    <phoneticPr fontId="1"/>
  </si>
  <si>
    <t>SELECT DATA_2   AS ORDER句
  FROM M_MEISHO_B
 WHERE MEISHO_KBN = 'O502'
   AND MEISHO_CD  = '2'</t>
    <phoneticPr fontId="1"/>
  </si>
  <si>
    <t xml:space="preserve">SELECT KOBAI_NO         AS '購買申請No.'
      ,SHINSEISHA_MEI   AS 申請者名
      ,Convert(varchar(10),SHINSEI_DATETIME,111)
                        AS 申請日
      ,KOBAI_KBN_MEI    AS 購買区分
      ,SHINSEI_GAIYO    AS 申請概要
      ,NUKI_TOTAL       AS 税抜合計額
  FROM V_C_KOBAI_H
 WHERE DEL_FLG = 'False'
</t>
    <phoneticPr fontId="1"/>
  </si>
  <si>
    <t xml:space="preserve">SELECT IRAI_NO          AS '依頼No.'
      ,SHINSEISHA_MEI   AS 申請者名
      ,Convert(varchar(10),SHINSEI_DATETIME,111)
                        AS 申請日
      ,KOBAI_KBN_MEI    AS 購買区分
      ,KOBAIHIN_CD      AS 購買品CD
      ,KOBAIHIN_MEI     AS 購買品名
      ,TANKA            AS 単価
      ,IRISU            AS 入数
      ,IRISU_TANI       AS 入数単位
      ,SURYO            AS 数量
      ,SOSU             AS 注文総数
      ,BARA_TANI        AS バラ単位
      ,TOTAL            AS 金額
      ,SHIIRE_MEI       AS 仕入先名
      ,MAKER_MEI        AS メーカー名
      ,KOBAI_NO         AS '購買申請No.'
  FROM V_KOBAI_LIST
 WHERE ISNULL(IRAI_NO,'') &lt;&gt; ''
   AND DEL_FLG = 'False'
</t>
    <phoneticPr fontId="1"/>
  </si>
  <si>
    <t xml:space="preserve">SELECT V_C_NYUSHUKKO.NYUSHUKKO_NO         AS '入出庫No.'
      ,V_C_NYUSHUKKO.IRAI_NO              AS '依頼No.'
      ,V_C_NYUSHUKKO.JURI_NO              AS '受理No.'
      ,V_C_NYUSHUKKO.NYURYOKUSHA_MEI      AS 入力者
      ,V_KOBAI_LIST.KOBAIHIN_CD           AS 購買品CD
      ,V_KOBAI_LIST.KOBAIHIN_MEI          AS 購買品名
      ,V_C_NYUSHUKKO.HOKAN_BASHO_KBN_MEI  AS 保管場所
      ,V_C_NYUSHUKKO.UKEIRE_DATE          AS 受入日
      ,V_C_NYUSHUKKO.KENSHU_DATE          AS 検収日
      ,V_C_NYUSHUKKO.NYUKO_SURYO          AS 入庫数量
  FROM V_C_NYUSHUKKO
  LEFT JOIN
       V_KOBAI_LIST
    ON V_KOBAI_LIST.IRAI_NO = V_C_NYUSHUKKO.IRAI_NO
 WHERE NYUSHUKKO_KBN = 1
   AND DEL_FLG       = 'False'
</t>
    <phoneticPr fontId="1"/>
  </si>
  <si>
    <t xml:space="preserve">SELECT M_MEISHO_B.MEISHO_CD AS '部署CD'
      ,M_MEISHO_B.DATA_1    AS '部署名'
  FROM M_MEISHO_B
 WHERE M_MEISHO_B.MEISHO_KBN  =  'M001'
   AND M_MEISHO_B.MEISHO_CD   &gt;= 20
   AND M_MEISHO_B.MEISHO_CD   &lt;= 25
   AND M_MEISHO_B.MISHIYO_FLG =  'False'
 ORDER BY
       M_MEISHO_B.SORT_NO ASC
      ,CAST(M_MEISHO_B.MEISHO_CD AS INT) ASC
</t>
    <phoneticPr fontId="1"/>
  </si>
  <si>
    <t xml:space="preserve">SELECT M_MEISHO_B.MEISHO_CD AS ステータスCD
      ,M_MEISHO_B.DATA_1 AS ステータス
  FROM M_MEISHO_B
 WHERE M_MEISHO_B.MEISHO_KBN = 'S006'
   AND M_MEISHO_B.MEISHO_CD  &lt; 3
   AND M_MEISHO_B.MISHIYO_FLG = 'False'
 ORDER BY
       M_MEISHO_B.SORT_NO ASC
      ,CAST(M_MEISHO_B.MEISHO_CD AS INT) ASC
</t>
    <phoneticPr fontId="1"/>
  </si>
  <si>
    <t xml:space="preserve">SELECT M_MEISHO_B.MEISHO_CD AS 購買区分CD
      ,M_MEISHO_B.DATA_1 AS 購買区分
  FROM M_MEISHO_B
 WHERE M_MEISHO_B.MEISHO_KBN='K021'
   AND M_MEISHO_B.MISHIYO_FLG = 'False'
 ORDER BY
       M_MEISHO_B.SORT_NO ASC
      ,CAST(M_MEISHO_B.MEISHO_CD AS INT) ASC
</t>
    <phoneticPr fontId="1"/>
  </si>
  <si>
    <t xml:space="preserve">SELECT M_MEISHO_B.MEISHO_CD AS 保管場所CD
      ,M_MEISHO_B.DATA_1 AS 保管場所
  FROM M_MEISHO_B
 WHERE M_MEISHO_B.MEISHO_KBN='M002'
   AND M_MEISHO_B.MISHIYO_FLG = 'False'
 ORDER BY
       M_MEISHO_B.SORT_NO ASC
      ,CAST(M_MEISHO_B.MEISHO_CD AS INT) ASC
</t>
    <phoneticPr fontId="1"/>
  </si>
  <si>
    <t xml:space="preserve">SELECT 
 V_SHIIRE_KOBAI_LIST.KOBAI_NO                  -- 購買申請No.
 ,V_SHIIRE_KOBAI_LIST.KOBAI_KBN_MEI             -- 購買区分名
 ,V_SHIIRE_KOBAI_LIST.KOBAI_STS_MEI             -- 購買ステータス名
 ,V_SHIIRE_KOBAI_LIST.SHINSEISHA_MEI            -- 申請者名
 ,V_SHIIRE_KOBAI_LIST.SHINSEI_DATE              -- 申請日
 ,V_SHIIRE_KOBAI_LIST.KOBAIHIN_CD               -- 購買品CD
 ,V_SHIIRE_KOBAI_LIST.KOBAIHIN_MEI              -- 購買品名
 ,V_SHIIRE_KOBAI_LIST.TANKA                     -- 単価
 ,V_SHIIRE_KOBAI_LIST.IRISU                     -- 入数
 ,V_SHIIRE_KOBAI_LIST.BARA_TANI                 -- バラ単位
 ,V_SHIIRE_KOBAI_LIST.SURYO                     -- 数量
 ,V_SHIIRE_KOBAI_LIST.IRISU_TANI                -- 入数単位
 ,V_SHIIRE_KOBAI_LIST.SOSU                      -- 注文総数
 ,V_SHIIRE_KOBAI_LIST.TOTAL                     -- 合計金額
 ,V_SHIIRE_KOBAI_LIST.UKEIRE_DATE               -- 受入日
 ,V_SHIIRE_KOBAI_LIST.KENSHU_DATE               -- 検収日
 ,V_SHIIRE_KOBAI_LIST.HOKAN_BASHO_KBN_MEI       -- 保管場所区分名
 ,V_SHIIRE_KOBAI_LIST.SHIIRE_CD                 -- 仕入先CD
 ,V_SHIIRE_KOBAI_LIST.SHIIRE_MEI                -- 仕入先名
 ,V_SHIIRE_KOBAI_LIST.MAKER_CD                  -- メーカーCD
 ,V_SHIIRE_KOBAI_LIST.MAKER_MEI                 -- メーカー名
 ,V_SHIIRE_KOBAI_LIST.YOSAN_CD                  -- 予算コード
 ,V_SHIIRE_KOBAI_LIST.JURI_NO                   -- 受理No.
 ,V_SHIIRE_KOBAI_LIST.BIKO                      -- 備考
 ,V_SHIIRE_KOBAI_LIST.IRAI_NO                   -- 依頼No.
 ,V_SHIIRE_KOBAI_LIST.CHUMON_NO                 -- 注文No.
 ,V_SHIIRE_KOBAI_LIST.SHIIRE_NO_S               -- 仕入No.
 ,V_SHIIRE_KOBAI_LIST.KOBAI_KBN                 -- 購買区分
 ,V_SHIIRE_KOBAI_LIST.KOBAI_STS                 -- 購買ステータス
 ,V_SHIIRE_KOBAI_LIST.YOSAN_MEI                 -- 予算名
 ,V_SHIIRE_KOBAI_LIST.SHINSEISHA_CD             -- 申請者CD
 ,V_SHIIRE_KOBAI_LIST.SHIIRE_MIKEIJO_FLG        -- 仕入未計上フラグ
</t>
    <phoneticPr fontId="1"/>
  </si>
  <si>
    <t>勘定科目</t>
    <rPh sb="0" eb="2">
      <t>カンジョウ</t>
    </rPh>
    <rPh sb="2" eb="4">
      <t>カモク</t>
    </rPh>
    <phoneticPr fontId="1"/>
  </si>
  <si>
    <t>勘定科目▼</t>
    <rPh sb="0" eb="2">
      <t>カンジョウ</t>
    </rPh>
    <rPh sb="2" eb="4">
      <t>カモク</t>
    </rPh>
    <phoneticPr fontId="1"/>
  </si>
  <si>
    <t>勘定科目CD</t>
    <rPh sb="0" eb="2">
      <t>カンジョウ</t>
    </rPh>
    <rPh sb="2" eb="4">
      <t>カモク</t>
    </rPh>
    <phoneticPr fontId="1"/>
  </si>
  <si>
    <t>UNKB0210_H_KANJO_KAMOKU_CD</t>
    <phoneticPr fontId="1"/>
  </si>
  <si>
    <t>勘定科目</t>
    <rPh sb="0" eb="2">
      <t>カンジョウ</t>
    </rPh>
    <rPh sb="2" eb="4">
      <t>カモク</t>
    </rPh>
    <phoneticPr fontId="1"/>
  </si>
  <si>
    <t>「=OFFSET(UNKB0210_IF_LIST_KANJO_KAMOKU_START,,,IF(UNKB0210_IF_LIST_KANJO_KAMOKU_KENSU=0,1,UNKB0210_IF_LIST_KANJO_KAMOKU_KENSU),1)」</t>
  </si>
  <si>
    <t>UNKB0210_IF_LIST_KANJO_KAMOKU</t>
    <phoneticPr fontId="1"/>
  </si>
  <si>
    <t>KANJO_KAMOKU</t>
    <phoneticPr fontId="1"/>
  </si>
  <si>
    <t>UNKB0210_SQL_LIST_KANJO_KAMOKU</t>
    <phoneticPr fontId="1"/>
  </si>
  <si>
    <t>仕入科目▼</t>
    <rPh sb="0" eb="2">
      <t>シイ</t>
    </rPh>
    <rPh sb="2" eb="4">
      <t>カモク</t>
    </rPh>
    <phoneticPr fontId="1"/>
  </si>
  <si>
    <t>仕入伝区▼</t>
    <rPh sb="0" eb="2">
      <t>シイレ</t>
    </rPh>
    <rPh sb="2" eb="3">
      <t>デン</t>
    </rPh>
    <rPh sb="3" eb="4">
      <t>ク</t>
    </rPh>
    <phoneticPr fontId="1"/>
  </si>
  <si>
    <t>仕入科目</t>
    <rPh sb="0" eb="2">
      <t>シイ</t>
    </rPh>
    <rPh sb="2" eb="4">
      <t>カモク</t>
    </rPh>
    <phoneticPr fontId="1"/>
  </si>
  <si>
    <t>仕入伝区</t>
    <rPh sb="0" eb="2">
      <t>シイ</t>
    </rPh>
    <rPh sb="2" eb="3">
      <t>デン</t>
    </rPh>
    <rPh sb="3" eb="4">
      <t>ク</t>
    </rPh>
    <phoneticPr fontId="1"/>
  </si>
  <si>
    <t xml:space="preserve">SELECT W_SHIIRE.SHIIRE_NO                   AS SHIIRE_NO
      ,W_SHIIRE.SHIIRE_DATE                 AS SHIIRE_DATE
      ,J_SHIIRE_KAMOKU.DATA_1               AS SHIIRE_KAMOKU
      ,J_DENKU.DATA_1                       AS DENKU
      ,W_SHIIRE.KOBAI_KBN                   AS KOBAI_KBN
      ,J_KOBAI_KBN.DATA_1                   AS KOBAI_KBN_MEI
      ,J_KANJO_KAMOKU.DATA_1                AS KANJO_KAMOKU
      ,W_SHIIRE.SHIIRE_NYURYOKUSHA_CD       AS NYURYOKUSHA_CD
      ,J_NYURYOKUSHA.SHIMEI                 AS NYURYOKUSHA_MEI
      ,W_SHIIRE.SHIHARAI_DATE               AS SHIHARAI_DATE
      ,W_SHIIRE.SHIIRE_STS                  AS SHIIRE_STS
      ,J_STS.DATA_1                         AS SHIIRE_STS_MEI
      ,W_SHIIRE.SHIIRE_CD                   AS SHIIRE_CD
      ,J_SHIIRESAKI.AITE_MEI                AS SHIIRE_MEI
      ,J_SHIIRESAKI.SHIIRE_CHUKI            AS SHIIRE_CHUKI
      ,W_SHIIRE.SHOKAN_NO                   AS SHOKAN_NO
      ,W_SHIIRE.SHOKAN_LINK_DATETIME        AS SHOKAN_LINK_DATETIME
      ,J_SHIIRESAKI.SHIIRE_HASU_KBN         AS SHIIRE_HASU_KBN
  FROM W_SHIIRE
  LEFT JOIN
       M_MEISHO_B AS J_KOBAI_KBN
    ON J_KOBAI_KBN.MEISHO_KBN = 'K021'
   AND J_KOBAI_KBN.MEISHO_CD  = W_SHIIRE.KOBAI_KBN
  LEFT JOIN
       M_MEISHO_B AS J_STS
    ON J_STS.MEISHO_KBN = 'S006'
   AND J_STS.MEISHO_CD  = W_SHIIRE.SHIIRE_STS
  LEFT JOIN
       M_SHAIN AS J_NYURYOKUSHA
    ON J_NYURYOKUSHA.SHAIN_CD = W_SHIIRE.SHIIRE_NYURYOKUSHA_CD
  LEFT JOIN
       M_AITESAKI AS J_SHIIRESAKI
    ON J_SHIIRESAKI.AITE_CD = W_SHIIRE.SHIIRE_CD
  LEFT JOIN
       M_MEISHO_B AS J_SHIIRE_KAMOKU
    ON J_SHIIRE_KAMOKU.MEISHO_KBN = 'K034'
   AND J_SHIIRE_KAMOKU.MEISHO_CD  = W_SHIIRE.SHIIRE_KAMOKU
  LEFT JOIN
       M_MEISHO_B AS J_DENKU
    ON J_DENKU.MEISHO_KBN = 'K035'
   AND J_DENKU.MEISHO_CD  = W_SHIIRE.DENKU
  LEFT JOIN
       M_MEISHO_B AS J_KANJO_KAMOKU
    ON J_KANJO_KAMOKU.MEISHO_KBN = 'K036'
   AND J_KANJO_KAMOKU.MEISHO_CD  = W_SHIIRE.KANJO_KAMOKU
</t>
    <phoneticPr fontId="1"/>
  </si>
  <si>
    <t>UNKB0210_SQL_LIST_SHIIRE_KAMOKU</t>
    <phoneticPr fontId="1"/>
  </si>
  <si>
    <t>UNKB0210_SQL_LIST_DENKU</t>
    <phoneticPr fontId="1"/>
  </si>
  <si>
    <t>仕入科目CD</t>
    <rPh sb="0" eb="2">
      <t>シイ</t>
    </rPh>
    <rPh sb="2" eb="4">
      <t>カモク</t>
    </rPh>
    <phoneticPr fontId="1"/>
  </si>
  <si>
    <t>仕入伝区CD</t>
    <rPh sb="0" eb="2">
      <t>シイレ</t>
    </rPh>
    <rPh sb="2" eb="3">
      <t>デン</t>
    </rPh>
    <rPh sb="3" eb="4">
      <t>ク</t>
    </rPh>
    <phoneticPr fontId="1"/>
  </si>
  <si>
    <t>UNKB0210_H_SHIIRE_KAMOKU_CD</t>
    <phoneticPr fontId="1"/>
  </si>
  <si>
    <t>UNKB0210_H_DENKU_CD</t>
    <phoneticPr fontId="1"/>
  </si>
  <si>
    <t>UNKB0210_IF_LIST_SHIIRE_KAMOKU</t>
  </si>
  <si>
    <t>「=OFFSET(UNKB0210_IF_LIST_SHIIRE_KAMOKU_START,,,IF(UNKB0210_IF_LIST_SHIIRE_KAMOKU_KENSU=0,1,UNKB0210_IF_LIST_SHIIRE_KAMOKU_KENSU),1)」</t>
  </si>
  <si>
    <t>UNKB0210_IF_LIST_DENKU</t>
  </si>
  <si>
    <t>「=OFFSET(UNKB0210_IF_LIST_DENKU_START,,,IF(UNKB0210_IF_LIST_DENKU_KENSU=0,1,UNKB0210_IF_LIST_DENKU_KENSU),1)」</t>
  </si>
  <si>
    <t>カード</t>
  </si>
  <si>
    <t>掛売</t>
  </si>
  <si>
    <t>現収</t>
  </si>
  <si>
    <t>その他</t>
  </si>
  <si>
    <t>仮伝</t>
  </si>
  <si>
    <t>契約売上</t>
  </si>
  <si>
    <t>仕入</t>
    <rPh sb="0" eb="2">
      <t>シイ</t>
    </rPh>
    <phoneticPr fontId="1"/>
  </si>
  <si>
    <t>仕入以外</t>
    <rPh sb="0" eb="2">
      <t>シイ</t>
    </rPh>
    <rPh sb="2" eb="4">
      <t>イガイ</t>
    </rPh>
    <phoneticPr fontId="1"/>
  </si>
  <si>
    <t>仕入日,購買区分,仕入入力者名,仕入科目,仕入伝区,勘定科目,支払予定日,ステータス,仕入先</t>
    <rPh sb="16" eb="18">
      <t>シイ</t>
    </rPh>
    <rPh sb="18" eb="20">
      <t>カモク</t>
    </rPh>
    <rPh sb="21" eb="23">
      <t>シイ</t>
    </rPh>
    <rPh sb="23" eb="24">
      <t>デン</t>
    </rPh>
    <rPh sb="24" eb="25">
      <t>ク</t>
    </rPh>
    <rPh sb="26" eb="28">
      <t>カンジョウ</t>
    </rPh>
    <rPh sb="28" eb="30">
      <t>カモク</t>
    </rPh>
    <phoneticPr fontId="1"/>
  </si>
  <si>
    <t>UNKB0210_H_SHIIRE_DATE,UNKB0210_H_KOBAI_KBN,UNKB0210_H_NYURYOKUSHA_MEI,UNKB0210_H_SHIIRE_KAMOKU,UNKB0210_H_DENKU,UNKB0210_H_KANJO_KAMOKU,UNKB0210_H_SHIHARAI_DATE,UNKB0210_H_STS,UNKB0210_H_SHIIRESAKI_CD</t>
    <phoneticPr fontId="1"/>
  </si>
  <si>
    <t>仕入科目</t>
    <rPh sb="0" eb="2">
      <t>シイレ</t>
    </rPh>
    <rPh sb="2" eb="4">
      <t>カモク</t>
    </rPh>
    <phoneticPr fontId="1"/>
  </si>
  <si>
    <t>SHIIRE_KAMOKU</t>
    <phoneticPr fontId="1"/>
  </si>
  <si>
    <t>DENKU</t>
    <phoneticPr fontId="1"/>
  </si>
  <si>
    <t>UNKB0210_SQL_INIT_SHIIRE_KAMOKU</t>
    <phoneticPr fontId="1"/>
  </si>
  <si>
    <t>UNKB0210_SQL_INIT_SHIIRE_DENKU</t>
    <phoneticPr fontId="1"/>
  </si>
  <si>
    <t xml:space="preserve">SELECT DATA_1
  FROM M_MEISHO_B
 WHERE M_MEISHO_B.MEISHO_KBN = 'K034'
   AND M_MEISHO_B.MEISHO_CD  = '0'
</t>
    <phoneticPr fontId="1"/>
  </si>
  <si>
    <t xml:space="preserve">SELECT DATA_1
  FROM M_MEISHO_B
 WHERE M_MEISHO_B.MEISHO_KBN = 'K035'
   AND M_MEISHO_B.MEISHO_CD  = '0'
</t>
    <phoneticPr fontId="1"/>
  </si>
  <si>
    <t xml:space="preserve">SELECT MEISHO_CD
      ,DATA_1
  FROM M_MEISHO_B
 WHERE M_MEISHO_B.MEISHO_KBN = 'S006'
   AND M_MEISHO_B.MEISHO_CD  = 2
</t>
    <phoneticPr fontId="1"/>
  </si>
  <si>
    <t>購買品CD,購買品名,単価,入数,入数単位,数量,バラ単位,注文総数,合計金額,メーカーCD,予算コードまたは受理No.</t>
    <phoneticPr fontId="1"/>
  </si>
  <si>
    <t>OFF:2</t>
    <phoneticPr fontId="1"/>
  </si>
  <si>
    <t>購買データ連動モード時、無効</t>
    <rPh sb="0" eb="2">
      <t>コウバイ</t>
    </rPh>
    <rPh sb="5" eb="7">
      <t>レンドウ</t>
    </rPh>
    <rPh sb="10" eb="11">
      <t>ジ</t>
    </rPh>
    <rPh sb="12" eb="14">
      <t>ムコウ</t>
    </rPh>
    <phoneticPr fontId="1"/>
  </si>
  <si>
    <t>UNKB0210_IF_DEFAULT_CHECK</t>
    <phoneticPr fontId="1"/>
  </si>
  <si>
    <t>デフォルトセット判定</t>
    <rPh sb="8" eb="10">
      <t>ハンテイ</t>
    </rPh>
    <phoneticPr fontId="1"/>
  </si>
  <si>
    <t>仮払金-ﾘｻｲｸﾙ</t>
  </si>
  <si>
    <t>015401</t>
  </si>
  <si>
    <t>仮払金-その他</t>
  </si>
  <si>
    <t>015409</t>
  </si>
  <si>
    <t>測定機械</t>
  </si>
  <si>
    <t>016300</t>
  </si>
  <si>
    <t>車両運搬具</t>
  </si>
  <si>
    <t>016400</t>
  </si>
  <si>
    <t>建設仮勘定</t>
  </si>
  <si>
    <t>016700</t>
  </si>
  <si>
    <t>長期前払費用-即時償却少額資産</t>
  </si>
  <si>
    <t>018301</t>
  </si>
  <si>
    <t>長期前払費用-その他</t>
  </si>
  <si>
    <t>018302</t>
  </si>
  <si>
    <t>試薬仕入高</t>
  </si>
  <si>
    <t>040200</t>
  </si>
  <si>
    <t>福利厚生費</t>
  </si>
  <si>
    <t>041400</t>
  </si>
  <si>
    <t>外注加工費</t>
  </si>
  <si>
    <t>042000</t>
  </si>
  <si>
    <t>技研外注加工費</t>
  </si>
  <si>
    <t>043300</t>
  </si>
  <si>
    <t>技術消耗品費</t>
  </si>
  <si>
    <t>043500</t>
  </si>
  <si>
    <t>技術修繕費</t>
  </si>
  <si>
    <t>043800</t>
  </si>
  <si>
    <t>技術研修教育費-ｾﾐﾅｰ･講習会参加</t>
  </si>
  <si>
    <t>044601</t>
  </si>
  <si>
    <t>技術研修教育費-精度管理関連</t>
  </si>
  <si>
    <t>044602</t>
  </si>
  <si>
    <t>技術研修教育費-資格受験料</t>
  </si>
  <si>
    <t>044603</t>
  </si>
  <si>
    <t>技術研修教育費-資格登録料</t>
  </si>
  <si>
    <t>044604</t>
  </si>
  <si>
    <t>技術研修教育費-その他</t>
  </si>
  <si>
    <t>044605</t>
  </si>
  <si>
    <t>ガラス器具</t>
  </si>
  <si>
    <t>044800</t>
  </si>
  <si>
    <t>商品仕入高</t>
  </si>
  <si>
    <t>046100</t>
  </si>
  <si>
    <t>営業委託費</t>
  </si>
  <si>
    <t>046300</t>
  </si>
  <si>
    <t>広告宣伝費</t>
  </si>
  <si>
    <t>051000</t>
  </si>
  <si>
    <t>発送配達費</t>
  </si>
  <si>
    <t>051100</t>
  </si>
  <si>
    <t>研修教育費</t>
  </si>
  <si>
    <t>052000</t>
  </si>
  <si>
    <t>車両関連費-ｶﾞｿﾘﾝ代</t>
  </si>
  <si>
    <t>052102</t>
  </si>
  <si>
    <t>車両関連費-ﾚﾝﾀｶｰ代</t>
  </si>
  <si>
    <t>052103</t>
  </si>
  <si>
    <t>車両関連費-維持費(課税)</t>
  </si>
  <si>
    <t>05211A</t>
  </si>
  <si>
    <t>車両関連費-維持費(非課税)</t>
  </si>
  <si>
    <t>05211B</t>
  </si>
  <si>
    <t>事務用品費</t>
  </si>
  <si>
    <t>052200</t>
  </si>
  <si>
    <t>消耗品費</t>
  </si>
  <si>
    <t>052300</t>
  </si>
  <si>
    <t>賃借料-AEDﾘｰｽ料</t>
  </si>
  <si>
    <t>052401</t>
  </si>
  <si>
    <t>賃借料-愛知ｸﾚｼﾞｯﾄｻｰﾋﾞｽ㈱</t>
  </si>
  <si>
    <t>052402</t>
  </si>
  <si>
    <t>賃借料-分析機器ﾚﾝﾀﾙ</t>
  </si>
  <si>
    <t>052403</t>
  </si>
  <si>
    <t>賃借料-三菱電機ｸﾚｼﾞｯﾄ㈱</t>
  </si>
  <si>
    <t>052404</t>
  </si>
  <si>
    <t>賃借料-AEDﾘｰｽ料(ZOLL)</t>
  </si>
  <si>
    <t>052405</t>
  </si>
  <si>
    <t>賃借料-その他</t>
  </si>
  <si>
    <t>052406</t>
  </si>
  <si>
    <t>修繕費</t>
  </si>
  <si>
    <t>052600</t>
  </si>
  <si>
    <t>租税公課-印紙税等</t>
  </si>
  <si>
    <t>052701</t>
  </si>
  <si>
    <t>租税公課-固定資産税</t>
  </si>
  <si>
    <t>052702</t>
  </si>
  <si>
    <t>租税公課-自動車税等</t>
  </si>
  <si>
    <t>052703</t>
  </si>
  <si>
    <t>租税公課-加算税等</t>
  </si>
  <si>
    <t>052707</t>
  </si>
  <si>
    <t>租税公課-延滞税等</t>
  </si>
  <si>
    <t>052708</t>
  </si>
  <si>
    <t>租税公課-その他</t>
  </si>
  <si>
    <t>052709</t>
  </si>
  <si>
    <t>接待交際費-一般</t>
  </si>
  <si>
    <t>052901</t>
  </si>
  <si>
    <t>接待交際費-5000以下</t>
  </si>
  <si>
    <t>052902</t>
  </si>
  <si>
    <t>支払手数料-振込手数料</t>
  </si>
  <si>
    <t>053201</t>
  </si>
  <si>
    <t>支払手数料-税理士等</t>
  </si>
  <si>
    <t>053202</t>
  </si>
  <si>
    <t>支払手数料-その他</t>
  </si>
  <si>
    <t>053203</t>
  </si>
  <si>
    <t>支払手数料-銀行</t>
  </si>
  <si>
    <t>053204</t>
  </si>
  <si>
    <t>支払手数料-ｺﾝサル料</t>
  </si>
  <si>
    <t>053205</t>
  </si>
  <si>
    <t>支払手数料-技術ｼｽﾃﾑ</t>
  </si>
  <si>
    <t>053206</t>
  </si>
  <si>
    <t>支払手数料-施設</t>
  </si>
  <si>
    <t>053207</t>
  </si>
  <si>
    <t>会議費</t>
  </si>
  <si>
    <t>053300</t>
  </si>
  <si>
    <t>諸会費(課税)</t>
  </si>
  <si>
    <t>05340A</t>
  </si>
  <si>
    <t>諸会費(非課税)</t>
  </si>
  <si>
    <t>05340B</t>
  </si>
  <si>
    <t>寄付金</t>
  </si>
  <si>
    <t>053500</t>
  </si>
  <si>
    <t>新聞図書費</t>
  </si>
  <si>
    <t>053600</t>
  </si>
  <si>
    <t>環境対策費</t>
  </si>
  <si>
    <t>053700</t>
  </si>
  <si>
    <t>雑費-安全協力会費</t>
  </si>
  <si>
    <t>053901</t>
  </si>
  <si>
    <t>雑費-産廃処分費</t>
  </si>
  <si>
    <t>053902</t>
  </si>
  <si>
    <t>雑費-その他</t>
  </si>
  <si>
    <t>053903</t>
  </si>
  <si>
    <t>採用費</t>
  </si>
  <si>
    <t>125600</t>
  </si>
  <si>
    <t>研究開発費</t>
  </si>
  <si>
    <t>125800</t>
  </si>
  <si>
    <t>SELECT DATA_1
      ,MEISHO_CD
  FROM M_MEISHO_B
 WHERE M_MEISHO_B.MEISHO_KBN = 'K036'
 ORDER BY SORT_NO ASC</t>
    <phoneticPr fontId="1"/>
  </si>
  <si>
    <t>SELECT DATA_1
      ,MEISHO_CD
  FROM M_MEISHO_B
 WHERE M_MEISHO_B.MEISHO_KBN = 'K035'
 ORDER BY SORT_NO ASC</t>
    <phoneticPr fontId="1"/>
  </si>
  <si>
    <t>SELECT DATA_1
      ,MEISHO_CD
  FROM M_MEISHO_B
 WHERE M_MEISHO_B.MEISHO_KBN = 'K034'
 ORDER BY SORT_NO ASC</t>
    <phoneticPr fontId="1"/>
  </si>
  <si>
    <t>SELECT DATA_1
      ,MEISHO_CD
  FROM M_MEISHO_B
 WHERE M_MEISHO_B.MEISHO_KBN = 'K021'
 ORDER BY SORT_NO ASC</t>
    <phoneticPr fontId="1"/>
  </si>
  <si>
    <t>SELECT DATA_1
      ,MEISHO_CD
  FROM M_MEISHO_B
 WHERE M_MEISHO_B.MEISHO_KBN = 'K029'
 ORDER BY SORT_NO ASC</t>
    <phoneticPr fontId="1"/>
  </si>
  <si>
    <t>資産</t>
    <rPh sb="0" eb="2">
      <t>シサン</t>
    </rPh>
    <phoneticPr fontId="1"/>
  </si>
  <si>
    <t>資産（旧投資）</t>
    <rPh sb="0" eb="2">
      <t>シサン</t>
    </rPh>
    <rPh sb="3" eb="4">
      <t>キュウ</t>
    </rPh>
    <rPh sb="4" eb="6">
      <t>トウシ</t>
    </rPh>
    <phoneticPr fontId="1"/>
  </si>
  <si>
    <t xml:space="preserve">SELECT M_SHOHIN.SHOHIN_CD               AS 購買品CD
      ,M_SHOHIN.SHOHIN_MEI              AS 購買品名
      ,M_SHOHIN.SHIIRE_IRISU            AS 仕入入数
      ,M_SHOHIN.SHIIRE_IRISU_TANI       AS 仕入入数単位
      ,M_SHOHIN.SHIIRE_TANKA            AS 仕入単価
      ,M_SHOHIN.BAIKA                   AS 売価
      ,CASE M_SHOHIN.DOKU_FLG
       WHEN 'True' THEN '×'
       ELSE NULL
       END                              AS 毒
      ,CASE M_SHOHIN.CHOSEI_SHIYAKU_FLG
       WHEN 'True' THEN '×'
       ELSE NULL
       END                              AS 試薬
      ,J_STATUS.DATA_1                  AS ステータス
      ,M_SHOHIN.BIKO                    AS 備考
      ,M_SHOHIN.TEIKA                   AS 定価
      ,M_SHOHIN.BARA_TANI               AS バラ単位
      ,M_SHOHIN.SHIIRE_CD               AS 仕入先CD
      ,J_SHIIRE.AITE_MEI                AS 仕入先名
      ,M_SHOHIN.MAKER_CD                AS メーカーCD
      ,J_MAKER.AITE_MEI                 AS メーカー名
      ,M_SHOHIN.SHIKIICHI               AS 閾値
      ,M_SHOHIN.HYOJUN_NOKI             AS 標準納期
      ,M_SHOHIN.HOKANBASHO_KBN          AS 保管場所区分
      ,J_HOKAN_BASHO.DATA_1             AS 保管場所名
  FROM M_SHOHIN
  LEFT JOIN M_AITESAKI        AS J_SHIIRE
    ON M_SHOHIN.SHIIRE_CD = J_SHIIRE.AITE_CD
  LEFT JOIN M_AITESAKI        AS J_MAKER
    ON M_SHOHIN.MAKER_CD = J_MAKER.AITE_CD
  LEFT JOIN M_MEISHO_B          AS J_STATUS
    ON M_SHOHIN.SHOHIN_STS = J_STATUS.MEISHO_CD
   AND J_STATUS.MEISHO_KBN = 'S001'
  LEFT JOIN M_MEISHO_B          AS J_HOKAN_BASHO
    ON M_SHOHIN.HOKANBASHO_KBN = J_HOKAN_BASHO.MEISHO_CD
   AND J_HOKAN_BASHO.MEISHO_KBN = 'M002'
 WHERE M_SHOHIN.SHOHIN_STS = '1'
  AND M_SHOHIN.MISHIYO_FLG  = 'False'
</t>
    <phoneticPr fontId="1"/>
  </si>
  <si>
    <t xml:space="preserve">SELECT NULL                         AS 行
      ,NULL                         AS 予算コード
      ,J_MAKER.AITE_MEI             AS メーカー名
      ,NULL                         AS 参照元購買申請SEQ
      ,M_SHOHIN.SHOHIN_CD           AS 購買品CD
      ,M_SHOHIN.SHOHIN_MEI          AS 購買品名
      ,M_SHOHIN.SHIIRE_TANKA        AS 仕入単価
      ,M_SHOHIN.SHIIRE_IRISU        AS 仕入入数
      ,M_SHOHIN.BARA_TANI           AS バラ単位
      ,NULL                         AS 数量
      ,M_SHOHIN.SHIIRE_IRISU_TANI   AS 仕入入数単位
      ,NULL                         AS 注文総数
      ,NULL                         AS 合計金額
      ,M_SHOHIN.MAKER_CD            AS メーカーCD
      ,NULL                         AS メーカー名表示用
      ,NULL                         AS 予算コード名
      ,NULL                         AS '受理No.'
      ,NULL                         AS 仕入備考
      ,NULL                         AS '参照元購買申請No.'
      ,M_SHOHIN.HOKANBASHO_KBN      AS 保管場所区分
      ,J_HOKAN_BASHO.DATA_1         AS 保管場所
      ,J_SHIIRE.AITE_MEI            AS 仕入先名
      ,J_SHIIRE.SHIIRE_HASU_KBN     AS 仕入先端数処理区分
      ,M_SHOHIN.SHIKIICHI           AS 閾値
      ,M_SHOHIN.HYOJUN_NOKI         AS 標準納期
      ,M_SHOHIN.SHOHIN_BUNRUI       AS 商品分類区分
      ,J_KOBAIHIN_KBN.DATA_2        AS 購買品区分
      ,M_SHOHIN.SHIIRE_CD           AS 仕入先CD
      ,M_SHOHIN.BAIKA               AS 売価
      ,M_SHOHIN.BIKO                AS 備考
      ,CASE M_SHOHIN.DOKU_FLG
       WHEN 'True' THEN '×'
       ELSE NULL
       END                          AS 毒
      ,CASE M_SHOHIN.CHOSEI_SHIYAKU_FLG
       WHEN 'True' THEN '×'
       ELSE NULL
       END                          AS 試薬
      ,M_SHOHIN.TEIKA               AS 定価
  FROM M_SHOHIN
  LEFT JOIN
       M_AITESAKI AS J_SHIIRE
    ON J_SHIIRE.AITE_CD = M_SHOHIN.SHIIRE_CD
  LEFT JOIN
       M_AITESAKI AS J_MAKER
    ON J_MAKER.AITE_CD = M_SHOHIN.MAKER_CD
  LEFT JOIN
       M_MEISHO_B AS J_KOBAIHIN_KBN
    ON J_KOBAIHIN_KBN.MEISHO_KBN = 'K025'
   AND J_KOBAIHIN_KBN.MEISHO_CD  = M_SHOHIN.SHOHIN_BUNRUI
  LEFT JOIN
       M_MEISHO_B AS J_HOKAN_BASHO
    ON J_KOBAIHIN_KBN.MEISHO_KBN = 'M002'
   AND J_KOBAIHIN_KBN.MEISHO_CD  = M_SHOHIN.HOKANBASHO_KBN
 WHERE M_SHOHIN.SHOHIN_STS = '1'
  AND M_SHOHIN.MISHIYO_FLG  = 'False'
</t>
    <phoneticPr fontId="1"/>
  </si>
  <si>
    <t xml:space="preserve">  AND M_SHOHIN.SHOHIN_BUNRUI IN ('2000')
   AND M_SHOHIN.KOBAIHIN_FLG  = 'True'</t>
  </si>
  <si>
    <t xml:space="preserve">  AND (    M_SHOHIN.SHOHIN_BUNRUI IN ('50','51','52','53')
        OR M_SHOHIN.BUNSEKI_FLG = 'True'
      )</t>
  </si>
  <si>
    <t xml:space="preserve">  AND M_SHOHIN.SHOHIN_BUNRUI IN ('50','51')
   AND M_SHOHIN.KOBAIHIN_FLG  = 'True'</t>
  </si>
  <si>
    <t xml:space="preserve">  AND M_SHOHIN.SHOHIN_BUNRUI &lt; '50'
   AND M_SHOHIN.KOBAIHIN_FLG  = 'True'</t>
  </si>
  <si>
    <t>依頼No.▽</t>
    <rPh sb="0" eb="2">
      <t>イライ</t>
    </rPh>
    <phoneticPr fontId="1"/>
  </si>
  <si>
    <t>UNKB0200_H_IRAI_NO_S</t>
    <phoneticPr fontId="1"/>
  </si>
  <si>
    <t xml:space="preserve">SELECT W_SHIIRE.GYO_NO          AS SHIIRE_NO
      ,J_YOSAN.YOSAN_MEI        AS YOSAN_MEI
      ,J_MAKER.AITE_MEI         AS MAKER_MEI
      ,W_SHIIRE.KOBAI_SEQ       AS KOBAI_SEQ
      ,W_SHIIRE.KOBAIHIN_CD     AS KOBAIHIN_CD
      ,W_SHIIRE.KOBAIHIN_MEI    AS KOBAIHIN_MEI
      ,W_SHIIRE.TANKA           AS TANKA
      ,W_SHIIRE.IRISU           AS IRISU
      ,W_SHIIRE.BARA_TANI       AS BARA_TANI
      ,W_SHIIRE.SURYO           AS SURYO
      ,W_SHIIRE.IRISU_TANI      AS IRISU_TANI
      ,W_SHIIRE.SOSU            AS SOSU
      ,W_SHIIRE.TOTAL           AS TOTAL
      ,J_KOBAI.IRAI_NO          AS IRAI_NO
      ,W_SHIIRE.MAKER_CD        AS MAKER_CD
      ,NULL                     AS MAKER_MEI_DISP
      ,W_SHIIRE.YOSAN_CD        AS YOSAN_CD
      ,W_SHIIRE.JURI_NO         AS JURI_NO
      ,W_SHIIRE.BIKO            AS BIKO
      ,W_SHIIRE.KOBAI_NO        AS KOBAI_NO
  FROM W_SHIIRE
  LEFT JOIN
       M_YOSAN AS J_YOSAN
    ON J_YOSAN.YOSAN_CD  = W_SHIIRE.YOSAN_CD
  LEFT JOIN
       M_AITESAKI AS J_MAKER
    ON J_MAKER.AITE_CD = W_SHIIRE.MAKER_CD
  LEFT JOIN
       V_KOBAI_LIST AS J_KOBAI
    ON J_KOBAI.KOBAI_NO = W_SHIIRE.KOBAI_NO
   AND J_KOBAI.KOBAI_SEQ = W_SHIIRE.KOBAI_SEQ
</t>
    <phoneticPr fontId="1"/>
  </si>
  <si>
    <t xml:space="preserve">SELECT
       V_SHIIRE_EXCEL.*
</t>
    <phoneticPr fontId="1"/>
  </si>
  <si>
    <t xml:space="preserve">  FROM V_SHIIRE_KENSAKU_LIST
  LEFT JOIN
       V_SHIIRE_EXCEL
    ON V_SHIIRE_EXCEL.SHIIRE_NO = V_SHIIRE_KENSAKU_LIST.SHIIRE_NO
</t>
    <phoneticPr fontId="1"/>
  </si>
  <si>
    <t>仕入科目CD</t>
  </si>
  <si>
    <t>仕入科目名</t>
  </si>
  <si>
    <t>伝区CD</t>
  </si>
  <si>
    <t>伝区名</t>
  </si>
  <si>
    <t>購買区分CD</t>
  </si>
  <si>
    <t>購買区分名</t>
  </si>
  <si>
    <t>勘定科目CD</t>
  </si>
  <si>
    <t>勘定科目名</t>
  </si>
  <si>
    <t>仕入入力者名</t>
  </si>
  <si>
    <t>仕入ステータスCD</t>
  </si>
  <si>
    <t>仕入ステータス名</t>
  </si>
  <si>
    <t>仕入先名</t>
  </si>
  <si>
    <t>依頼No.</t>
  </si>
  <si>
    <t>商品分類CD</t>
    <phoneticPr fontId="1"/>
  </si>
  <si>
    <t>商品分類名</t>
    <phoneticPr fontId="1"/>
  </si>
  <si>
    <t>試薬フラグ</t>
    <phoneticPr fontId="1"/>
  </si>
  <si>
    <t>調製試薬フラグ</t>
    <phoneticPr fontId="1"/>
  </si>
  <si>
    <t>毒劇物フラグ</t>
    <phoneticPr fontId="1"/>
  </si>
  <si>
    <t>PRTR</t>
    <phoneticPr fontId="1"/>
  </si>
  <si>
    <t xml:space="preserve">SELECT M_SHOHIN.SHOHIN_CD               AS 購買品CD
      ,M_SHOHIN.SHOHIN_MEI              AS 購買品名
      ,M_SHOHIN.AITE_SHOHIN_MEI         AS 相手先購買品名
      ,M_SHOHIN.IRISU                   AS 入数
      ,M_SHOHIN.IRISU_TANI              AS 入数単位
      ,M_SHOHIN.SHIIRE_TANKA            AS 仕入単価
      ,M_SHOHIN.GENKA                   AS 原価
      ,M_SHOHIN.BAIKA                   AS 売価
      ,CASE M_SHOHIN.DOKU_FLG
       WHEN 'True' THEN '×'
       ELSE NULL
       END                              AS 毒
      ,CASE M_SHOHIN.CHOSEI_SHIYAKU_FLG
       WHEN 'True' THEN '×'
       ELSE NULL
       END                              AS 試薬
      ,R_STATUS.DATA_1                  AS ステータス
      ,M_SHOHIN.BIKO                    AS 備考
      ,M_SHOHIN.TEIKA                   AS 定価
      ,M_SHOHIN.SHIIRE_IRISU            AS 仕入入数
      ,M_SHOHIN.SHIIRE_IRISU_TANI       AS 仕入入数単位
      ,M_SHOHIN.BARA_TANI               AS バラ単位
      ,M_SHOHIN.SHIIRE_CD               AS 仕入先CD
      ,R_SHIIRE_SAKI.AITE_MEI           AS 仕入先名
      ,M_SHOHIN.MAKER_CD                AS メーカーCD
      ,R_MAKER.AITE_MEI                 AS メーカー名
      ,CASE M_SHOHIN.AITE_SHOHIN_MEI
       WHEN '' THEN
            M_SHOHIN.SHOHIN_MEI
       ELSE
            M_SHOHIN.AITE_SHOHIN_MEI
       END                              AS 展開購買品名
      ,M_SHOHIN.SHIKIICHI               AS 閾値
      ,M_SHOHIN.HYOJUN_NOKI             AS 標準納期
      ,( SELECT DISTINCT
                CONVERT(VARCHAR(10), MAX(T_KOBAI_H.SHINSEI_DATETIME), 111)
           FROM T_KOBAI_H
           LEFT JOIN
                T_KOBAI_B
             ON T_KOBAI_B.KOBAI_NO = T_KOBAI_H.KOBAI_NO
          WHERE T_KOBAI_B.KOBAIHIN_CD = M_SHOHIN.SHOHIN_CD
       )                                AS 最終申請日
  FROM M_SHOHIN
  LEFT JOIN M_AITESAKI        AS R_SHIIRE_SAKI
    ON M_SHOHIN.SHIIRE_CD = R_SHIIRE_SAKI.AITE_CD
  LEFT JOIN M_AITESAKI        AS R_MAKER
    ON M_SHOHIN.MAKER_CD  = R_MAKER.AITE_CD
  LEFT JOIN M_MEISHO_B          AS R_STATUS
    ON M_SHOHIN.SHOHIN_STS = R_STATUS.MEISHO_CD
   AND R_STATUS.MEISHO_KBN = 'S001'
 WHERE M_SHOHIN.SHOHIN_STS = '1'
  AND M_SHOHIN.MISHIYO_FLG  = 'False'
--  AND M_SHOHIN.KOBAIHIN_FLG = 'True'
 ORDER BY SHOHIN_CD ASC
</t>
    <phoneticPr fontId="1"/>
  </si>
  <si>
    <t>申請日▽</t>
    <rPh sb="0" eb="2">
      <t>シンセイ</t>
    </rPh>
    <phoneticPr fontId="1"/>
  </si>
  <si>
    <t>受入日▽</t>
    <rPh sb="0" eb="2">
      <t>ウケイレ</t>
    </rPh>
    <phoneticPr fontId="1"/>
  </si>
  <si>
    <t>検収日▽</t>
    <rPh sb="0" eb="2">
      <t>ケンシュウ</t>
    </rPh>
    <phoneticPr fontId="1"/>
  </si>
  <si>
    <t>仕入日▽</t>
    <rPh sb="0" eb="2">
      <t>シイレ</t>
    </rPh>
    <phoneticPr fontId="1"/>
  </si>
  <si>
    <t>支払予定日▽</t>
    <rPh sb="0" eb="2">
      <t>シハライ</t>
    </rPh>
    <rPh sb="2" eb="4">
      <t>ヨテイ</t>
    </rPh>
    <phoneticPr fontId="1"/>
  </si>
  <si>
    <t>予算コード▽</t>
    <rPh sb="0" eb="2">
      <t>ヨサン</t>
    </rPh>
    <phoneticPr fontId="1"/>
  </si>
  <si>
    <t>UNKB_JURI_NO_IF_LIST</t>
    <phoneticPr fontId="1"/>
  </si>
  <si>
    <t>「=OFFSET(UNKB_JURI_NO_IF_START,,,IF(UNKB_JURI_NO_IF_KENSU=0,1,UNKB_JURI_NO_IF_KENSU),1)」</t>
    <phoneticPr fontId="1"/>
  </si>
  <si>
    <t>受理No.</t>
    <phoneticPr fontId="1"/>
  </si>
  <si>
    <t>J16-080009</t>
    <phoneticPr fontId="1"/>
  </si>
  <si>
    <t>J16-080012</t>
    <phoneticPr fontId="1"/>
  </si>
  <si>
    <t>J16-080013</t>
    <phoneticPr fontId="1"/>
  </si>
  <si>
    <t>J16-080014</t>
    <phoneticPr fontId="1"/>
  </si>
  <si>
    <t>J16-080015</t>
    <phoneticPr fontId="1"/>
  </si>
  <si>
    <t>UNKB_YOSAN_CD_IF_LIST</t>
    <phoneticPr fontId="1"/>
  </si>
  <si>
    <t>「=OFFSET(UNKB_YOSAN_CD_IF_START,,,IF(UNKB_YOSAN_CD_IF_KENSU=0,1,UNKB_YOSAN_CD_IF_KENSU),1)」</t>
    <phoneticPr fontId="1"/>
  </si>
  <si>
    <t>コード</t>
    <phoneticPr fontId="1"/>
  </si>
  <si>
    <t>特定依頼（受理No.無/先行手配)</t>
    <phoneticPr fontId="1"/>
  </si>
  <si>
    <t>0100-00</t>
    <phoneticPr fontId="1"/>
  </si>
  <si>
    <t>技術消耗品・備品・経費</t>
    <phoneticPr fontId="1"/>
  </si>
  <si>
    <t>0105-01</t>
    <phoneticPr fontId="1"/>
  </si>
  <si>
    <t>MLAP/DXNs</t>
    <phoneticPr fontId="1"/>
  </si>
  <si>
    <t>0105-02</t>
    <phoneticPr fontId="1"/>
  </si>
  <si>
    <t>ISO/IEC17025</t>
    <phoneticPr fontId="1"/>
  </si>
  <si>
    <t>0115-01</t>
    <phoneticPr fontId="1"/>
  </si>
  <si>
    <t>技術ﾚﾝﾀｶｰ・ﾘｰｽ</t>
    <phoneticPr fontId="1"/>
  </si>
  <si>
    <t>【入力時チェック】</t>
    <rPh sb="1" eb="3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</si>
</sst>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0_ "/>
    <numFmt numFmtId="177" formatCode="yyyy/mm/dd\ hh:mm:ss"/>
    <numFmt numFmtId="178" formatCode="0.000_ "/>
    <numFmt numFmtId="179" formatCode="yyyy/mm/dd"/>
    <numFmt numFmtId="180" formatCode="#,##0.00_ ;[Red]\-#,##0.00\ "/>
    <numFmt numFmtId="181" formatCode="0_);[Red]\(0\)"/>
    <numFmt numFmtId="182" formatCode="#,##0.00_ "/>
    <numFmt numFmtId="183" formatCode="yyyy/mm/dd\ h:mm:ss"/>
  </numFmts>
  <fonts count="2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0"/>
      <color theme="3" tint="-0.499984740745262"/>
      <name val="メイリオ"/>
      <family val="3"/>
      <charset val="128"/>
    </font>
    <font>
      <b/>
      <sz val="12"/>
      <color theme="0"/>
      <name val="メイリオ"/>
      <family val="3"/>
      <charset val="128"/>
    </font>
    <font>
      <sz val="10"/>
      <color theme="1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trike/>
      <sz val="11"/>
      <color theme="1"/>
      <name val="メイリオ"/>
      <family val="3"/>
      <charset val="128"/>
    </font>
    <font>
      <strike/>
      <sz val="11"/>
      <color theme="1"/>
      <name val="メイリオ"/>
      <family val="3"/>
      <charset val="128"/>
    </font>
    <font>
      <strike/>
      <sz val="10"/>
      <color theme="1"/>
      <name val="メイリオ"/>
      <family val="3"/>
      <charset val="128"/>
    </font>
    <font>
      <b/>
      <strike/>
      <sz val="10"/>
      <color theme="1"/>
      <name val="メイリオ"/>
      <family val="3"/>
      <charset val="128"/>
    </font>
    <font>
      <sz val="9"/>
      <color rgb="FF000000"/>
      <name val="Meiryo UI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8B8CE"/>
        <bgColor indexed="64"/>
      </patternFill>
    </fill>
    <fill>
      <patternFill patternType="solid">
        <fgColor rgb="FFEDF7F9"/>
        <bgColor indexed="64"/>
      </patternFill>
    </fill>
    <fill>
      <patternFill patternType="solid">
        <fgColor rgb="FFFFC000"/>
        <bgColor indexed="64"/>
      </patternFill>
    </fill>
  </fills>
  <borders count="3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11" fillId="0" borderId="0" applyNumberFormat="0" applyFill="0" applyBorder="0" applyAlignment="0" applyProtection="0">
      <alignment vertical="center"/>
    </xf>
  </cellStyleXfs>
  <cellXfs count="31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shrinkToFit="1"/>
    </xf>
    <xf numFmtId="0" fontId="3" fillId="2" borderId="0" xfId="0" applyFont="1" applyFill="1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Font="1">
      <alignment vertical="center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 shrinkToFit="1"/>
    </xf>
    <xf numFmtId="0" fontId="0" fillId="2" borderId="0" xfId="0" applyFill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0" fillId="2" borderId="2" xfId="0" applyFill="1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0" fontId="8" fillId="5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0" fontId="9" fillId="6" borderId="12" xfId="0" applyFont="1" applyFill="1" applyBorder="1" applyAlignment="1">
      <alignment horizontal="right" vertical="center"/>
    </xf>
    <xf numFmtId="0" fontId="9" fillId="6" borderId="13" xfId="0" applyFont="1" applyFill="1" applyBorder="1" applyAlignment="1">
      <alignment horizontal="right" vertical="center"/>
    </xf>
    <xf numFmtId="0" fontId="9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vertical="center"/>
    </xf>
    <xf numFmtId="0" fontId="9" fillId="4" borderId="10" xfId="0" applyFont="1" applyFill="1" applyBorder="1" applyAlignment="1">
      <alignment vertical="center"/>
    </xf>
    <xf numFmtId="0" fontId="9" fillId="4" borderId="4" xfId="0" applyFont="1" applyFill="1" applyBorder="1" applyAlignment="1">
      <alignment horizontal="center" vertical="center" shrinkToFit="1"/>
    </xf>
    <xf numFmtId="0" fontId="9" fillId="4" borderId="4" xfId="0" applyFont="1" applyFill="1" applyBorder="1" applyAlignment="1" applyProtection="1">
      <alignment horizontal="center" vertical="center" shrinkToFit="1"/>
    </xf>
    <xf numFmtId="0" fontId="10" fillId="4" borderId="0" xfId="0" applyFont="1" applyFill="1" applyBorder="1" applyAlignment="1">
      <alignment horizontal="right" vertical="center"/>
    </xf>
    <xf numFmtId="0" fontId="9" fillId="0" borderId="4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horizontal="center" vertical="center"/>
    </xf>
    <xf numFmtId="9" fontId="9" fillId="4" borderId="4" xfId="0" applyNumberFormat="1" applyFont="1" applyFill="1" applyBorder="1" applyAlignment="1">
      <alignment horizontal="center" vertical="center"/>
    </xf>
    <xf numFmtId="0" fontId="9" fillId="4" borderId="7" xfId="0" applyFont="1" applyFill="1" applyBorder="1" applyAlignment="1">
      <alignment vertical="center"/>
    </xf>
    <xf numFmtId="0" fontId="9" fillId="3" borderId="4" xfId="0" applyFont="1" applyFill="1" applyBorder="1" applyAlignment="1">
      <alignment horizontal="center" vertical="center" shrinkToFit="1"/>
    </xf>
    <xf numFmtId="0" fontId="10" fillId="3" borderId="4" xfId="0" applyFont="1" applyFill="1" applyBorder="1" applyAlignment="1">
      <alignment horizontal="center" vertical="center" shrinkToFit="1"/>
    </xf>
    <xf numFmtId="0" fontId="9" fillId="3" borderId="17" xfId="0" applyFont="1" applyFill="1" applyBorder="1" applyAlignment="1">
      <alignment horizontal="center" vertical="center" shrinkToFit="1"/>
    </xf>
    <xf numFmtId="0" fontId="9" fillId="0" borderId="4" xfId="0" applyFont="1" applyFill="1" applyBorder="1" applyAlignment="1">
      <alignment vertical="center" shrinkToFit="1"/>
    </xf>
    <xf numFmtId="0" fontId="8" fillId="0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9" fillId="0" borderId="0" xfId="0" applyFont="1" applyFill="1" applyBorder="1" applyAlignment="1" applyProtection="1">
      <alignment vertical="center"/>
      <protection locked="0"/>
    </xf>
    <xf numFmtId="0" fontId="9" fillId="0" borderId="0" xfId="0" applyFont="1" applyFill="1" applyBorder="1" applyAlignment="1" applyProtection="1">
      <alignment vertical="center" shrinkToFit="1"/>
      <protection locked="0"/>
    </xf>
    <xf numFmtId="0" fontId="9" fillId="2" borderId="0" xfId="0" applyFont="1" applyFill="1" applyBorder="1" applyAlignment="1" applyProtection="1">
      <alignment vertical="center"/>
      <protection locked="0"/>
    </xf>
    <xf numFmtId="0" fontId="9" fillId="2" borderId="18" xfId="0" applyFont="1" applyFill="1" applyBorder="1" applyAlignment="1" applyProtection="1">
      <alignment vertical="center"/>
      <protection locked="0"/>
    </xf>
    <xf numFmtId="0" fontId="9" fillId="2" borderId="18" xfId="0" applyFont="1" applyFill="1" applyBorder="1" applyAlignment="1">
      <alignment vertical="center" shrinkToFit="1"/>
    </xf>
    <xf numFmtId="0" fontId="9" fillId="2" borderId="15" xfId="0" applyFont="1" applyFill="1" applyBorder="1" applyAlignment="1">
      <alignment vertical="center"/>
    </xf>
    <xf numFmtId="0" fontId="5" fillId="0" borderId="0" xfId="0" applyFont="1" applyAlignment="1">
      <alignment vertical="center" shrinkToFit="1"/>
    </xf>
    <xf numFmtId="0" fontId="0" fillId="2" borderId="0" xfId="0" applyFill="1">
      <alignment vertical="center"/>
    </xf>
    <xf numFmtId="0" fontId="0" fillId="0" borderId="4" xfId="0" applyBorder="1" applyAlignment="1">
      <alignment vertical="center" shrinkToFit="1"/>
    </xf>
    <xf numFmtId="177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0" fontId="0" fillId="2" borderId="4" xfId="0" applyFill="1" applyBorder="1" applyAlignment="1">
      <alignment vertical="center" shrinkToFit="1"/>
    </xf>
    <xf numFmtId="179" fontId="9" fillId="8" borderId="4" xfId="0" applyNumberFormat="1" applyFont="1" applyFill="1" applyBorder="1" applyAlignment="1" applyProtection="1">
      <alignment horizontal="center" vertical="center" shrinkToFit="1"/>
      <protection locked="0"/>
    </xf>
    <xf numFmtId="0" fontId="9" fillId="8" borderId="4" xfId="0" applyFont="1" applyFill="1" applyBorder="1" applyAlignment="1" applyProtection="1">
      <alignment horizontal="center" vertical="center" shrinkToFit="1"/>
      <protection locked="0"/>
    </xf>
    <xf numFmtId="0" fontId="9" fillId="4" borderId="4" xfId="0" applyFont="1" applyFill="1" applyBorder="1" applyAlignment="1" applyProtection="1">
      <alignment horizontal="center" vertical="center"/>
    </xf>
    <xf numFmtId="0" fontId="9" fillId="3" borderId="4" xfId="0" applyFont="1" applyFill="1" applyBorder="1" applyAlignment="1">
      <alignment vertical="center"/>
    </xf>
    <xf numFmtId="0" fontId="0" fillId="10" borderId="4" xfId="0" applyFill="1" applyBorder="1">
      <alignment vertical="center"/>
    </xf>
    <xf numFmtId="0" fontId="9" fillId="6" borderId="4" xfId="0" applyFont="1" applyFill="1" applyBorder="1" applyAlignment="1" applyProtection="1">
      <alignment horizontal="left" vertical="center" shrinkToFit="1"/>
      <protection locked="0"/>
    </xf>
    <xf numFmtId="180" fontId="9" fillId="0" borderId="4" xfId="0" quotePrefix="1" applyNumberFormat="1" applyFont="1" applyBorder="1" applyAlignment="1" applyProtection="1">
      <alignment horizontal="right" vertical="center" shrinkToFit="1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180" fontId="9" fillId="4" borderId="4" xfId="0" quotePrefix="1" applyNumberFormat="1" applyFont="1" applyFill="1" applyBorder="1" applyAlignment="1">
      <alignment horizontal="right" vertical="center" shrinkToFit="1"/>
    </xf>
    <xf numFmtId="180" fontId="9" fillId="4" borderId="4" xfId="0" quotePrefix="1" applyNumberFormat="1" applyFont="1" applyFill="1" applyBorder="1" applyAlignment="1" applyProtection="1">
      <alignment horizontal="right" vertical="center" shrinkToFit="1"/>
    </xf>
    <xf numFmtId="0" fontId="0" fillId="2" borderId="0" xfId="0" applyNumberFormat="1" applyFill="1" applyAlignment="1">
      <alignment vertical="center" shrinkToFit="1"/>
    </xf>
    <xf numFmtId="0" fontId="11" fillId="11" borderId="4" xfId="2" applyFont="1" applyFill="1" applyBorder="1">
      <alignment vertical="center"/>
    </xf>
    <xf numFmtId="0" fontId="12" fillId="11" borderId="4" xfId="2" applyFont="1" applyFill="1" applyBorder="1">
      <alignment vertical="center"/>
    </xf>
    <xf numFmtId="0" fontId="9" fillId="4" borderId="4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right" vertical="center" shrinkToFit="1"/>
    </xf>
    <xf numFmtId="0" fontId="0" fillId="0" borderId="0" xfId="0" applyFill="1" applyBorder="1" applyAlignment="1">
      <alignment vertical="center" shrinkToFit="1"/>
    </xf>
    <xf numFmtId="0" fontId="9" fillId="0" borderId="4" xfId="0" applyFont="1" applyFill="1" applyBorder="1" applyAlignment="1" applyProtection="1">
      <alignment horizontal="center" vertical="center"/>
      <protection locked="0"/>
    </xf>
    <xf numFmtId="0" fontId="0" fillId="0" borderId="4" xfId="0" applyFont="1" applyFill="1" applyBorder="1" applyAlignment="1">
      <alignment vertical="center" shrinkToFit="1"/>
    </xf>
    <xf numFmtId="0" fontId="9" fillId="0" borderId="4" xfId="0" applyFont="1" applyFill="1" applyBorder="1" applyAlignment="1">
      <alignment horizontal="left" vertical="center" shrinkToFit="1"/>
    </xf>
    <xf numFmtId="176" fontId="9" fillId="4" borderId="4" xfId="0" applyNumberFormat="1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vertical="center" shrinkToFit="1"/>
    </xf>
    <xf numFmtId="14" fontId="9" fillId="0" borderId="0" xfId="0" applyNumberFormat="1" applyFont="1" applyFill="1" applyBorder="1" applyAlignment="1">
      <alignment vertical="center"/>
    </xf>
    <xf numFmtId="14" fontId="9" fillId="0" borderId="0" xfId="0" applyNumberFormat="1" applyFont="1" applyFill="1" applyBorder="1" applyAlignment="1">
      <alignment vertical="center" shrinkToFit="1"/>
    </xf>
    <xf numFmtId="20" fontId="0" fillId="0" borderId="0" xfId="0" applyNumberFormat="1" applyAlignment="1">
      <alignment vertical="center" shrinkToFit="1"/>
    </xf>
    <xf numFmtId="0" fontId="0" fillId="9" borderId="0" xfId="0" applyFill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9" borderId="4" xfId="0" applyFont="1" applyFill="1" applyBorder="1" applyAlignment="1" applyProtection="1">
      <alignment horizontal="left" vertical="center" shrinkToFit="1"/>
    </xf>
    <xf numFmtId="0" fontId="5" fillId="0" borderId="0" xfId="0" applyFont="1" applyAlignment="1">
      <alignment horizontal="center" vertical="center"/>
    </xf>
    <xf numFmtId="0" fontId="13" fillId="10" borderId="4" xfId="0" applyFont="1" applyFill="1" applyBorder="1" applyAlignment="1">
      <alignment vertical="center"/>
    </xf>
    <xf numFmtId="0" fontId="13" fillId="10" borderId="4" xfId="0" applyFont="1" applyFill="1" applyBorder="1" applyAlignment="1">
      <alignment horizontal="left" vertical="center" wrapText="1"/>
    </xf>
    <xf numFmtId="0" fontId="13" fillId="10" borderId="4" xfId="0" applyFont="1" applyFill="1" applyBorder="1" applyAlignment="1">
      <alignment vertical="center" wrapText="1"/>
    </xf>
    <xf numFmtId="0" fontId="13" fillId="10" borderId="4" xfId="0" applyFont="1" applyFill="1" applyBorder="1">
      <alignment vertical="center"/>
    </xf>
    <xf numFmtId="0" fontId="13" fillId="12" borderId="19" xfId="0" applyFont="1" applyFill="1" applyBorder="1" applyAlignment="1">
      <alignment horizontal="center" vertical="center"/>
    </xf>
    <xf numFmtId="0" fontId="13" fillId="12" borderId="4" xfId="0" applyFont="1" applyFill="1" applyBorder="1" applyAlignment="1">
      <alignment vertical="center" wrapText="1"/>
    </xf>
    <xf numFmtId="0" fontId="13" fillId="12" borderId="4" xfId="0" applyFont="1" applyFill="1" applyBorder="1">
      <alignment vertical="center"/>
    </xf>
    <xf numFmtId="0" fontId="13" fillId="12" borderId="18" xfId="0" applyFont="1" applyFill="1" applyBorder="1">
      <alignment vertical="center"/>
    </xf>
    <xf numFmtId="0" fontId="14" fillId="10" borderId="16" xfId="0" applyFont="1" applyFill="1" applyBorder="1" applyAlignment="1">
      <alignment horizontal="left" vertical="center"/>
    </xf>
    <xf numFmtId="0" fontId="13" fillId="10" borderId="18" xfId="0" applyFont="1" applyFill="1" applyBorder="1" applyAlignment="1">
      <alignment horizontal="left" vertical="center"/>
    </xf>
    <xf numFmtId="0" fontId="13" fillId="13" borderId="4" xfId="0" applyFont="1" applyFill="1" applyBorder="1" applyAlignment="1">
      <alignment vertical="center"/>
    </xf>
    <xf numFmtId="0" fontId="13" fillId="13" borderId="4" xfId="0" applyFont="1" applyFill="1" applyBorder="1" applyAlignment="1">
      <alignment vertical="center" wrapText="1"/>
    </xf>
    <xf numFmtId="0" fontId="13" fillId="12" borderId="16" xfId="0" applyFont="1" applyFill="1" applyBorder="1" applyAlignment="1">
      <alignment horizontal="center" vertical="center"/>
    </xf>
    <xf numFmtId="0" fontId="14" fillId="10" borderId="14" xfId="0" applyFont="1" applyFill="1" applyBorder="1" applyAlignment="1">
      <alignment horizontal="left" vertical="center"/>
    </xf>
    <xf numFmtId="0" fontId="13" fillId="12" borderId="15" xfId="0" applyFont="1" applyFill="1" applyBorder="1">
      <alignment vertical="center"/>
    </xf>
    <xf numFmtId="0" fontId="13" fillId="10" borderId="15" xfId="0" applyFont="1" applyFill="1" applyBorder="1" applyAlignment="1">
      <alignment horizontal="left" vertical="center"/>
    </xf>
    <xf numFmtId="178" fontId="9" fillId="2" borderId="0" xfId="0" applyNumberFormat="1" applyFont="1" applyFill="1" applyBorder="1" applyAlignment="1">
      <alignment horizontal="center" vertical="center" shrinkToFit="1"/>
    </xf>
    <xf numFmtId="0" fontId="9" fillId="4" borderId="4" xfId="0" applyFont="1" applyFill="1" applyBorder="1" applyAlignment="1" applyProtection="1">
      <alignment horizontal="left" vertical="center" shrinkToFit="1"/>
    </xf>
    <xf numFmtId="0" fontId="9" fillId="4" borderId="4" xfId="0" applyFont="1" applyFill="1" applyBorder="1" applyAlignment="1" applyProtection="1">
      <alignment vertical="center"/>
    </xf>
    <xf numFmtId="0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0" fontId="9" fillId="4" borderId="0" xfId="0" applyFont="1" applyFill="1" applyBorder="1" applyAlignment="1" applyProtection="1">
      <alignment vertical="center"/>
    </xf>
    <xf numFmtId="0" fontId="10" fillId="4" borderId="0" xfId="0" applyFont="1" applyFill="1" applyBorder="1" applyAlignment="1" applyProtection="1">
      <alignment horizontal="right" vertical="center"/>
    </xf>
    <xf numFmtId="0" fontId="9" fillId="4" borderId="0" xfId="0" applyFont="1" applyFill="1" applyBorder="1" applyAlignment="1" applyProtection="1">
      <alignment horizontal="right" vertical="center"/>
    </xf>
    <xf numFmtId="9" fontId="9" fillId="4" borderId="4" xfId="0" applyNumberFormat="1" applyFont="1" applyFill="1" applyBorder="1" applyAlignment="1" applyProtection="1">
      <alignment horizontal="center" vertical="center"/>
    </xf>
    <xf numFmtId="176" fontId="9" fillId="4" borderId="4" xfId="0" applyNumberFormat="1" applyFont="1" applyFill="1" applyBorder="1" applyAlignment="1" applyProtection="1">
      <alignment horizontal="center" vertical="center" shrinkToFit="1"/>
    </xf>
    <xf numFmtId="179" fontId="9" fillId="4" borderId="4" xfId="0" applyNumberFormat="1" applyFont="1" applyFill="1" applyBorder="1" applyAlignment="1" applyProtection="1">
      <alignment horizontal="center" vertical="center"/>
    </xf>
    <xf numFmtId="0" fontId="9" fillId="4" borderId="12" xfId="0" applyFont="1" applyFill="1" applyBorder="1" applyAlignment="1" applyProtection="1">
      <alignment horizontal="center" vertical="center"/>
    </xf>
    <xf numFmtId="179" fontId="13" fillId="10" borderId="4" xfId="0" applyNumberFormat="1" applyFont="1" applyFill="1" applyBorder="1" applyAlignment="1">
      <alignment horizontal="left" vertical="center" wrapText="1"/>
    </xf>
    <xf numFmtId="0" fontId="9" fillId="3" borderId="12" xfId="0" applyFont="1" applyFill="1" applyBorder="1" applyAlignment="1">
      <alignment horizontal="center" vertical="center" shrinkToFit="1"/>
    </xf>
    <xf numFmtId="0" fontId="10" fillId="3" borderId="14" xfId="0" applyFont="1" applyFill="1" applyBorder="1" applyAlignment="1">
      <alignment horizontal="center" vertical="center" shrinkToFit="1"/>
    </xf>
    <xf numFmtId="0" fontId="9" fillId="3" borderId="4" xfId="0" applyFont="1" applyFill="1" applyBorder="1" applyAlignment="1">
      <alignment horizontal="center" vertical="center" wrapText="1" shrinkToFit="1"/>
    </xf>
    <xf numFmtId="0" fontId="15" fillId="10" borderId="14" xfId="0" applyFont="1" applyFill="1" applyBorder="1" applyAlignment="1">
      <alignment horizontal="left" vertical="center"/>
    </xf>
    <xf numFmtId="0" fontId="16" fillId="10" borderId="4" xfId="0" applyFont="1" applyFill="1" applyBorder="1" applyAlignment="1">
      <alignment vertical="center" wrapText="1"/>
    </xf>
    <xf numFmtId="0" fontId="16" fillId="10" borderId="4" xfId="0" applyFont="1" applyFill="1" applyBorder="1">
      <alignment vertical="center"/>
    </xf>
    <xf numFmtId="0" fontId="17" fillId="0" borderId="0" xfId="0" applyFont="1" applyFill="1" applyBorder="1" applyAlignment="1">
      <alignment vertical="center"/>
    </xf>
    <xf numFmtId="0" fontId="17" fillId="2" borderId="0" xfId="0" applyFont="1" applyFill="1" applyBorder="1" applyAlignment="1" applyProtection="1">
      <alignment vertical="center"/>
      <protection locked="0"/>
    </xf>
    <xf numFmtId="0" fontId="18" fillId="4" borderId="0" xfId="0" applyFont="1" applyFill="1" applyBorder="1" applyAlignment="1">
      <alignment horizontal="right" vertical="center"/>
    </xf>
    <xf numFmtId="0" fontId="17" fillId="0" borderId="4" xfId="0" applyFont="1" applyFill="1" applyBorder="1" applyAlignment="1" applyProtection="1">
      <alignment horizontal="center" vertical="center"/>
      <protection locked="0"/>
    </xf>
    <xf numFmtId="0" fontId="14" fillId="10" borderId="16" xfId="0" applyFont="1" applyFill="1" applyBorder="1" applyAlignment="1">
      <alignment horizontal="left" vertical="center"/>
    </xf>
    <xf numFmtId="0" fontId="13" fillId="12" borderId="19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vertical="center"/>
    </xf>
    <xf numFmtId="0" fontId="13" fillId="10" borderId="14" xfId="0" applyFont="1" applyFill="1" applyBorder="1" applyAlignment="1">
      <alignment vertical="center" wrapText="1"/>
    </xf>
    <xf numFmtId="0" fontId="13" fillId="10" borderId="19" xfId="0" applyFont="1" applyFill="1" applyBorder="1" applyAlignment="1">
      <alignment vertical="center"/>
    </xf>
    <xf numFmtId="0" fontId="13" fillId="10" borderId="19" xfId="0" applyFont="1" applyFill="1" applyBorder="1" applyAlignment="1">
      <alignment vertical="center" wrapText="1"/>
    </xf>
    <xf numFmtId="0" fontId="13" fillId="10" borderId="20" xfId="0" quotePrefix="1" applyFont="1" applyFill="1" applyBorder="1" applyAlignment="1">
      <alignment vertical="center"/>
    </xf>
    <xf numFmtId="0" fontId="13" fillId="10" borderId="21" xfId="0" applyFont="1" applyFill="1" applyBorder="1" applyAlignment="1">
      <alignment vertical="center" wrapText="1"/>
    </xf>
    <xf numFmtId="0" fontId="13" fillId="10" borderId="22" xfId="0" quotePrefix="1" applyFont="1" applyFill="1" applyBorder="1" applyAlignment="1">
      <alignment vertical="center"/>
    </xf>
    <xf numFmtId="0" fontId="13" fillId="10" borderId="23" xfId="0" applyFont="1" applyFill="1" applyBorder="1" applyAlignment="1">
      <alignment vertical="center" wrapText="1"/>
    </xf>
    <xf numFmtId="0" fontId="13" fillId="10" borderId="24" xfId="0" quotePrefix="1" applyFont="1" applyFill="1" applyBorder="1" applyAlignment="1">
      <alignment vertical="center"/>
    </xf>
    <xf numFmtId="0" fontId="13" fillId="10" borderId="25" xfId="0" applyFont="1" applyFill="1" applyBorder="1" applyAlignment="1">
      <alignment vertical="center" wrapText="1"/>
    </xf>
    <xf numFmtId="179" fontId="9" fillId="8" borderId="4" xfId="0" applyNumberFormat="1" applyFont="1" applyFill="1" applyBorder="1" applyAlignment="1" applyProtection="1">
      <alignment horizontal="center" vertical="center"/>
      <protection locked="0"/>
    </xf>
    <xf numFmtId="0" fontId="9" fillId="8" borderId="12" xfId="0" applyFont="1" applyFill="1" applyBorder="1" applyAlignment="1" applyProtection="1">
      <alignment horizontal="center" vertical="center"/>
      <protection locked="0"/>
    </xf>
    <xf numFmtId="0" fontId="9" fillId="0" borderId="27" xfId="0" applyFont="1" applyFill="1" applyBorder="1" applyAlignment="1" applyProtection="1">
      <alignment horizontal="right" vertical="center"/>
      <protection locked="0"/>
    </xf>
    <xf numFmtId="0" fontId="9" fillId="4" borderId="27" xfId="0" applyFont="1" applyFill="1" applyBorder="1" applyAlignment="1" applyProtection="1">
      <alignment horizontal="right" vertical="center"/>
      <protection locked="0"/>
    </xf>
    <xf numFmtId="0" fontId="9" fillId="0" borderId="27" xfId="0" applyFont="1" applyFill="1" applyBorder="1" applyAlignment="1" applyProtection="1">
      <alignment vertical="center"/>
      <protection locked="0"/>
    </xf>
    <xf numFmtId="0" fontId="9" fillId="0" borderId="27" xfId="0" applyFont="1" applyFill="1" applyBorder="1" applyAlignment="1" applyProtection="1">
      <alignment horizontal="left" vertical="center" shrinkToFit="1"/>
      <protection locked="0"/>
    </xf>
    <xf numFmtId="0" fontId="9" fillId="0" borderId="28" xfId="0" applyFont="1" applyFill="1" applyBorder="1" applyAlignment="1" applyProtection="1">
      <alignment horizontal="right" vertical="center"/>
      <protection locked="0"/>
    </xf>
    <xf numFmtId="0" fontId="9" fillId="3" borderId="4" xfId="0" applyNumberFormat="1" applyFont="1" applyFill="1" applyBorder="1" applyAlignment="1" applyProtection="1">
      <alignment horizontal="center" vertical="center" shrinkToFit="1"/>
    </xf>
    <xf numFmtId="0" fontId="9" fillId="4" borderId="4" xfId="0" applyNumberFormat="1" applyFont="1" applyFill="1" applyBorder="1" applyAlignment="1" applyProtection="1">
      <alignment horizontal="center" vertical="center" shrinkToFit="1"/>
    </xf>
    <xf numFmtId="0" fontId="9" fillId="3" borderId="14" xfId="0" applyNumberFormat="1" applyFont="1" applyFill="1" applyBorder="1" applyAlignment="1" applyProtection="1">
      <alignment horizontal="center" vertical="center" shrinkToFit="1"/>
    </xf>
    <xf numFmtId="0" fontId="0" fillId="4" borderId="4" xfId="0" applyFill="1" applyBorder="1">
      <alignment vertical="center"/>
    </xf>
    <xf numFmtId="0" fontId="6" fillId="0" borderId="4" xfId="2" applyNumberFormat="1" applyFont="1" applyBorder="1">
      <alignment vertical="center"/>
    </xf>
    <xf numFmtId="179" fontId="6" fillId="0" borderId="4" xfId="2" applyNumberFormat="1" applyFont="1" applyBorder="1">
      <alignment vertical="center"/>
    </xf>
    <xf numFmtId="0" fontId="9" fillId="4" borderId="0" xfId="0" applyNumberFormat="1" applyFont="1" applyFill="1" applyBorder="1" applyAlignment="1">
      <alignment vertical="center"/>
    </xf>
    <xf numFmtId="179" fontId="9" fillId="4" borderId="15" xfId="0" applyNumberFormat="1" applyFont="1" applyFill="1" applyBorder="1" applyAlignment="1">
      <alignment horizontal="center" vertical="center" shrinkToFit="1"/>
    </xf>
    <xf numFmtId="0" fontId="9" fillId="4" borderId="15" xfId="0" applyNumberFormat="1" applyFont="1" applyFill="1" applyBorder="1" applyAlignment="1">
      <alignment horizontal="center" vertical="center" shrinkToFit="1"/>
    </xf>
    <xf numFmtId="0" fontId="7" fillId="0" borderId="0" xfId="1" applyFont="1" applyBorder="1" applyAlignment="1">
      <alignment vertical="center"/>
    </xf>
    <xf numFmtId="181" fontId="9" fillId="2" borderId="29" xfId="0" applyNumberFormat="1" applyFont="1" applyFill="1" applyBorder="1" applyAlignment="1" applyProtection="1">
      <alignment vertical="center"/>
      <protection locked="0"/>
    </xf>
    <xf numFmtId="0" fontId="0" fillId="0" borderId="30" xfId="0" applyBorder="1" applyAlignment="1" applyProtection="1">
      <alignment vertical="center"/>
      <protection locked="0"/>
    </xf>
    <xf numFmtId="0" fontId="0" fillId="0" borderId="31" xfId="0" applyBorder="1" applyAlignment="1" applyProtection="1">
      <alignment vertical="center"/>
      <protection locked="0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181" fontId="9" fillId="2" borderId="33" xfId="0" applyNumberFormat="1" applyFont="1" applyFill="1" applyBorder="1" applyAlignment="1" applyProtection="1">
      <alignment vertical="center"/>
      <protection locked="0"/>
    </xf>
    <xf numFmtId="0" fontId="5" fillId="0" borderId="0" xfId="0" applyFont="1" applyAlignment="1">
      <alignment horizontal="center" vertical="center" shrinkToFit="1"/>
    </xf>
    <xf numFmtId="0" fontId="9" fillId="0" borderId="0" xfId="0" applyFont="1" applyFill="1" applyBorder="1" applyAlignment="1" applyProtection="1">
      <alignment vertical="center" shrinkToFit="1"/>
    </xf>
    <xf numFmtId="181" fontId="9" fillId="2" borderId="34" xfId="0" applyNumberFormat="1" applyFont="1" applyFill="1" applyBorder="1" applyAlignment="1" applyProtection="1">
      <alignment vertical="center"/>
      <protection locked="0"/>
    </xf>
    <xf numFmtId="0" fontId="10" fillId="14" borderId="4" xfId="0" applyFont="1" applyFill="1" applyBorder="1" applyAlignment="1">
      <alignment vertical="center" wrapText="1"/>
    </xf>
    <xf numFmtId="0" fontId="10" fillId="14" borderId="4" xfId="0" applyFont="1" applyFill="1" applyBorder="1">
      <alignment vertical="center"/>
    </xf>
    <xf numFmtId="0" fontId="9" fillId="12" borderId="4" xfId="0" applyFont="1" applyFill="1" applyBorder="1" applyAlignment="1">
      <alignment vertical="center" wrapText="1"/>
    </xf>
    <xf numFmtId="0" fontId="9" fillId="12" borderId="4" xfId="0" applyFont="1" applyFill="1" applyBorder="1">
      <alignment vertical="center"/>
    </xf>
    <xf numFmtId="0" fontId="9" fillId="12" borderId="8" xfId="0" applyFont="1" applyFill="1" applyBorder="1">
      <alignment vertical="center"/>
    </xf>
    <xf numFmtId="0" fontId="9" fillId="10" borderId="14" xfId="0" applyFont="1" applyFill="1" applyBorder="1" applyAlignment="1">
      <alignment vertical="center"/>
    </xf>
    <xf numFmtId="0" fontId="9" fillId="10" borderId="14" xfId="0" applyFont="1" applyFill="1" applyBorder="1">
      <alignment vertical="center"/>
    </xf>
    <xf numFmtId="0" fontId="9" fillId="10" borderId="4" xfId="0" applyFont="1" applyFill="1" applyBorder="1">
      <alignment vertical="center"/>
    </xf>
    <xf numFmtId="0" fontId="9" fillId="10" borderId="14" xfId="0" applyFont="1" applyFill="1" applyBorder="1" applyAlignment="1">
      <alignment vertical="center" wrapText="1"/>
    </xf>
    <xf numFmtId="0" fontId="9" fillId="10" borderId="8" xfId="0" applyFont="1" applyFill="1" applyBorder="1" applyAlignment="1">
      <alignment horizontal="left" vertical="center"/>
    </xf>
    <xf numFmtId="0" fontId="9" fillId="10" borderId="8" xfId="0" applyFont="1" applyFill="1" applyBorder="1" applyAlignment="1">
      <alignment vertical="center"/>
    </xf>
    <xf numFmtId="0" fontId="9" fillId="15" borderId="4" xfId="0" applyFont="1" applyFill="1" applyBorder="1" applyAlignment="1">
      <alignment vertical="center"/>
    </xf>
    <xf numFmtId="0" fontId="9" fillId="15" borderId="14" xfId="0" applyFont="1" applyFill="1" applyBorder="1">
      <alignment vertical="center"/>
    </xf>
    <xf numFmtId="0" fontId="9" fillId="15" borderId="4" xfId="0" applyFont="1" applyFill="1" applyBorder="1">
      <alignment vertical="center"/>
    </xf>
    <xf numFmtId="0" fontId="9" fillId="10" borderId="14" xfId="0" applyNumberFormat="1" applyFont="1" applyFill="1" applyBorder="1">
      <alignment vertical="center"/>
    </xf>
    <xf numFmtId="0" fontId="9" fillId="12" borderId="9" xfId="0" applyFont="1" applyFill="1" applyBorder="1">
      <alignment vertical="center"/>
    </xf>
    <xf numFmtId="0" fontId="9" fillId="10" borderId="15" xfId="0" applyFont="1" applyFill="1" applyBorder="1" applyAlignment="1">
      <alignment vertical="center"/>
    </xf>
    <xf numFmtId="0" fontId="10" fillId="10" borderId="4" xfId="0" applyFont="1" applyFill="1" applyBorder="1">
      <alignment vertical="center"/>
    </xf>
    <xf numFmtId="0" fontId="9" fillId="12" borderId="15" xfId="0" applyFont="1" applyFill="1" applyBorder="1">
      <alignment vertical="center"/>
    </xf>
    <xf numFmtId="0" fontId="9" fillId="10" borderId="4" xfId="0" applyFont="1" applyFill="1" applyBorder="1" applyAlignment="1">
      <alignment vertical="top" wrapText="1"/>
    </xf>
    <xf numFmtId="0" fontId="9" fillId="4" borderId="15" xfId="0" applyNumberFormat="1" applyFont="1" applyFill="1" applyBorder="1" applyAlignment="1" applyProtection="1">
      <alignment horizontal="center" vertical="center" shrinkToFit="1"/>
      <protection locked="0"/>
    </xf>
    <xf numFmtId="0" fontId="9" fillId="4" borderId="15" xfId="0" applyNumberFormat="1" applyFont="1" applyFill="1" applyBorder="1" applyAlignment="1" applyProtection="1">
      <alignment horizontal="center" vertical="center" shrinkToFit="1"/>
    </xf>
    <xf numFmtId="0" fontId="9" fillId="10" borderId="18" xfId="0" applyFont="1" applyFill="1" applyBorder="1" applyAlignment="1">
      <alignment vertical="center"/>
    </xf>
    <xf numFmtId="0" fontId="9" fillId="6" borderId="4" xfId="0" applyNumberFormat="1" applyFont="1" applyFill="1" applyBorder="1" applyAlignment="1" applyProtection="1">
      <alignment horizontal="center" vertical="center" shrinkToFit="1"/>
    </xf>
    <xf numFmtId="0" fontId="9" fillId="4" borderId="15" xfId="0" applyNumberFormat="1" applyFont="1" applyFill="1" applyBorder="1" applyAlignment="1">
      <alignment horizontal="left" vertical="center" shrinkToFit="1"/>
    </xf>
    <xf numFmtId="22" fontId="9" fillId="4" borderId="15" xfId="0" applyNumberFormat="1" applyFont="1" applyFill="1" applyBorder="1" applyAlignment="1">
      <alignment horizontal="center" vertical="center" shrinkToFit="1"/>
    </xf>
    <xf numFmtId="0" fontId="9" fillId="12" borderId="18" xfId="0" applyFont="1" applyFill="1" applyBorder="1">
      <alignment vertical="center"/>
    </xf>
    <xf numFmtId="0" fontId="9" fillId="6" borderId="15" xfId="0" applyNumberFormat="1" applyFont="1" applyFill="1" applyBorder="1" applyAlignment="1" applyProtection="1">
      <alignment horizontal="center" vertical="center" shrinkToFit="1"/>
      <protection locked="0"/>
    </xf>
    <xf numFmtId="0" fontId="9" fillId="10" borderId="14" xfId="0" applyFont="1" applyFill="1" applyBorder="1" applyAlignment="1">
      <alignment vertical="top" wrapText="1"/>
    </xf>
    <xf numFmtId="0" fontId="9" fillId="0" borderId="15" xfId="0" applyNumberFormat="1" applyFont="1" applyFill="1" applyBorder="1" applyAlignment="1" applyProtection="1">
      <alignment horizontal="left" vertical="center" shrinkToFit="1"/>
    </xf>
    <xf numFmtId="0" fontId="20" fillId="0" borderId="0" xfId="0" applyFont="1">
      <alignment vertical="center"/>
    </xf>
    <xf numFmtId="0" fontId="9" fillId="0" borderId="4" xfId="0" applyFont="1" applyBorder="1">
      <alignment vertical="center"/>
    </xf>
    <xf numFmtId="0" fontId="9" fillId="0" borderId="0" xfId="0" applyFont="1" applyAlignment="1">
      <alignment vertical="center"/>
    </xf>
    <xf numFmtId="0" fontId="20" fillId="0" borderId="0" xfId="0" applyFont="1" applyAlignment="1">
      <alignment vertical="center" shrinkToFit="1"/>
    </xf>
    <xf numFmtId="0" fontId="9" fillId="3" borderId="4" xfId="0" applyFont="1" applyFill="1" applyBorder="1">
      <alignment vertical="center"/>
    </xf>
    <xf numFmtId="0" fontId="9" fillId="3" borderId="19" xfId="0" applyFont="1" applyFill="1" applyBorder="1">
      <alignment vertical="center"/>
    </xf>
    <xf numFmtId="0" fontId="9" fillId="0" borderId="4" xfId="0" applyFont="1" applyFill="1" applyBorder="1">
      <alignment vertical="center"/>
    </xf>
    <xf numFmtId="0" fontId="9" fillId="0" borderId="12" xfId="0" applyFont="1" applyFill="1" applyBorder="1">
      <alignment vertical="center"/>
    </xf>
    <xf numFmtId="0" fontId="9" fillId="0" borderId="26" xfId="0" applyFont="1" applyFill="1" applyBorder="1" applyProtection="1">
      <alignment vertical="center"/>
      <protection locked="0"/>
    </xf>
    <xf numFmtId="0" fontId="9" fillId="0" borderId="27" xfId="0" applyFont="1" applyFill="1" applyBorder="1" applyProtection="1">
      <alignment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9" fillId="0" borderId="8" xfId="0" applyFont="1" applyFill="1" applyBorder="1" applyAlignment="1">
      <alignment vertical="center"/>
    </xf>
    <xf numFmtId="14" fontId="9" fillId="0" borderId="4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vertical="center"/>
    </xf>
    <xf numFmtId="0" fontId="21" fillId="0" borderId="4" xfId="0" applyFont="1" applyBorder="1">
      <alignment vertical="center"/>
    </xf>
    <xf numFmtId="0" fontId="22" fillId="0" borderId="0" xfId="0" applyFont="1" applyProtection="1">
      <alignment vertical="center"/>
    </xf>
    <xf numFmtId="0" fontId="22" fillId="0" borderId="0" xfId="0" applyFont="1" applyAlignment="1" applyProtection="1">
      <alignment vertical="center" shrinkToFit="1"/>
    </xf>
    <xf numFmtId="0" fontId="21" fillId="0" borderId="19" xfId="0" applyFont="1" applyBorder="1">
      <alignment vertical="center"/>
    </xf>
    <xf numFmtId="0" fontId="21" fillId="0" borderId="15" xfId="0" applyFont="1" applyBorder="1">
      <alignment vertical="center"/>
    </xf>
    <xf numFmtId="182" fontId="9" fillId="4" borderId="15" xfId="0" applyNumberFormat="1" applyFont="1" applyFill="1" applyBorder="1" applyAlignment="1">
      <alignment horizontal="right" vertical="center" shrinkToFit="1"/>
    </xf>
    <xf numFmtId="0" fontId="14" fillId="10" borderId="16" xfId="0" applyFont="1" applyFill="1" applyBorder="1" applyAlignment="1">
      <alignment horizontal="left" vertical="center"/>
    </xf>
    <xf numFmtId="0" fontId="9" fillId="8" borderId="12" xfId="0" applyFont="1" applyFill="1" applyBorder="1" applyAlignment="1" applyProtection="1">
      <alignment horizontal="center" vertical="center"/>
      <protection locked="0"/>
    </xf>
    <xf numFmtId="0" fontId="9" fillId="8" borderId="4" xfId="0" applyFont="1" applyFill="1" applyBorder="1" applyAlignment="1" applyProtection="1">
      <alignment horizontal="center" vertical="center" shrinkToFit="1"/>
      <protection locked="0"/>
    </xf>
    <xf numFmtId="0" fontId="14" fillId="10" borderId="16" xfId="0" applyFont="1" applyFill="1" applyBorder="1" applyAlignment="1">
      <alignment horizontal="left" vertical="center"/>
    </xf>
    <xf numFmtId="0" fontId="0" fillId="0" borderId="0" xfId="0">
      <alignment vertical="center"/>
    </xf>
    <xf numFmtId="0" fontId="14" fillId="10" borderId="14" xfId="0" applyFont="1" applyFill="1" applyBorder="1" applyAlignment="1">
      <alignment horizontal="left" vertical="center"/>
    </xf>
    <xf numFmtId="0" fontId="9" fillId="0" borderId="4" xfId="0" applyFont="1" applyFill="1" applyBorder="1" applyAlignment="1" applyProtection="1">
      <alignment horizontal="center" vertical="center" shrinkToFit="1"/>
      <protection locked="0"/>
    </xf>
    <xf numFmtId="49" fontId="0" fillId="0" borderId="0" xfId="0" applyNumberFormat="1">
      <alignment vertical="center"/>
    </xf>
    <xf numFmtId="49" fontId="0" fillId="0" borderId="4" xfId="0" applyNumberFormat="1" applyBorder="1" applyAlignment="1">
      <alignment vertical="center" shrinkToFit="1"/>
    </xf>
    <xf numFmtId="49" fontId="0" fillId="0" borderId="0" xfId="0" applyNumberFormat="1" applyFill="1" applyBorder="1" applyAlignment="1">
      <alignment vertical="center" shrinkToFit="1"/>
    </xf>
    <xf numFmtId="0" fontId="0" fillId="2" borderId="4" xfId="0" applyNumberFormat="1" applyFill="1" applyBorder="1" applyAlignment="1">
      <alignment vertical="center" shrinkToFit="1"/>
    </xf>
    <xf numFmtId="0" fontId="9" fillId="0" borderId="19" xfId="0" applyFont="1" applyFill="1" applyBorder="1" applyAlignment="1" applyProtection="1">
      <alignment horizontal="center" vertical="center" shrinkToFit="1"/>
      <protection locked="0"/>
    </xf>
    <xf numFmtId="0" fontId="9" fillId="4" borderId="19" xfId="0" applyFont="1" applyFill="1" applyBorder="1" applyAlignment="1" applyProtection="1">
      <alignment horizontal="center" vertical="center" shrinkToFit="1"/>
    </xf>
    <xf numFmtId="49" fontId="9" fillId="4" borderId="0" xfId="0" applyNumberFormat="1" applyFont="1" applyFill="1" applyBorder="1" applyAlignment="1">
      <alignment vertical="center"/>
    </xf>
    <xf numFmtId="49" fontId="9" fillId="3" borderId="4" xfId="0" applyNumberFormat="1" applyFont="1" applyFill="1" applyBorder="1" applyAlignment="1">
      <alignment horizontal="center" vertical="center" shrinkToFit="1"/>
    </xf>
    <xf numFmtId="49" fontId="9" fillId="3" borderId="17" xfId="0" applyNumberFormat="1" applyFont="1" applyFill="1" applyBorder="1" applyAlignment="1">
      <alignment horizontal="center" vertical="center" shrinkToFit="1"/>
    </xf>
    <xf numFmtId="49" fontId="9" fillId="6" borderId="4" xfId="0" applyNumberFormat="1" applyFont="1" applyFill="1" applyBorder="1" applyAlignment="1" applyProtection="1">
      <alignment horizontal="left" vertical="center" shrinkToFit="1"/>
      <protection locked="0"/>
    </xf>
    <xf numFmtId="49" fontId="9" fillId="4" borderId="4" xfId="0" applyNumberFormat="1" applyFont="1" applyFill="1" applyBorder="1" applyAlignment="1" applyProtection="1">
      <alignment horizontal="left" vertical="center" shrinkToFit="1"/>
    </xf>
    <xf numFmtId="49" fontId="0" fillId="9" borderId="0" xfId="0" applyNumberFormat="1" applyFill="1">
      <alignment vertical="center"/>
    </xf>
    <xf numFmtId="0" fontId="13" fillId="4" borderId="18" xfId="0" applyFont="1" applyFill="1" applyBorder="1" applyAlignment="1">
      <alignment horizontal="left" vertical="center"/>
    </xf>
    <xf numFmtId="0" fontId="13" fillId="4" borderId="19" xfId="0" applyFont="1" applyFill="1" applyBorder="1" applyAlignment="1">
      <alignment vertical="center"/>
    </xf>
    <xf numFmtId="0" fontId="13" fillId="4" borderId="15" xfId="0" quotePrefix="1" applyFont="1" applyFill="1" applyBorder="1" applyAlignment="1">
      <alignment vertical="center"/>
    </xf>
    <xf numFmtId="0" fontId="13" fillId="4" borderId="15" xfId="0" applyFont="1" applyFill="1" applyBorder="1" applyAlignment="1">
      <alignment vertical="center" wrapText="1"/>
    </xf>
    <xf numFmtId="0" fontId="13" fillId="4" borderId="4" xfId="0" applyFont="1" applyFill="1" applyBorder="1" applyAlignment="1">
      <alignment vertical="center" wrapText="1"/>
    </xf>
    <xf numFmtId="0" fontId="13" fillId="4" borderId="4" xfId="0" applyFont="1" applyFill="1" applyBorder="1">
      <alignment vertical="center"/>
    </xf>
    <xf numFmtId="49" fontId="23" fillId="0" borderId="35" xfId="0" applyNumberFormat="1" applyFont="1" applyBorder="1">
      <alignment vertical="center"/>
    </xf>
    <xf numFmtId="0" fontId="23" fillId="0" borderId="35" xfId="0" applyFont="1" applyBorder="1" applyAlignment="1">
      <alignment horizontal="right" vertical="center"/>
    </xf>
    <xf numFmtId="1" fontId="23" fillId="0" borderId="35" xfId="0" applyNumberFormat="1" applyFont="1" applyBorder="1" applyAlignment="1">
      <alignment horizontal="right" vertical="center"/>
    </xf>
    <xf numFmtId="49" fontId="0" fillId="2" borderId="0" xfId="0" applyNumberFormat="1" applyFill="1">
      <alignment vertical="center"/>
    </xf>
    <xf numFmtId="183" fontId="23" fillId="0" borderId="35" xfId="0" applyNumberFormat="1" applyFont="1" applyBorder="1" applyAlignment="1">
      <alignment horizontal="right" vertical="center"/>
    </xf>
    <xf numFmtId="0" fontId="9" fillId="16" borderId="4" xfId="0" applyFont="1" applyFill="1" applyBorder="1" applyAlignment="1">
      <alignment horizontal="center" vertical="center" shrinkToFit="1"/>
    </xf>
    <xf numFmtId="0" fontId="23" fillId="0" borderId="35" xfId="0" applyNumberFormat="1" applyFont="1" applyBorder="1">
      <alignment vertical="center"/>
    </xf>
    <xf numFmtId="0" fontId="0" fillId="0" borderId="0" xfId="0" applyNumberFormat="1">
      <alignment vertical="center"/>
    </xf>
    <xf numFmtId="179" fontId="9" fillId="7" borderId="4" xfId="0" applyNumberFormat="1" applyFont="1" applyFill="1" applyBorder="1" applyAlignment="1" applyProtection="1">
      <alignment horizontal="center" vertical="center"/>
      <protection locked="0"/>
    </xf>
    <xf numFmtId="49" fontId="9" fillId="7" borderId="4" xfId="0" applyNumberFormat="1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Border="1" applyAlignment="1">
      <alignment vertical="center" shrinkToFit="1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9" fillId="8" borderId="12" xfId="0" applyFont="1" applyFill="1" applyBorder="1" applyAlignment="1" applyProtection="1">
      <alignment horizontal="center" vertical="center" shrinkToFit="1"/>
      <protection locked="0"/>
    </xf>
    <xf numFmtId="0" fontId="9" fillId="8" borderId="13" xfId="0" applyFont="1" applyFill="1" applyBorder="1" applyAlignment="1" applyProtection="1">
      <alignment horizontal="center" vertical="center" shrinkToFit="1"/>
      <protection locked="0"/>
    </xf>
    <xf numFmtId="0" fontId="9" fillId="8" borderId="14" xfId="0" applyFont="1" applyFill="1" applyBorder="1" applyAlignment="1" applyProtection="1">
      <alignment horizontal="center" vertical="center" shrinkToFit="1"/>
      <protection locked="0"/>
    </xf>
    <xf numFmtId="179" fontId="9" fillId="7" borderId="4" xfId="0" applyNumberFormat="1" applyFont="1" applyFill="1" applyBorder="1" applyAlignment="1" applyProtection="1">
      <alignment horizontal="center" vertical="center" shrinkToFit="1"/>
      <protection locked="0"/>
    </xf>
    <xf numFmtId="0" fontId="9" fillId="8" borderId="12" xfId="0" applyFont="1" applyFill="1" applyBorder="1" applyAlignment="1" applyProtection="1">
      <alignment horizontal="center" vertical="center"/>
      <protection locked="0"/>
    </xf>
    <xf numFmtId="0" fontId="9" fillId="8" borderId="13" xfId="0" applyFont="1" applyFill="1" applyBorder="1" applyAlignment="1" applyProtection="1">
      <alignment horizontal="center" vertical="center"/>
      <protection locked="0"/>
    </xf>
    <xf numFmtId="0" fontId="9" fillId="8" borderId="14" xfId="0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14" xfId="0" applyBorder="1" applyAlignment="1">
      <alignment vertical="center" shrinkToFit="1"/>
    </xf>
    <xf numFmtId="49" fontId="9" fillId="7" borderId="4" xfId="0" applyNumberFormat="1" applyFont="1" applyFill="1" applyBorder="1" applyAlignment="1" applyProtection="1">
      <alignment horizontal="center" vertical="center" shrinkToFit="1"/>
      <protection locked="0"/>
    </xf>
    <xf numFmtId="0" fontId="9" fillId="7" borderId="12" xfId="0" applyFont="1" applyFill="1" applyBorder="1" applyAlignment="1" applyProtection="1">
      <alignment horizontal="center" vertical="center" shrinkToFit="1"/>
      <protection locked="0"/>
    </xf>
    <xf numFmtId="0" fontId="9" fillId="7" borderId="13" xfId="0" applyFont="1" applyFill="1" applyBorder="1" applyAlignment="1" applyProtection="1">
      <alignment horizontal="center" vertical="center" shrinkToFit="1"/>
      <protection locked="0"/>
    </xf>
    <xf numFmtId="0" fontId="9" fillId="7" borderId="14" xfId="0" applyFont="1" applyFill="1" applyBorder="1" applyAlignment="1" applyProtection="1">
      <alignment horizontal="center" vertical="center" shrinkToFit="1"/>
      <protection locked="0"/>
    </xf>
    <xf numFmtId="0" fontId="9" fillId="6" borderId="13" xfId="0" applyFont="1" applyFill="1" applyBorder="1" applyAlignment="1">
      <alignment horizontal="left" vertical="center"/>
    </xf>
    <xf numFmtId="0" fontId="9" fillId="6" borderId="14" xfId="0" applyFont="1" applyFill="1" applyBorder="1" applyAlignment="1">
      <alignment horizontal="left" vertical="center"/>
    </xf>
    <xf numFmtId="0" fontId="9" fillId="6" borderId="13" xfId="0" applyFont="1" applyFill="1" applyBorder="1" applyAlignment="1">
      <alignment horizontal="left" vertical="center" shrinkToFit="1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shrinkToFit="1"/>
    </xf>
    <xf numFmtId="0" fontId="9" fillId="0" borderId="10" xfId="0" applyFont="1" applyFill="1" applyBorder="1" applyAlignment="1">
      <alignment horizontal="left" vertical="center"/>
    </xf>
    <xf numFmtId="0" fontId="9" fillId="10" borderId="12" xfId="0" applyFont="1" applyFill="1" applyBorder="1" applyAlignment="1">
      <alignment horizontal="left" vertical="center"/>
    </xf>
    <xf numFmtId="0" fontId="9" fillId="10" borderId="13" xfId="0" applyFont="1" applyFill="1" applyBorder="1" applyAlignment="1">
      <alignment horizontal="left" vertical="center"/>
    </xf>
    <xf numFmtId="0" fontId="9" fillId="10" borderId="14" xfId="0" applyFont="1" applyFill="1" applyBorder="1" applyAlignment="1">
      <alignment horizontal="left" vertical="center"/>
    </xf>
    <xf numFmtId="0" fontId="9" fillId="10" borderId="19" xfId="0" applyFont="1" applyFill="1" applyBorder="1" applyAlignment="1">
      <alignment horizontal="left" vertical="center"/>
    </xf>
    <xf numFmtId="0" fontId="10" fillId="14" borderId="5" xfId="0" applyFont="1" applyFill="1" applyBorder="1" applyAlignment="1">
      <alignment horizontal="center" vertical="center"/>
    </xf>
    <xf numFmtId="0" fontId="10" fillId="14" borderId="6" xfId="0" applyFont="1" applyFill="1" applyBorder="1" applyAlignment="1">
      <alignment horizontal="center" vertical="center"/>
    </xf>
    <xf numFmtId="0" fontId="10" fillId="14" borderId="16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6" xfId="0" applyFont="1" applyFill="1" applyBorder="1" applyAlignment="1">
      <alignment horizontal="center" vertical="center"/>
    </xf>
    <xf numFmtId="0" fontId="9" fillId="12" borderId="16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left" vertical="center"/>
    </xf>
    <xf numFmtId="0" fontId="9" fillId="10" borderId="5" xfId="0" applyFont="1" applyFill="1" applyBorder="1" applyAlignment="1">
      <alignment horizontal="left" vertical="center"/>
    </xf>
    <xf numFmtId="0" fontId="9" fillId="10" borderId="15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10" fillId="10" borderId="12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1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9" fillId="0" borderId="12" xfId="0" applyFont="1" applyFill="1" applyBorder="1" applyAlignment="1" applyProtection="1">
      <alignment horizontal="center" vertical="center" shrinkToFit="1"/>
      <protection locked="0"/>
    </xf>
    <xf numFmtId="0" fontId="9" fillId="0" borderId="14" xfId="0" applyFont="1" applyFill="1" applyBorder="1" applyAlignment="1" applyProtection="1">
      <alignment horizontal="center" vertical="center" shrinkToFit="1"/>
      <protection locked="0"/>
    </xf>
    <xf numFmtId="0" fontId="9" fillId="4" borderId="12" xfId="0" applyFont="1" applyFill="1" applyBorder="1" applyAlignment="1" applyProtection="1">
      <alignment vertical="center" shrinkToFit="1"/>
    </xf>
    <xf numFmtId="0" fontId="0" fillId="4" borderId="13" xfId="0" applyFill="1" applyBorder="1" applyAlignment="1" applyProtection="1">
      <alignment vertical="center" shrinkToFit="1"/>
    </xf>
    <xf numFmtId="0" fontId="0" fillId="4" borderId="14" xfId="0" applyFill="1" applyBorder="1" applyAlignment="1" applyProtection="1">
      <alignment vertical="center" shrinkToFit="1"/>
    </xf>
    <xf numFmtId="0" fontId="9" fillId="4" borderId="5" xfId="0" applyFont="1" applyFill="1" applyBorder="1" applyAlignment="1" applyProtection="1">
      <alignment horizontal="left" vertical="top" wrapText="1"/>
    </xf>
    <xf numFmtId="0" fontId="0" fillId="4" borderId="6" xfId="0" applyFill="1" applyBorder="1" applyAlignment="1" applyProtection="1">
      <alignment horizontal="left" vertical="top" wrapText="1"/>
    </xf>
    <xf numFmtId="0" fontId="0" fillId="4" borderId="16" xfId="0" applyFill="1" applyBorder="1" applyAlignment="1" applyProtection="1">
      <alignment horizontal="left" vertical="top" wrapText="1"/>
    </xf>
    <xf numFmtId="0" fontId="0" fillId="4" borderId="8" xfId="0" applyFill="1" applyBorder="1" applyAlignment="1" applyProtection="1">
      <alignment horizontal="left" vertical="top" wrapText="1"/>
    </xf>
    <xf numFmtId="0" fontId="0" fillId="4" borderId="0" xfId="0" applyFill="1" applyAlignment="1" applyProtection="1">
      <alignment horizontal="left" vertical="top" wrapText="1"/>
    </xf>
    <xf numFmtId="0" fontId="0" fillId="4" borderId="7" xfId="0" applyFill="1" applyBorder="1" applyAlignment="1" applyProtection="1">
      <alignment horizontal="left" vertical="top" wrapText="1"/>
    </xf>
    <xf numFmtId="0" fontId="0" fillId="4" borderId="9" xfId="0" applyFill="1" applyBorder="1" applyAlignment="1" applyProtection="1">
      <alignment horizontal="left" vertical="top" wrapText="1"/>
    </xf>
    <xf numFmtId="0" fontId="0" fillId="4" borderId="10" xfId="0" applyFill="1" applyBorder="1" applyAlignment="1" applyProtection="1">
      <alignment horizontal="left" vertical="top" wrapText="1"/>
    </xf>
    <xf numFmtId="0" fontId="0" fillId="4" borderId="11" xfId="0" applyFill="1" applyBorder="1" applyAlignment="1" applyProtection="1">
      <alignment horizontal="left" vertical="top" wrapText="1"/>
    </xf>
    <xf numFmtId="0" fontId="9" fillId="3" borderId="4" xfId="0" applyFont="1" applyFill="1" applyBorder="1" applyAlignment="1">
      <alignment horizontal="left" vertical="center" shrinkToFit="1"/>
    </xf>
    <xf numFmtId="0" fontId="9" fillId="4" borderId="12" xfId="0" applyFont="1" applyFill="1" applyBorder="1" applyAlignment="1" applyProtection="1">
      <alignment horizontal="center" vertical="center" shrinkToFit="1"/>
    </xf>
    <xf numFmtId="0" fontId="9" fillId="4" borderId="14" xfId="0" applyFont="1" applyFill="1" applyBorder="1" applyAlignment="1" applyProtection="1">
      <alignment horizontal="center" vertical="center" shrinkToFit="1"/>
    </xf>
    <xf numFmtId="0" fontId="14" fillId="10" borderId="12" xfId="0" applyFont="1" applyFill="1" applyBorder="1" applyAlignment="1">
      <alignment horizontal="left" vertical="center"/>
    </xf>
    <xf numFmtId="0" fontId="14" fillId="10" borderId="14" xfId="0" applyFont="1" applyFill="1" applyBorder="1" applyAlignment="1">
      <alignment horizontal="left" vertical="center"/>
    </xf>
    <xf numFmtId="0" fontId="13" fillId="12" borderId="19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left" vertical="center"/>
    </xf>
    <xf numFmtId="0" fontId="14" fillId="10" borderId="16" xfId="0" applyFont="1" applyFill="1" applyBorder="1" applyAlignment="1">
      <alignment horizontal="left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3" fillId="12" borderId="16" xfId="0" applyFont="1" applyFill="1" applyBorder="1" applyAlignment="1">
      <alignment horizontal="center" vertical="center"/>
    </xf>
    <xf numFmtId="0" fontId="15" fillId="10" borderId="12" xfId="0" applyFont="1" applyFill="1" applyBorder="1" applyAlignment="1">
      <alignment horizontal="left" vertical="center"/>
    </xf>
    <xf numFmtId="0" fontId="15" fillId="10" borderId="14" xfId="0" applyFont="1" applyFill="1" applyBorder="1" applyAlignment="1">
      <alignment horizontal="left" vertical="center"/>
    </xf>
  </cellXfs>
  <cellStyles count="3">
    <cellStyle name="標準" xfId="0" builtinId="0"/>
    <cellStyle name="標準 2" xfId="2"/>
    <cellStyle name="標準_外部一覧" xfId="1"/>
  </cellStyles>
  <dxfs count="4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84" formatCode="#,##0_ ;[Red]\-#,##0\ "/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4" formatCode="#,##0_ ;[Red]\-#,##0\ "/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4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ill>
        <patternFill>
          <bgColor theme="9" tint="-0.24994659260841701"/>
        </patternFill>
      </fill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33CCFF"/>
      <color rgb="FFCC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UNKB0190_H_KOBAIHIN_KBN" lockText="1" noThreeD="1"/>
</file>

<file path=xl/ctrlProps/ctrlProp3.xml><?xml version="1.0" encoding="utf-8"?>
<formControlPr xmlns="http://schemas.microsoft.com/office/spreadsheetml/2009/9/main" objectType="CheckBox" checked="Checked" fmlaLink="UNKB0190_H_GAICHU_KBN" lockText="1" noThreeD="1"/>
</file>

<file path=xl/ctrlProps/ctrlProp4.xml><?xml version="1.0" encoding="utf-8"?>
<formControlPr xmlns="http://schemas.microsoft.com/office/spreadsheetml/2009/9/main" objectType="CheckBox" checked="Checked" fmlaLink="UNKB0190_H_SHUZEN_KBN" lockText="1" noThreeD="1"/>
</file>

<file path=xl/ctrlProps/ctrlProp5.xml><?xml version="1.0" encoding="utf-8"?>
<formControlPr xmlns="http://schemas.microsoft.com/office/spreadsheetml/2009/9/main" objectType="CheckBox" checked="Checked" fmlaLink="UNKB0190_H_TOSHI_KBN" lockText="1" noThreeD="1"/>
</file>

<file path=xl/ctrlProps/ctrlProp6.xml><?xml version="1.0" encoding="utf-8"?>
<formControlPr xmlns="http://schemas.microsoft.com/office/spreadsheetml/2009/9/main" objectType="CheckBox" checked="Checked" fmlaLink="UNKB0190_H_HANBAI_KBN" lockText="1" noThreeD="1"/>
</file>

<file path=xl/ctrlProps/ctrlProp7.xml><?xml version="1.0" encoding="utf-8"?>
<formControlPr xmlns="http://schemas.microsoft.com/office/spreadsheetml/2009/9/main" objectType="CheckBox" fmlaLink="UNKB0190_H_CHUMONSHO_STS" lockText="1" noThreeD="1"/>
</file>

<file path=xl/ctrlProps/ctrlProp8.xml><?xml version="1.0" encoding="utf-8"?>
<formControlPr xmlns="http://schemas.microsoft.com/office/spreadsheetml/2009/9/main" objectType="CheckBox" fmlaLink="UNKB0190_H_ICHIBU_STS" lockText="1" noThreeD="1"/>
</file>

<file path=xl/ctrlProps/ctrlProp9.xml><?xml version="1.0" encoding="utf-8"?>
<formControlPr xmlns="http://schemas.microsoft.com/office/spreadsheetml/2009/9/main" objectType="CheckBox" fmlaLink="UNKB0190_H_NYUKA_STS" lockText="1" noThreeD="1"/>
</file>

<file path=xl/ctrlProps/ctrlProp10.xml><?xml version="1.0" encoding="utf-8"?>
<formControlPr xmlns="http://schemas.microsoft.com/office/spreadsheetml/2009/9/main" objectType="CheckBox" checked="Checked" fmlaLink="UNKB0190_H_KENSHU_STS" lockText="1" noThreeD="1"/>
</file>

<file path=xl/ctrlProps/ctrlProp11.xml><?xml version="1.0" encoding="utf-8"?>
<formControlPr xmlns="http://schemas.microsoft.com/office/spreadsheetml/2009/9/main" objectType="CheckBox" checked="Checked" fmlaLink="UNKB0190_H_SHIRE_MIKEIJO_FLG" lockText="1" noThreeD="1"/>
</file>

<file path=xl/ctrlProps/ctrlProp12.xml><?xml version="1.0" encoding="utf-8"?>
<formControlPr xmlns="http://schemas.microsoft.com/office/spreadsheetml/2009/9/main" objectType="Radio" checked="Checked" firstButton="1" fmlaLink="UNKB0190_H_FREEWD_KBN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fmlaLink="UNKB0200_H_MITOTSUGO_STS" lockText="1" noThreeD="1"/>
</file>

<file path=xl/ctrlProps/ctrlProp18.xml><?xml version="1.0" encoding="utf-8"?>
<formControlPr xmlns="http://schemas.microsoft.com/office/spreadsheetml/2009/9/main" objectType="CheckBox" checked="Checked" fmlaLink="UNKB0200_H_TOTSUGOSUMI_STS" lockText="1" noThreeD="1"/>
</file>

<file path=xl/ctrlProps/ctrlProp19.xml><?xml version="1.0" encoding="utf-8"?>
<formControlPr xmlns="http://schemas.microsoft.com/office/spreadsheetml/2009/9/main" objectType="CheckBox" checked="Checked" fmlaLink="UNKB0200_H_SHIIRE_LINK_STS" lockText="1" noThreeD="1"/>
</file>

<file path=xl/ctrlProps/ctrlProp20.xml><?xml version="1.0" encoding="utf-8"?>
<formControlPr xmlns="http://schemas.microsoft.com/office/spreadsheetml/2009/9/main" objectType="CheckBox" checked="Checked" fmlaLink="UNKB0200_H_KOBAIHIN_KBN" lockText="1" noThreeD="1"/>
</file>

<file path=xl/ctrlProps/ctrlProp21.xml><?xml version="1.0" encoding="utf-8"?>
<formControlPr xmlns="http://schemas.microsoft.com/office/spreadsheetml/2009/9/main" objectType="CheckBox" checked="Checked" fmlaLink="UNKB0200_H_GAICHU_KBN" lockText="1" noThreeD="1"/>
</file>

<file path=xl/ctrlProps/ctrlProp22.xml><?xml version="1.0" encoding="utf-8"?>
<formControlPr xmlns="http://schemas.microsoft.com/office/spreadsheetml/2009/9/main" objectType="CheckBox" checked="Checked" fmlaLink="UNKB0200_H_SHUZEN_KBN" lockText="1" noThreeD="1"/>
</file>

<file path=xl/ctrlProps/ctrlProp23.xml><?xml version="1.0" encoding="utf-8"?>
<formControlPr xmlns="http://schemas.microsoft.com/office/spreadsheetml/2009/9/main" objectType="CheckBox" checked="Checked" fmlaLink="UNKB0200_H_TOSHI_KBN" lockText="1" noThreeD="1"/>
</file>

<file path=xl/ctrlProps/ctrlProp24.xml><?xml version="1.0" encoding="utf-8"?>
<formControlPr xmlns="http://schemas.microsoft.com/office/spreadsheetml/2009/9/main" objectType="CheckBox" checked="Checked" fmlaLink="UNKB0200_H_HANBAI_KBN" lockText="1" noThreeD="1"/>
</file>

<file path=xl/ctrlProps/ctrlProp25.xml><?xml version="1.0" encoding="utf-8"?>
<formControlPr xmlns="http://schemas.microsoft.com/office/spreadsheetml/2009/9/main" objectType="CheckBox" fmlaLink="UNKB0200_H_DEL_HYOJI_FLG" lockText="1" noThreeD="1"/>
</file>

<file path=xl/ctrlProps/ctrlProp26.xml><?xml version="1.0" encoding="utf-8"?>
<formControlPr xmlns="http://schemas.microsoft.com/office/spreadsheetml/2009/9/main" objectType="Radio" checked="Checked" firstButton="1" fmlaLink="UNKB0200_H_FREEWD_KBN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23</xdr:row>
          <xdr:rowOff>47625</xdr:rowOff>
        </xdr:from>
        <xdr:to>
          <xdr:col>3</xdr:col>
          <xdr:colOff>1619250</xdr:colOff>
          <xdr:row>24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19050</xdr:rowOff>
        </xdr:from>
        <xdr:to>
          <xdr:col>10</xdr:col>
          <xdr:colOff>190500</xdr:colOff>
          <xdr:row>2</xdr:row>
          <xdr:rowOff>161925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9525</xdr:rowOff>
        </xdr:from>
        <xdr:to>
          <xdr:col>15</xdr:col>
          <xdr:colOff>66675</xdr:colOff>
          <xdr:row>2</xdr:row>
          <xdr:rowOff>171450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9525</xdr:rowOff>
        </xdr:from>
        <xdr:to>
          <xdr:col>19</xdr:col>
          <xdr:colOff>200025</xdr:colOff>
          <xdr:row>2</xdr:row>
          <xdr:rowOff>171450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</xdr:row>
          <xdr:rowOff>19050</xdr:rowOff>
        </xdr:from>
        <xdr:to>
          <xdr:col>22</xdr:col>
          <xdr:colOff>85725</xdr:colOff>
          <xdr:row>2</xdr:row>
          <xdr:rowOff>171450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2</xdr:row>
          <xdr:rowOff>19050</xdr:rowOff>
        </xdr:from>
        <xdr:to>
          <xdr:col>27</xdr:col>
          <xdr:colOff>85725</xdr:colOff>
          <xdr:row>2</xdr:row>
          <xdr:rowOff>171450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28575</xdr:rowOff>
        </xdr:from>
        <xdr:to>
          <xdr:col>11</xdr:col>
          <xdr:colOff>190500</xdr:colOff>
          <xdr:row>3</xdr:row>
          <xdr:rowOff>180975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38100</xdr:rowOff>
        </xdr:from>
        <xdr:to>
          <xdr:col>15</xdr:col>
          <xdr:colOff>200025</xdr:colOff>
          <xdr:row>3</xdr:row>
          <xdr:rowOff>171450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3</xdr:row>
          <xdr:rowOff>28575</xdr:rowOff>
        </xdr:from>
        <xdr:to>
          <xdr:col>19</xdr:col>
          <xdr:colOff>57150</xdr:colOff>
          <xdr:row>3</xdr:row>
          <xdr:rowOff>180975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</xdr:row>
          <xdr:rowOff>28575</xdr:rowOff>
        </xdr:from>
        <xdr:to>
          <xdr:col>22</xdr:col>
          <xdr:colOff>190500</xdr:colOff>
          <xdr:row>3</xdr:row>
          <xdr:rowOff>180975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3</xdr:row>
          <xdr:rowOff>19050</xdr:rowOff>
        </xdr:from>
        <xdr:to>
          <xdr:col>34</xdr:col>
          <xdr:colOff>247650</xdr:colOff>
          <xdr:row>3</xdr:row>
          <xdr:rowOff>180975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228600</xdr:colOff>
          <xdr:row>8</xdr:row>
          <xdr:rowOff>180975</xdr:rowOff>
        </xdr:from>
        <xdr:to>
          <xdr:col>25</xdr:col>
          <xdr:colOff>0</xdr:colOff>
          <xdr:row>10</xdr:row>
          <xdr:rowOff>28575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8</xdr:row>
          <xdr:rowOff>190500</xdr:rowOff>
        </xdr:from>
        <xdr:to>
          <xdr:col>26</xdr:col>
          <xdr:colOff>200025</xdr:colOff>
          <xdr:row>10</xdr:row>
          <xdr:rowOff>19050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228600</xdr:colOff>
          <xdr:row>8</xdr:row>
          <xdr:rowOff>180975</xdr:rowOff>
        </xdr:from>
        <xdr:to>
          <xdr:col>29</xdr:col>
          <xdr:colOff>95250</xdr:colOff>
          <xdr:row>10</xdr:row>
          <xdr:rowOff>19050</xdr:rowOff>
        </xdr:to>
        <xdr:sp macro="" textlink="">
          <xdr:nvSpPr>
            <xdr:cNvPr id="3087" name="Option 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NAND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5</xdr:row>
          <xdr:rowOff>19050</xdr:rowOff>
        </xdr:from>
        <xdr:to>
          <xdr:col>3</xdr:col>
          <xdr:colOff>257175</xdr:colOff>
          <xdr:row>5</xdr:row>
          <xdr:rowOff>180975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22</xdr:row>
          <xdr:rowOff>47625</xdr:rowOff>
        </xdr:from>
        <xdr:to>
          <xdr:col>3</xdr:col>
          <xdr:colOff>1619250</xdr:colOff>
          <xdr:row>23</xdr:row>
          <xdr:rowOff>142875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</xdr:row>
          <xdr:rowOff>19050</xdr:rowOff>
        </xdr:from>
        <xdr:to>
          <xdr:col>11</xdr:col>
          <xdr:colOff>152400</xdr:colOff>
          <xdr:row>2</xdr:row>
          <xdr:rowOff>190500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</xdr:row>
          <xdr:rowOff>19050</xdr:rowOff>
        </xdr:from>
        <xdr:to>
          <xdr:col>15</xdr:col>
          <xdr:colOff>152400</xdr:colOff>
          <xdr:row>2</xdr:row>
          <xdr:rowOff>190500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</xdr:row>
          <xdr:rowOff>19050</xdr:rowOff>
        </xdr:from>
        <xdr:to>
          <xdr:col>19</xdr:col>
          <xdr:colOff>152400</xdr:colOff>
          <xdr:row>2</xdr:row>
          <xdr:rowOff>190500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3</xdr:row>
          <xdr:rowOff>19050</xdr:rowOff>
        </xdr:from>
        <xdr:to>
          <xdr:col>10</xdr:col>
          <xdr:colOff>133350</xdr:colOff>
          <xdr:row>3</xdr:row>
          <xdr:rowOff>171450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19050</xdr:rowOff>
        </xdr:from>
        <xdr:to>
          <xdr:col>15</xdr:col>
          <xdr:colOff>38100</xdr:colOff>
          <xdr:row>3</xdr:row>
          <xdr:rowOff>161925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3</xdr:row>
          <xdr:rowOff>19050</xdr:rowOff>
        </xdr:from>
        <xdr:to>
          <xdr:col>19</xdr:col>
          <xdr:colOff>190500</xdr:colOff>
          <xdr:row>3</xdr:row>
          <xdr:rowOff>161925</xdr:rowOff>
        </xdr:to>
        <xdr:sp macro="" textlink="">
          <xdr:nvSpPr>
            <xdr:cNvPr id="34823" name="Check Box 7" hidden="1">
              <a:extLst>
                <a:ext uri="{63B3BB69-23CF-44E3-9099-C40C66FF867C}">
                  <a14:compatExt spid="_x0000_s3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3</xdr:row>
          <xdr:rowOff>28575</xdr:rowOff>
        </xdr:from>
        <xdr:to>
          <xdr:col>22</xdr:col>
          <xdr:colOff>47625</xdr:colOff>
          <xdr:row>3</xdr:row>
          <xdr:rowOff>161925</xdr:rowOff>
        </xdr:to>
        <xdr:sp macro="" textlink="">
          <xdr:nvSpPr>
            <xdr:cNvPr id="34824" name="Check Box 8" hidden="1">
              <a:extLst>
                <a:ext uri="{63B3BB69-23CF-44E3-9099-C40C66FF867C}">
                  <a14:compatExt spid="_x0000_s3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3</xdr:row>
          <xdr:rowOff>19050</xdr:rowOff>
        </xdr:from>
        <xdr:to>
          <xdr:col>27</xdr:col>
          <xdr:colOff>19050</xdr:colOff>
          <xdr:row>3</xdr:row>
          <xdr:rowOff>171450</xdr:rowOff>
        </xdr:to>
        <xdr:sp macro="" textlink="">
          <xdr:nvSpPr>
            <xdr:cNvPr id="34826" name="Check Box 10" hidden="1">
              <a:extLst>
                <a:ext uri="{63B3BB69-23CF-44E3-9099-C40C66FF867C}">
                  <a14:compatExt spid="_x0000_s3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76200</xdr:colOff>
          <xdr:row>12</xdr:row>
          <xdr:rowOff>19050</xdr:rowOff>
        </xdr:from>
        <xdr:to>
          <xdr:col>34</xdr:col>
          <xdr:colOff>28575</xdr:colOff>
          <xdr:row>12</xdr:row>
          <xdr:rowOff>190500</xdr:rowOff>
        </xdr:to>
        <xdr:sp macro="" textlink="">
          <xdr:nvSpPr>
            <xdr:cNvPr id="34827" name="Check Box 11" hidden="1">
              <a:extLst>
                <a:ext uri="{63B3BB69-23CF-44E3-9099-C40C66FF867C}">
                  <a14:compatExt spid="_x0000_s34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228600</xdr:colOff>
          <xdr:row>11</xdr:row>
          <xdr:rowOff>180975</xdr:rowOff>
        </xdr:from>
        <xdr:to>
          <xdr:col>25</xdr:col>
          <xdr:colOff>0</xdr:colOff>
          <xdr:row>13</xdr:row>
          <xdr:rowOff>28575</xdr:rowOff>
        </xdr:to>
        <xdr:sp macro="" textlink="">
          <xdr:nvSpPr>
            <xdr:cNvPr id="34828" name="Option Button 12" hidden="1">
              <a:extLst>
                <a:ext uri="{63B3BB69-23CF-44E3-9099-C40C66FF867C}">
                  <a14:compatExt spid="_x0000_s34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11</xdr:row>
          <xdr:rowOff>180975</xdr:rowOff>
        </xdr:from>
        <xdr:to>
          <xdr:col>26</xdr:col>
          <xdr:colOff>200025</xdr:colOff>
          <xdr:row>13</xdr:row>
          <xdr:rowOff>9525</xdr:rowOff>
        </xdr:to>
        <xdr:sp macro="" textlink="">
          <xdr:nvSpPr>
            <xdr:cNvPr id="34829" name="Option Button 13" hidden="1">
              <a:extLst>
                <a:ext uri="{63B3BB69-23CF-44E3-9099-C40C66FF867C}">
                  <a14:compatExt spid="_x0000_s3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228600</xdr:colOff>
          <xdr:row>11</xdr:row>
          <xdr:rowOff>180975</xdr:rowOff>
        </xdr:from>
        <xdr:to>
          <xdr:col>29</xdr:col>
          <xdr:colOff>95250</xdr:colOff>
          <xdr:row>13</xdr:row>
          <xdr:rowOff>19050</xdr:rowOff>
        </xdr:to>
        <xdr:sp macro="" textlink="">
          <xdr:nvSpPr>
            <xdr:cNvPr id="34830" name="Option Button 14" hidden="1">
              <a:extLst>
                <a:ext uri="{63B3BB69-23CF-44E3-9099-C40C66FF867C}">
                  <a14:compatExt spid="_x0000_s3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NAND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</xdr:row>
          <xdr:rowOff>19050</xdr:rowOff>
        </xdr:from>
        <xdr:to>
          <xdr:col>6</xdr:col>
          <xdr:colOff>228600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</xdr:row>
          <xdr:rowOff>19050</xdr:rowOff>
        </xdr:from>
        <xdr:to>
          <xdr:col>7</xdr:col>
          <xdr:colOff>447675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5" Type="http://schemas.openxmlformats.org/officeDocument/2006/relationships/ctrlProp" Target="../ctrlProps/ctrlProp2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FFC000"/>
  </sheetPr>
  <dimension ref="A1:AR59"/>
  <sheetViews>
    <sheetView showGridLines="0" showRowColHeaders="0" tabSelected="1" topLeftCell="G1" zoomScaleNormal="100" workbookViewId="0">
      <selection activeCell="I6" sqref="I6:L6"/>
    </sheetView>
  </sheetViews>
  <sheetFormatPr defaultRowHeight="16.5"/>
  <cols>
    <col min="1" max="1" width="4.25" style="184" hidden="1" customWidth="1"/>
    <col min="2" max="2" width="9.25" style="184" hidden="1" customWidth="1"/>
    <col min="3" max="3" width="26.625" style="184" hidden="1" customWidth="1"/>
    <col min="4" max="4" width="38.375" style="184" hidden="1" customWidth="1"/>
    <col min="5" max="5" width="12.25" style="184" hidden="1" customWidth="1"/>
    <col min="6" max="6" width="8.875" style="184" hidden="1" customWidth="1"/>
    <col min="7" max="7" width="3.25" style="14" customWidth="1"/>
    <col min="8" max="8" width="10.625" style="14" customWidth="1"/>
    <col min="9" max="27" width="3.25" style="14" customWidth="1"/>
    <col min="28" max="50" width="3.375" style="14" customWidth="1"/>
    <col min="51" max="16384" width="9" style="14"/>
  </cols>
  <sheetData>
    <row r="1" spans="1:44" s="13" customFormat="1" ht="19.5">
      <c r="A1" s="184"/>
      <c r="B1" s="184"/>
      <c r="C1" s="184"/>
      <c r="D1" s="184"/>
      <c r="E1" s="184"/>
      <c r="F1" s="184"/>
      <c r="G1" s="13" t="s">
        <v>39</v>
      </c>
    </row>
    <row r="2" spans="1:44">
      <c r="C2" s="185" t="s">
        <v>627</v>
      </c>
      <c r="D2" s="185" t="s">
        <v>662</v>
      </c>
      <c r="E2" s="185"/>
    </row>
    <row r="3" spans="1:44">
      <c r="C3" s="185" t="s">
        <v>628</v>
      </c>
      <c r="D3" s="185" t="s">
        <v>663</v>
      </c>
      <c r="E3" s="185" t="str">
        <f>ADDRESS(ROW(A1),COLUMN(A1))&amp;":"&amp;ADDRESS(ROW(F1),COLUMN(F1))</f>
        <v>$A$1:$F$1</v>
      </c>
      <c r="H3" s="15" t="s">
        <v>40</v>
      </c>
      <c r="I3" s="16"/>
      <c r="J3" s="257" t="s">
        <v>41</v>
      </c>
      <c r="K3" s="257"/>
      <c r="L3" s="257"/>
      <c r="M3" s="17"/>
      <c r="N3" s="257" t="s">
        <v>42</v>
      </c>
      <c r="O3" s="257"/>
      <c r="P3" s="257"/>
      <c r="Q3" s="17"/>
      <c r="R3" s="259" t="s">
        <v>43</v>
      </c>
      <c r="S3" s="259"/>
      <c r="T3" s="259"/>
      <c r="U3" s="17"/>
      <c r="V3" s="257" t="s">
        <v>1158</v>
      </c>
      <c r="W3" s="257"/>
      <c r="X3" s="257"/>
      <c r="Y3" s="17"/>
      <c r="Z3" s="257" t="s">
        <v>45</v>
      </c>
      <c r="AA3" s="257"/>
      <c r="AB3" s="258"/>
    </row>
    <row r="4" spans="1:44" ht="18" customHeight="1">
      <c r="H4" s="15" t="s">
        <v>46</v>
      </c>
      <c r="I4" s="16"/>
      <c r="J4" s="259" t="s">
        <v>47</v>
      </c>
      <c r="K4" s="259"/>
      <c r="L4" s="259"/>
      <c r="M4" s="17"/>
      <c r="N4" s="257" t="s">
        <v>48</v>
      </c>
      <c r="O4" s="257"/>
      <c r="P4" s="257"/>
      <c r="Q4" s="17"/>
      <c r="R4" s="257" t="s">
        <v>49</v>
      </c>
      <c r="S4" s="257"/>
      <c r="T4" s="257"/>
      <c r="U4" s="17"/>
      <c r="V4" s="257" t="s">
        <v>50</v>
      </c>
      <c r="W4" s="257"/>
      <c r="X4" s="257"/>
      <c r="Y4" s="17"/>
      <c r="Z4" s="257"/>
      <c r="AA4" s="257"/>
      <c r="AB4" s="258"/>
      <c r="AH4" s="15" t="s">
        <v>51</v>
      </c>
    </row>
    <row r="5" spans="1:44">
      <c r="C5" s="186" t="s">
        <v>629</v>
      </c>
      <c r="E5" s="187" t="s">
        <v>678</v>
      </c>
    </row>
    <row r="6" spans="1:44" ht="17.25" thickBot="1">
      <c r="B6" s="188" t="s">
        <v>651</v>
      </c>
      <c r="C6" s="188" t="s">
        <v>219</v>
      </c>
      <c r="D6" s="188" t="s">
        <v>630</v>
      </c>
      <c r="E6" s="189" t="s">
        <v>631</v>
      </c>
      <c r="H6" s="15" t="s">
        <v>52</v>
      </c>
      <c r="I6" s="254"/>
      <c r="J6" s="255"/>
      <c r="K6" s="255"/>
      <c r="L6" s="256"/>
      <c r="P6" s="15" t="s">
        <v>1191</v>
      </c>
      <c r="Q6" s="246"/>
      <c r="R6" s="246"/>
      <c r="S6" s="246"/>
      <c r="T6" s="246"/>
      <c r="U6" s="18" t="s">
        <v>53</v>
      </c>
      <c r="V6" s="246"/>
      <c r="W6" s="246"/>
      <c r="X6" s="246"/>
      <c r="Y6" s="246"/>
      <c r="AC6" s="15" t="s">
        <v>54</v>
      </c>
      <c r="AD6" s="247"/>
      <c r="AE6" s="248"/>
      <c r="AF6" s="248"/>
      <c r="AG6" s="249"/>
      <c r="AH6" s="250" t="str">
        <f>IF(UNKB0190_H_KOBAIHIN_CD="","",UNKB0190_H_KOBAIHIN_MEI)</f>
        <v/>
      </c>
      <c r="AI6" s="251"/>
      <c r="AJ6" s="251"/>
      <c r="AK6" s="251"/>
      <c r="AL6" s="251"/>
      <c r="AM6" s="251"/>
      <c r="AN6" s="251"/>
      <c r="AO6" s="251"/>
      <c r="AP6" s="251"/>
      <c r="AQ6" s="251"/>
      <c r="AR6" s="252"/>
    </row>
    <row r="7" spans="1:44">
      <c r="B7" s="260" t="s">
        <v>60</v>
      </c>
      <c r="C7" s="190" t="s">
        <v>536</v>
      </c>
      <c r="D7" s="191" t="s">
        <v>666</v>
      </c>
      <c r="E7" s="192" t="b">
        <v>1</v>
      </c>
      <c r="H7" s="15" t="s">
        <v>1196</v>
      </c>
      <c r="I7" s="253"/>
      <c r="J7" s="253"/>
      <c r="K7" s="253"/>
      <c r="L7" s="253"/>
      <c r="P7" s="15" t="s">
        <v>1192</v>
      </c>
      <c r="Q7" s="246"/>
      <c r="R7" s="246"/>
      <c r="S7" s="246"/>
      <c r="T7" s="246"/>
      <c r="U7" s="18" t="s">
        <v>53</v>
      </c>
      <c r="V7" s="246"/>
      <c r="W7" s="246"/>
      <c r="X7" s="246"/>
      <c r="Y7" s="246"/>
      <c r="AC7" s="15" t="s">
        <v>55</v>
      </c>
      <c r="AD7" s="247"/>
      <c r="AE7" s="248"/>
      <c r="AF7" s="248"/>
      <c r="AG7" s="249"/>
      <c r="AH7" s="250" t="str">
        <f>IF(UNKB0190_H_SHIIRESAKI_CD="","",UNKB0190_H_SHIIRESAKI_MEI)</f>
        <v/>
      </c>
      <c r="AI7" s="251"/>
      <c r="AJ7" s="251"/>
      <c r="AK7" s="251"/>
      <c r="AL7" s="251"/>
      <c r="AM7" s="251"/>
      <c r="AN7" s="251"/>
      <c r="AO7" s="251"/>
      <c r="AP7" s="251"/>
      <c r="AQ7" s="251"/>
      <c r="AR7" s="252"/>
    </row>
    <row r="8" spans="1:44">
      <c r="B8" s="260"/>
      <c r="C8" s="190" t="s">
        <v>42</v>
      </c>
      <c r="D8" s="191" t="s">
        <v>667</v>
      </c>
      <c r="E8" s="193" t="b">
        <v>1</v>
      </c>
      <c r="H8" s="15" t="s">
        <v>56</v>
      </c>
      <c r="I8" s="243"/>
      <c r="J8" s="244"/>
      <c r="K8" s="244"/>
      <c r="L8" s="245"/>
      <c r="P8" s="15" t="s">
        <v>1193</v>
      </c>
      <c r="Q8" s="246"/>
      <c r="R8" s="246"/>
      <c r="S8" s="246"/>
      <c r="T8" s="246"/>
      <c r="U8" s="18" t="s">
        <v>53</v>
      </c>
      <c r="V8" s="246"/>
      <c r="W8" s="246"/>
      <c r="X8" s="246"/>
      <c r="Y8" s="246"/>
      <c r="AC8" s="15" t="s">
        <v>57</v>
      </c>
      <c r="AD8" s="247"/>
      <c r="AE8" s="248"/>
      <c r="AF8" s="248"/>
      <c r="AG8" s="249"/>
      <c r="AH8" s="250" t="str">
        <f>IF(UNKB0190_H_MAKER_CD="","",UNKB0190_H_MAKER_MEI)</f>
        <v/>
      </c>
      <c r="AI8" s="251"/>
      <c r="AJ8" s="251"/>
      <c r="AK8" s="251"/>
      <c r="AL8" s="251"/>
      <c r="AM8" s="251"/>
      <c r="AN8" s="251"/>
      <c r="AO8" s="251"/>
      <c r="AP8" s="251"/>
      <c r="AQ8" s="251"/>
      <c r="AR8" s="252"/>
    </row>
    <row r="9" spans="1:44">
      <c r="B9" s="260"/>
      <c r="C9" s="190" t="s">
        <v>632</v>
      </c>
      <c r="D9" s="191" t="s">
        <v>668</v>
      </c>
      <c r="E9" s="193" t="b">
        <v>1</v>
      </c>
    </row>
    <row r="10" spans="1:44">
      <c r="B10" s="260"/>
      <c r="C10" s="190" t="s">
        <v>1159</v>
      </c>
      <c r="D10" s="191" t="s">
        <v>669</v>
      </c>
      <c r="E10" s="193" t="b">
        <v>1</v>
      </c>
      <c r="H10" s="15" t="s">
        <v>58</v>
      </c>
      <c r="I10" s="242"/>
      <c r="J10" s="242"/>
      <c r="K10" s="242"/>
      <c r="L10" s="242"/>
      <c r="M10" s="19" t="str">
        <f>IF(UNKB0190_H_FREEWD_KBN=1,"AND",IF(UNKB0190_H_FREEWD_KBN=2,"OR","NAND"))</f>
        <v>AND</v>
      </c>
      <c r="N10" s="242"/>
      <c r="O10" s="242"/>
      <c r="P10" s="242"/>
      <c r="Q10" s="242"/>
      <c r="R10" s="19" t="str">
        <f>UNKB0190_H_FREEWD_KBN_DISP</f>
        <v>AND</v>
      </c>
      <c r="S10" s="242"/>
      <c r="T10" s="242"/>
      <c r="U10" s="242"/>
      <c r="V10" s="242"/>
    </row>
    <row r="11" spans="1:44">
      <c r="B11" s="260"/>
      <c r="C11" s="190" t="s">
        <v>45</v>
      </c>
      <c r="D11" s="191" t="s">
        <v>670</v>
      </c>
      <c r="E11" s="193" t="b">
        <v>1</v>
      </c>
    </row>
    <row r="12" spans="1:44">
      <c r="B12" s="261" t="s">
        <v>660</v>
      </c>
      <c r="C12" s="190" t="s">
        <v>633</v>
      </c>
      <c r="D12" s="191" t="s">
        <v>671</v>
      </c>
      <c r="E12" s="193" t="b">
        <v>0</v>
      </c>
    </row>
    <row r="13" spans="1:44">
      <c r="B13" s="261"/>
      <c r="C13" s="190" t="s">
        <v>48</v>
      </c>
      <c r="D13" s="191" t="s">
        <v>672</v>
      </c>
      <c r="E13" s="193" t="b">
        <v>0</v>
      </c>
    </row>
    <row r="14" spans="1:44">
      <c r="B14" s="261"/>
      <c r="C14" s="190" t="s">
        <v>49</v>
      </c>
      <c r="D14" s="191" t="s">
        <v>676</v>
      </c>
      <c r="E14" s="193" t="b">
        <v>0</v>
      </c>
    </row>
    <row r="15" spans="1:44">
      <c r="B15" s="261"/>
      <c r="C15" s="190" t="s">
        <v>634</v>
      </c>
      <c r="D15" s="191" t="s">
        <v>677</v>
      </c>
      <c r="E15" s="193" t="b">
        <v>1</v>
      </c>
    </row>
    <row r="16" spans="1:44">
      <c r="B16" s="194" t="s">
        <v>652</v>
      </c>
      <c r="C16" s="190" t="s">
        <v>661</v>
      </c>
      <c r="D16" s="191" t="s">
        <v>681</v>
      </c>
      <c r="E16" s="193" t="b">
        <v>1</v>
      </c>
    </row>
    <row r="17" spans="2:5">
      <c r="B17" s="194" t="s">
        <v>652</v>
      </c>
      <c r="C17" s="25" t="s">
        <v>635</v>
      </c>
      <c r="D17" s="195" t="s">
        <v>673</v>
      </c>
      <c r="E17" s="130"/>
    </row>
    <row r="18" spans="2:5">
      <c r="B18" s="61" t="s">
        <v>636</v>
      </c>
      <c r="C18" s="26" t="s">
        <v>556</v>
      </c>
      <c r="D18" s="196" t="s">
        <v>674</v>
      </c>
      <c r="E18" s="131"/>
    </row>
    <row r="19" spans="2:5">
      <c r="B19" s="194" t="s">
        <v>652</v>
      </c>
      <c r="C19" s="25" t="s">
        <v>637</v>
      </c>
      <c r="D19" s="195" t="s">
        <v>675</v>
      </c>
      <c r="E19" s="132"/>
    </row>
    <row r="20" spans="2:5">
      <c r="B20" s="194" t="s">
        <v>636</v>
      </c>
      <c r="C20" s="25" t="s">
        <v>76</v>
      </c>
      <c r="D20" s="195" t="s">
        <v>664</v>
      </c>
      <c r="E20" s="130"/>
    </row>
    <row r="21" spans="2:5">
      <c r="B21" s="194" t="s">
        <v>652</v>
      </c>
      <c r="C21" s="25" t="s">
        <v>78</v>
      </c>
      <c r="D21" s="195" t="s">
        <v>658</v>
      </c>
      <c r="E21" s="133"/>
    </row>
    <row r="22" spans="2:5" ht="17.25" thickBot="1">
      <c r="B22" s="194" t="s">
        <v>653</v>
      </c>
      <c r="C22" s="25" t="s">
        <v>638</v>
      </c>
      <c r="D22" s="195" t="s">
        <v>665</v>
      </c>
      <c r="E22" s="134">
        <v>1</v>
      </c>
    </row>
    <row r="25" spans="2:5">
      <c r="C25" s="262" t="s">
        <v>639</v>
      </c>
      <c r="D25" s="262"/>
    </row>
    <row r="26" spans="2:5">
      <c r="C26" s="51" t="s">
        <v>640</v>
      </c>
      <c r="D26" s="51" t="s">
        <v>641</v>
      </c>
      <c r="E26" s="51" t="s">
        <v>642</v>
      </c>
    </row>
    <row r="27" spans="2:5">
      <c r="C27" s="190" t="s">
        <v>536</v>
      </c>
      <c r="D27" s="190" t="s">
        <v>682</v>
      </c>
      <c r="E27" s="194" t="b">
        <v>1</v>
      </c>
    </row>
    <row r="28" spans="2:5">
      <c r="C28" s="190" t="s">
        <v>42</v>
      </c>
      <c r="D28" s="190" t="s">
        <v>683</v>
      </c>
      <c r="E28" s="194" t="b">
        <v>1</v>
      </c>
    </row>
    <row r="29" spans="2:5">
      <c r="C29" s="190" t="s">
        <v>632</v>
      </c>
      <c r="D29" s="190" t="s">
        <v>684</v>
      </c>
      <c r="E29" s="194" t="b">
        <v>1</v>
      </c>
    </row>
    <row r="30" spans="2:5">
      <c r="C30" s="190" t="s">
        <v>44</v>
      </c>
      <c r="D30" s="190" t="s">
        <v>685</v>
      </c>
      <c r="E30" s="194" t="b">
        <v>1</v>
      </c>
    </row>
    <row r="31" spans="2:5">
      <c r="C31" s="190" t="s">
        <v>45</v>
      </c>
      <c r="D31" s="190" t="s">
        <v>686</v>
      </c>
      <c r="E31" s="194" t="b">
        <v>1</v>
      </c>
    </row>
    <row r="32" spans="2:5">
      <c r="C32" s="190" t="s">
        <v>633</v>
      </c>
      <c r="D32" s="190" t="s">
        <v>687</v>
      </c>
      <c r="E32" s="194" t="b">
        <v>1</v>
      </c>
    </row>
    <row r="33" spans="3:5">
      <c r="C33" s="190" t="s">
        <v>48</v>
      </c>
      <c r="D33" s="190" t="s">
        <v>688</v>
      </c>
      <c r="E33" s="194" t="b">
        <v>1</v>
      </c>
    </row>
    <row r="34" spans="3:5">
      <c r="C34" s="190" t="s">
        <v>49</v>
      </c>
      <c r="D34" s="190" t="s">
        <v>689</v>
      </c>
      <c r="E34" s="194" t="b">
        <v>1</v>
      </c>
    </row>
    <row r="35" spans="3:5">
      <c r="C35" s="190" t="s">
        <v>634</v>
      </c>
      <c r="D35" s="190" t="s">
        <v>690</v>
      </c>
      <c r="E35" s="194" t="b">
        <v>1</v>
      </c>
    </row>
    <row r="36" spans="3:5">
      <c r="C36" s="190" t="s">
        <v>661</v>
      </c>
      <c r="D36" s="190" t="s">
        <v>710</v>
      </c>
      <c r="E36" s="194" t="b">
        <v>0</v>
      </c>
    </row>
    <row r="37" spans="3:5">
      <c r="C37" s="25" t="s">
        <v>654</v>
      </c>
      <c r="D37" s="25" t="s">
        <v>691</v>
      </c>
      <c r="E37" s="194"/>
    </row>
    <row r="38" spans="3:5">
      <c r="C38" s="25" t="s">
        <v>655</v>
      </c>
      <c r="D38" s="25" t="s">
        <v>692</v>
      </c>
      <c r="E38" s="194"/>
    </row>
    <row r="39" spans="3:5">
      <c r="C39" s="25" t="s">
        <v>643</v>
      </c>
      <c r="D39" s="25" t="s">
        <v>693</v>
      </c>
      <c r="E39" s="194"/>
    </row>
    <row r="40" spans="3:5">
      <c r="C40" s="25" t="s">
        <v>644</v>
      </c>
      <c r="D40" s="25" t="s">
        <v>694</v>
      </c>
      <c r="E40" s="194"/>
    </row>
    <row r="41" spans="3:5">
      <c r="C41" s="25" t="s">
        <v>645</v>
      </c>
      <c r="D41" s="25" t="s">
        <v>695</v>
      </c>
      <c r="E41" s="194"/>
    </row>
    <row r="42" spans="3:5">
      <c r="C42" s="25" t="s">
        <v>646</v>
      </c>
      <c r="D42" s="25" t="s">
        <v>696</v>
      </c>
      <c r="E42" s="194"/>
    </row>
    <row r="43" spans="3:5">
      <c r="C43" s="25" t="s">
        <v>635</v>
      </c>
      <c r="D43" s="25" t="s">
        <v>697</v>
      </c>
      <c r="E43" s="194"/>
    </row>
    <row r="44" spans="3:5">
      <c r="C44" s="25" t="s">
        <v>647</v>
      </c>
      <c r="D44" s="25" t="s">
        <v>698</v>
      </c>
      <c r="E44" s="194"/>
    </row>
    <row r="45" spans="3:5">
      <c r="C45" s="25" t="s">
        <v>80</v>
      </c>
      <c r="D45" s="25" t="s">
        <v>699</v>
      </c>
      <c r="E45" s="194"/>
    </row>
    <row r="46" spans="3:5">
      <c r="C46" s="25" t="s">
        <v>79</v>
      </c>
      <c r="D46" s="25" t="s">
        <v>700</v>
      </c>
      <c r="E46" s="194"/>
    </row>
    <row r="47" spans="3:5">
      <c r="C47" s="26" t="s">
        <v>556</v>
      </c>
      <c r="D47" s="26" t="s">
        <v>701</v>
      </c>
      <c r="E47" s="194"/>
    </row>
    <row r="48" spans="3:5">
      <c r="C48" s="25" t="s">
        <v>648</v>
      </c>
      <c r="D48" s="25" t="s">
        <v>702</v>
      </c>
      <c r="E48" s="194"/>
    </row>
    <row r="49" spans="3:5">
      <c r="C49" s="25" t="s">
        <v>637</v>
      </c>
      <c r="D49" s="25" t="s">
        <v>703</v>
      </c>
      <c r="E49" s="194"/>
    </row>
    <row r="50" spans="3:5">
      <c r="C50" s="25" t="s">
        <v>75</v>
      </c>
      <c r="D50" s="25" t="s">
        <v>679</v>
      </c>
      <c r="E50" s="194"/>
    </row>
    <row r="51" spans="3:5">
      <c r="C51" s="25" t="s">
        <v>76</v>
      </c>
      <c r="D51" s="25" t="s">
        <v>680</v>
      </c>
      <c r="E51" s="194"/>
    </row>
    <row r="52" spans="3:5">
      <c r="C52" s="25" t="s">
        <v>656</v>
      </c>
      <c r="D52" s="25" t="s">
        <v>704</v>
      </c>
      <c r="E52" s="194"/>
    </row>
    <row r="53" spans="3:5">
      <c r="C53" s="25" t="s">
        <v>78</v>
      </c>
      <c r="D53" s="25" t="s">
        <v>705</v>
      </c>
      <c r="E53" s="194"/>
    </row>
    <row r="54" spans="3:5">
      <c r="C54" s="185" t="s">
        <v>657</v>
      </c>
      <c r="D54" s="185" t="s">
        <v>706</v>
      </c>
      <c r="E54" s="194"/>
    </row>
    <row r="55" spans="3:5">
      <c r="C55" s="185" t="s">
        <v>649</v>
      </c>
      <c r="D55" s="185" t="s">
        <v>707</v>
      </c>
      <c r="E55" s="194"/>
    </row>
    <row r="56" spans="3:5">
      <c r="C56" s="185" t="s">
        <v>650</v>
      </c>
      <c r="D56" s="185" t="s">
        <v>708</v>
      </c>
      <c r="E56" s="194"/>
    </row>
    <row r="57" spans="3:5">
      <c r="C57" s="25" t="s">
        <v>638</v>
      </c>
      <c r="D57" s="25" t="s">
        <v>709</v>
      </c>
      <c r="E57" s="194">
        <v>1</v>
      </c>
    </row>
    <row r="59" spans="3:5">
      <c r="C59" s="20"/>
      <c r="D59" s="20"/>
      <c r="E59" s="20"/>
    </row>
  </sheetData>
  <sheetProtection sheet="1" objects="1" scenarios="1" selectLockedCells="1"/>
  <mergeCells count="31">
    <mergeCell ref="B7:B11"/>
    <mergeCell ref="B12:B15"/>
    <mergeCell ref="C25:D25"/>
    <mergeCell ref="J4:L4"/>
    <mergeCell ref="N4:P4"/>
    <mergeCell ref="I10:L10"/>
    <mergeCell ref="N10:Q10"/>
    <mergeCell ref="R4:T4"/>
    <mergeCell ref="V4:X4"/>
    <mergeCell ref="Z4:AB4"/>
    <mergeCell ref="J3:L3"/>
    <mergeCell ref="N3:P3"/>
    <mergeCell ref="R3:T3"/>
    <mergeCell ref="V3:X3"/>
    <mergeCell ref="Z3:AB3"/>
    <mergeCell ref="AH8:AR8"/>
    <mergeCell ref="AD6:AG6"/>
    <mergeCell ref="AH6:AR6"/>
    <mergeCell ref="I7:L7"/>
    <mergeCell ref="Q7:T7"/>
    <mergeCell ref="V7:Y7"/>
    <mergeCell ref="AD7:AG7"/>
    <mergeCell ref="AH7:AR7"/>
    <mergeCell ref="I6:L6"/>
    <mergeCell ref="Q6:T6"/>
    <mergeCell ref="V6:Y6"/>
    <mergeCell ref="S10:V10"/>
    <mergeCell ref="I8:L8"/>
    <mergeCell ref="Q8:T8"/>
    <mergeCell ref="V8:Y8"/>
    <mergeCell ref="AD8:AG8"/>
  </mergeCells>
  <phoneticPr fontId="1"/>
  <dataValidations count="3">
    <dataValidation type="custom" allowBlank="1" showInputMessage="1" showErrorMessage="1" sqref="I6:L6">
      <formula1>AND(LEN(I6)=LENB(I6),LEN(I6)=10)</formula1>
    </dataValidation>
    <dataValidation type="date" allowBlank="1" showInputMessage="1" showErrorMessage="1" sqref="Q6:T8 V6:Y8">
      <formula1>36526</formula1>
      <formula2>73415</formula2>
    </dataValidation>
    <dataValidation type="custom" allowBlank="1" showInputMessage="1" showErrorMessage="1" sqref="I7:L7">
      <formula1>AND(LEN(I7)=LENB(I7),LEN(I7)&lt;=10)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NKB0190_SearchDataCopy">
                <anchor moveWithCells="1" sizeWithCells="1">
                  <from>
                    <xdr:col>3</xdr:col>
                    <xdr:colOff>676275</xdr:colOff>
                    <xdr:row>23</xdr:row>
                    <xdr:rowOff>47625</xdr:rowOff>
                  </from>
                  <to>
                    <xdr:col>3</xdr:col>
                    <xdr:colOff>1619250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 moveWithCells="1">
                  <from>
                    <xdr:col>8</xdr:col>
                    <xdr:colOff>28575</xdr:colOff>
                    <xdr:row>2</xdr:row>
                    <xdr:rowOff>19050</xdr:rowOff>
                  </from>
                  <to>
                    <xdr:col>10</xdr:col>
                    <xdr:colOff>190500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>
                <anchor moveWithCells="1">
                  <from>
                    <xdr:col>12</xdr:col>
                    <xdr:colOff>28575</xdr:colOff>
                    <xdr:row>2</xdr:row>
                    <xdr:rowOff>9525</xdr:rowOff>
                  </from>
                  <to>
                    <xdr:col>15</xdr:col>
                    <xdr:colOff>66675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autoFill="0" autoLine="0" autoPict="0">
                <anchor moveWithCells="1">
                  <from>
                    <xdr:col>16</xdr:col>
                    <xdr:colOff>28575</xdr:colOff>
                    <xdr:row>2</xdr:row>
                    <xdr:rowOff>9525</xdr:rowOff>
                  </from>
                  <to>
                    <xdr:col>19</xdr:col>
                    <xdr:colOff>200025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autoFill="0" autoLine="0" autoPict="0">
                <anchor moveWithCells="1">
                  <from>
                    <xdr:col>20</xdr:col>
                    <xdr:colOff>28575</xdr:colOff>
                    <xdr:row>2</xdr:row>
                    <xdr:rowOff>19050</xdr:rowOff>
                  </from>
                  <to>
                    <xdr:col>22</xdr:col>
                    <xdr:colOff>85725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autoFill="0" autoLine="0" autoPict="0">
                <anchor moveWithCells="1">
                  <from>
                    <xdr:col>24</xdr:col>
                    <xdr:colOff>28575</xdr:colOff>
                    <xdr:row>2</xdr:row>
                    <xdr:rowOff>19050</xdr:rowOff>
                  </from>
                  <to>
                    <xdr:col>27</xdr:col>
                    <xdr:colOff>85725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heck Box 8">
              <controlPr defaultSize="0" autoFill="0" autoLine="0" autoPict="0">
                <anchor moveWithCells="1">
                  <from>
                    <xdr:col>8</xdr:col>
                    <xdr:colOff>28575</xdr:colOff>
                    <xdr:row>3</xdr:row>
                    <xdr:rowOff>28575</xdr:rowOff>
                  </from>
                  <to>
                    <xdr:col>11</xdr:col>
                    <xdr:colOff>190500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heck Box 9">
              <controlPr defaultSize="0" autoFill="0" autoLine="0" autoPict="0">
                <anchor moveWithCells="1">
                  <from>
                    <xdr:col>12</xdr:col>
                    <xdr:colOff>28575</xdr:colOff>
                    <xdr:row>3</xdr:row>
                    <xdr:rowOff>38100</xdr:rowOff>
                  </from>
                  <to>
                    <xdr:col>15</xdr:col>
                    <xdr:colOff>200025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eck Box 10">
              <controlPr defaultSize="0" autoFill="0" autoLine="0" autoPict="0">
                <anchor moveWithCells="1">
                  <from>
                    <xdr:col>16</xdr:col>
                    <xdr:colOff>28575</xdr:colOff>
                    <xdr:row>3</xdr:row>
                    <xdr:rowOff>28575</xdr:rowOff>
                  </from>
                  <to>
                    <xdr:col>19</xdr:col>
                    <xdr:colOff>57150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eck Box 11">
              <controlPr defaultSize="0" autoFill="0" autoLine="0" autoPict="0">
                <anchor moveWithCells="1">
                  <from>
                    <xdr:col>20</xdr:col>
                    <xdr:colOff>28575</xdr:colOff>
                    <xdr:row>3</xdr:row>
                    <xdr:rowOff>28575</xdr:rowOff>
                  </from>
                  <to>
                    <xdr:col>22</xdr:col>
                    <xdr:colOff>190500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heck Box 12">
              <controlPr defaultSize="0" autoFill="0" autoLine="0" autoPict="0">
                <anchor moveWithCells="1">
                  <from>
                    <xdr:col>34</xdr:col>
                    <xdr:colOff>28575</xdr:colOff>
                    <xdr:row>3</xdr:row>
                    <xdr:rowOff>19050</xdr:rowOff>
                  </from>
                  <to>
                    <xdr:col>34</xdr:col>
                    <xdr:colOff>247650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Option Button 13">
              <controlPr defaultSize="0" autoFill="0" autoLine="0" autoPict="0">
                <anchor moveWithCells="1">
                  <from>
                    <xdr:col>22</xdr:col>
                    <xdr:colOff>228600</xdr:colOff>
                    <xdr:row>8</xdr:row>
                    <xdr:rowOff>180975</xdr:rowOff>
                  </from>
                  <to>
                    <xdr:col>25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Option Button 14">
              <controlPr defaultSize="0" autoFill="0" autoLine="0" autoPict="0">
                <anchor moveWithCells="1">
                  <from>
                    <xdr:col>25</xdr:col>
                    <xdr:colOff>28575</xdr:colOff>
                    <xdr:row>8</xdr:row>
                    <xdr:rowOff>190500</xdr:rowOff>
                  </from>
                  <to>
                    <xdr:col>26</xdr:col>
                    <xdr:colOff>200025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Option Button 15">
              <controlPr defaultSize="0" autoFill="0" autoLine="0" autoPict="0">
                <anchor moveWithCells="1">
                  <from>
                    <xdr:col>26</xdr:col>
                    <xdr:colOff>228600</xdr:colOff>
                    <xdr:row>8</xdr:row>
                    <xdr:rowOff>180975</xdr:rowOff>
                  </from>
                  <to>
                    <xdr:col>29</xdr:col>
                    <xdr:colOff>95250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C000"/>
  </sheetPr>
  <dimension ref="A1:AT37"/>
  <sheetViews>
    <sheetView showGridLines="0" showRowColHeaders="0" topLeftCell="F15" zoomScaleNormal="100" workbookViewId="0">
      <selection sqref="A1:E1 H1:L1 AN1:AT1"/>
    </sheetView>
  </sheetViews>
  <sheetFormatPr defaultRowHeight="16.5"/>
  <cols>
    <col min="1" max="1" width="9" style="199" hidden="1" customWidth="1"/>
    <col min="2" max="2" width="23.75" style="199" hidden="1" customWidth="1"/>
    <col min="3" max="3" width="33" style="199" hidden="1" customWidth="1"/>
    <col min="4" max="4" width="17.75" style="199" hidden="1" customWidth="1"/>
    <col min="5" max="5" width="9" style="199" hidden="1" customWidth="1"/>
    <col min="6" max="6" width="3.375" style="14" customWidth="1"/>
    <col min="7" max="7" width="5" style="14" bestFit="1" customWidth="1"/>
    <col min="8" max="12" width="5" style="14" hidden="1" customWidth="1"/>
    <col min="13" max="15" width="11.25" style="14" customWidth="1"/>
    <col min="16" max="16" width="11.125" style="14" bestFit="1" customWidth="1"/>
    <col min="17" max="17" width="10" style="14" customWidth="1"/>
    <col min="18" max="18" width="31.875" style="14" customWidth="1"/>
    <col min="19" max="19" width="12.5" style="14" bestFit="1" customWidth="1"/>
    <col min="20" max="20" width="5" style="14" bestFit="1" customWidth="1"/>
    <col min="21" max="21" width="6.25" style="14" customWidth="1"/>
    <col min="22" max="22" width="5" style="14" bestFit="1" customWidth="1"/>
    <col min="23" max="23" width="6.25" style="14" customWidth="1"/>
    <col min="24" max="24" width="9" style="14" customWidth="1"/>
    <col min="25" max="25" width="12.5" style="14" bestFit="1" customWidth="1"/>
    <col min="26" max="27" width="11.125" style="14" bestFit="1" customWidth="1"/>
    <col min="28" max="28" width="14.75" style="14" customWidth="1"/>
    <col min="29" max="29" width="8.75" style="14" bestFit="1" customWidth="1"/>
    <col min="30" max="30" width="25" style="14" customWidth="1"/>
    <col min="31" max="31" width="10.375" style="14" bestFit="1" customWidth="1"/>
    <col min="32" max="32" width="25" style="14" customWidth="1"/>
    <col min="33" max="33" width="10.375" style="14" customWidth="1"/>
    <col min="34" max="34" width="11.125" style="14" bestFit="1" customWidth="1"/>
    <col min="35" max="35" width="22.5" style="14" customWidth="1"/>
    <col min="36" max="38" width="11.5" style="14" bestFit="1" customWidth="1"/>
    <col min="39" max="39" width="26.25" style="14" customWidth="1"/>
    <col min="40" max="46" width="4.875" style="14" hidden="1" customWidth="1"/>
    <col min="47" max="47" width="12.25" style="14" customWidth="1"/>
    <col min="48" max="16384" width="9" style="14"/>
  </cols>
  <sheetData>
    <row r="1" spans="2:46" ht="1.5" hidden="1" customHeight="1"/>
    <row r="2" spans="2:46" ht="1.5" hidden="1" customHeight="1"/>
    <row r="3" spans="2:46" ht="1.5" hidden="1" customHeight="1"/>
    <row r="4" spans="2:46" ht="1.5" hidden="1" customHeight="1"/>
    <row r="5" spans="2:46" ht="1.5" hidden="1" customHeight="1"/>
    <row r="6" spans="2:46" ht="1.5" hidden="1" customHeight="1"/>
    <row r="7" spans="2:46" ht="1.5" hidden="1" customHeight="1"/>
    <row r="8" spans="2:46" ht="1.5" hidden="1" customHeight="1"/>
    <row r="9" spans="2:46" ht="1.5" hidden="1" customHeight="1"/>
    <row r="10" spans="2:46" ht="1.5" hidden="1" customHeight="1"/>
    <row r="11" spans="2:46" ht="1.5" hidden="1" customHeight="1"/>
    <row r="12" spans="2:46" ht="1.5" hidden="1" customHeight="1"/>
    <row r="13" spans="2:46" ht="1.5" hidden="1" customHeight="1"/>
    <row r="14" spans="2:46" ht="1.5" hidden="1" customHeight="1"/>
    <row r="15" spans="2:46">
      <c r="F15" s="14" t="str">
        <f>"("&amp;UNKB0190_B_PAGE_NO&amp;"/"&amp;UNKB0190_B_ALL_PAGE_SU&amp;")"</f>
        <v>(1/1)</v>
      </c>
    </row>
    <row r="16" spans="2:46" ht="33">
      <c r="B16" s="200" t="s">
        <v>627</v>
      </c>
      <c r="C16" s="200" t="s">
        <v>722</v>
      </c>
      <c r="D16" s="200" t="str">
        <f>ROW(A1)&amp;":"&amp;ROW(A14)</f>
        <v>1:14</v>
      </c>
      <c r="F16" s="29"/>
      <c r="G16" s="108" t="s">
        <v>59</v>
      </c>
      <c r="H16" s="22" t="s">
        <v>550</v>
      </c>
      <c r="I16" s="22" t="s">
        <v>551</v>
      </c>
      <c r="J16" s="22" t="s">
        <v>552</v>
      </c>
      <c r="K16" s="22" t="s">
        <v>217</v>
      </c>
      <c r="L16" s="22" t="s">
        <v>745</v>
      </c>
      <c r="M16" s="30" t="s">
        <v>60</v>
      </c>
      <c r="N16" s="30" t="s">
        <v>61</v>
      </c>
      <c r="O16" s="30" t="s">
        <v>62</v>
      </c>
      <c r="P16" s="30" t="s">
        <v>63</v>
      </c>
      <c r="Q16" s="30" t="s">
        <v>64</v>
      </c>
      <c r="R16" s="30" t="s">
        <v>65</v>
      </c>
      <c r="S16" s="30" t="s">
        <v>66</v>
      </c>
      <c r="T16" s="30" t="s">
        <v>67</v>
      </c>
      <c r="U16" s="108" t="s">
        <v>968</v>
      </c>
      <c r="V16" s="30" t="s">
        <v>69</v>
      </c>
      <c r="W16" s="108" t="s">
        <v>969</v>
      </c>
      <c r="X16" s="30" t="s">
        <v>71</v>
      </c>
      <c r="Y16" s="30" t="s">
        <v>72</v>
      </c>
      <c r="Z16" s="30" t="s">
        <v>73</v>
      </c>
      <c r="AA16" s="30" t="s">
        <v>74</v>
      </c>
      <c r="AB16" s="30" t="s">
        <v>27</v>
      </c>
      <c r="AC16" s="30" t="s">
        <v>75</v>
      </c>
      <c r="AD16" s="30" t="s">
        <v>76</v>
      </c>
      <c r="AE16" s="30" t="s">
        <v>77</v>
      </c>
      <c r="AF16" s="30" t="s">
        <v>78</v>
      </c>
      <c r="AG16" s="30" t="s">
        <v>79</v>
      </c>
      <c r="AH16" s="30" t="s">
        <v>80</v>
      </c>
      <c r="AI16" s="30" t="s">
        <v>38</v>
      </c>
      <c r="AJ16" s="30" t="s">
        <v>81</v>
      </c>
      <c r="AK16" s="30" t="s">
        <v>82</v>
      </c>
      <c r="AL16" s="30" t="s">
        <v>83</v>
      </c>
      <c r="AM16" s="30" t="s">
        <v>818</v>
      </c>
      <c r="AN16" s="22" t="s">
        <v>553</v>
      </c>
      <c r="AO16" s="22" t="s">
        <v>554</v>
      </c>
      <c r="AP16" s="22" t="s">
        <v>555</v>
      </c>
      <c r="AQ16" s="22" t="s">
        <v>556</v>
      </c>
      <c r="AR16" s="22" t="s">
        <v>557</v>
      </c>
      <c r="AS16" s="22" t="s">
        <v>558</v>
      </c>
      <c r="AT16" s="22" t="s">
        <v>559</v>
      </c>
    </row>
    <row r="17" spans="2:4">
      <c r="B17" s="200" t="s">
        <v>628</v>
      </c>
      <c r="C17" s="200" t="s">
        <v>723</v>
      </c>
      <c r="D17" s="200" t="str">
        <f>ADDRESS(ROW(A1),COLUMN(A1))&amp;":"&amp;ADDRESS(ROW(E1),COLUMN(E1))&amp;","&amp;ADDRESS(ROW(H1),COLUMN(H1))&amp;":"&amp;ADDRESS(ROW(L1),COLUMN(L1))&amp;","&amp;ADDRESS(ROW(AN1),COLUMN(AN1))&amp;":"&amp;ADDRESS(ROW(AT1),COLUMN(AT1))</f>
        <v>$A$1:$E$1,$H$1:$L$1,$AN$1:$AT$1</v>
      </c>
    </row>
    <row r="18" spans="2:4">
      <c r="B18" s="200" t="s">
        <v>127</v>
      </c>
      <c r="C18" s="200" t="s">
        <v>724</v>
      </c>
      <c r="D18" s="200" t="str">
        <f>ADDRESS(ROW(UNKB0190_B_KOBAIHIN_MEI)+1,COLUMN(UNKB0190_B_KOBAIHIN_MEI))</f>
        <v>$R$17</v>
      </c>
    </row>
    <row r="20" spans="2:4">
      <c r="B20" s="200" t="s">
        <v>711</v>
      </c>
      <c r="C20" s="200" t="s">
        <v>725</v>
      </c>
      <c r="D20" s="200"/>
    </row>
    <row r="21" spans="2:4">
      <c r="B21" s="200" t="s">
        <v>712</v>
      </c>
      <c r="C21" s="200" t="s">
        <v>726</v>
      </c>
      <c r="D21" s="200">
        <v>1</v>
      </c>
    </row>
    <row r="22" spans="2:4">
      <c r="B22" s="200" t="s">
        <v>119</v>
      </c>
      <c r="C22" s="200" t="s">
        <v>727</v>
      </c>
      <c r="D22" s="200">
        <f>IF(OR(UNKB0190_B_ALL_KENSU=0,UNKB0190_B_HYOUJI_GYO_SU=0),1,ROUNDUP(UNKB0190_B_ALL_KENSU/UNKB0190_B_HYOUJI_GYO_SU,0))</f>
        <v>1</v>
      </c>
    </row>
    <row r="23" spans="2:4">
      <c r="B23" s="200" t="s">
        <v>713</v>
      </c>
      <c r="C23" s="200" t="s">
        <v>728</v>
      </c>
      <c r="D23" s="200">
        <v>10</v>
      </c>
    </row>
    <row r="24" spans="2:4">
      <c r="B24" s="200" t="s">
        <v>714</v>
      </c>
      <c r="C24" s="200" t="s">
        <v>729</v>
      </c>
      <c r="D24" s="200">
        <v>2</v>
      </c>
    </row>
    <row r="25" spans="2:4">
      <c r="B25" s="201"/>
      <c r="C25" s="202"/>
      <c r="D25" s="201"/>
    </row>
    <row r="26" spans="2:4">
      <c r="B26" s="200" t="s">
        <v>128</v>
      </c>
      <c r="C26" s="200" t="s">
        <v>730</v>
      </c>
      <c r="D26" s="200" t="str">
        <f>ADDRESS(ROW(UNKB0190_B_SHIIRE_KEIJO)+1,COLUMN(UNKB0190_B_SHIIRE_KEIJO)+1)</f>
        <v>$H$17</v>
      </c>
    </row>
    <row r="27" spans="2:4">
      <c r="B27" s="200" t="s">
        <v>715</v>
      </c>
      <c r="C27" s="200" t="s">
        <v>731</v>
      </c>
      <c r="D27" s="200" t="str">
        <f>ADDRESS(ROW(UNKB0190_B_SHIIRE_KEIJO)+1+UNKB0190_B_HYOJI_KENSU-1,COLUMN(UNKB0190_B_SHIIRE_KEIJO)+COLUMNS(UNKB0190_IF_LIST_COPY_MOTO)-1)</f>
        <v>$AT$26</v>
      </c>
    </row>
    <row r="28" spans="2:4">
      <c r="B28" s="200" t="s">
        <v>716</v>
      </c>
      <c r="C28" s="200" t="s">
        <v>952</v>
      </c>
      <c r="D28" s="200" t="b">
        <f>IF(UNKB0190_B_HYOJI_KENSU&lt;&gt;0,TRUE,FALSE)</f>
        <v>1</v>
      </c>
    </row>
    <row r="29" spans="2:4">
      <c r="B29" s="200" t="s">
        <v>717</v>
      </c>
      <c r="C29" s="200" t="s">
        <v>732</v>
      </c>
      <c r="D29" s="200" t="str">
        <f>IF(UNKB0190_B_HYOJI_KENSU=0,"",ADDRESS(ROW(UNKB0190_B_SHIIRE_KEIJO)+1,COLUMN(UNKB0190_B_SHIIRE_KEIJO))&amp;":"&amp;
ADDRESS(ROW(UNKB0190_B_SHIIRE_KEIJO)+1+UNKB0190_B_HYOJI_KENSU-1,COLUMN(UNKB0190_B_SHIIRE_KEIJO)+COLUMNS(UNKB0190_IF_LIST_COPY_MOTO)-1))</f>
        <v>$G$17:$AT$26</v>
      </c>
    </row>
    <row r="30" spans="2:4">
      <c r="B30" s="200" t="s">
        <v>718</v>
      </c>
      <c r="C30" s="200" t="s">
        <v>733</v>
      </c>
      <c r="D30" s="200" t="str">
        <f>IF(UNKB0190_B_HYOJI_KENSU=0,"",ADDRESS(ROW(UNKB0190_B_SHIIRE_KEIJO)+1,COLUMN(UNKB0190_B_SHIIRE_KEIJO))&amp;":"&amp;ADDRESS(ROW(UNKB0190_B_SHIIRE_KEIJO)+1+UNKB0190_B_HYOJI_KENSU-1,COLUMN(UNKB0190_B_SHIIRE_KEIJO)))</f>
        <v>$G$17:$G$26</v>
      </c>
    </row>
    <row r="31" spans="2:4">
      <c r="B31" s="200" t="s">
        <v>719</v>
      </c>
      <c r="C31" s="200" t="s">
        <v>734</v>
      </c>
      <c r="D31" s="200" t="str">
        <f>ADDRESS(ROW(UNKB0190_B_SHIIRE_KEIJO)+1,COLUMN(UNKB0190_B_SHIIRE_KEIJO))&amp;":"&amp;
ADDRESS(ROW(UNKB0190_B_SHIIRE_KEIJO)+1+UNKB0190_B_HYOUJI_GYO_SU-1,COLUMN(UNKB0190_B_SHIIRE_KEIJO)+COLUMNS(UNKB0190_IF_LIST_COPY_MOTO)-1)</f>
        <v>$G$17:$AT$18</v>
      </c>
    </row>
    <row r="32" spans="2:4">
      <c r="B32" s="200" t="s">
        <v>237</v>
      </c>
      <c r="C32" s="200" t="s">
        <v>822</v>
      </c>
      <c r="D32" s="200" t="str">
        <f>ADDRESS(ROW(UNKB0190_B_SHIIRE_KEIJO)+1,COLUMN(UNKB0190_B_SHIIRE_KEIJO)+1)</f>
        <v>$H$17</v>
      </c>
    </row>
    <row r="33" spans="2:4">
      <c r="B33" s="201"/>
      <c r="C33" s="202"/>
      <c r="D33" s="201"/>
    </row>
    <row r="34" spans="2:4">
      <c r="B34" s="200" t="s">
        <v>122</v>
      </c>
      <c r="C34" s="200" t="s">
        <v>735</v>
      </c>
      <c r="D34" s="200">
        <f>UNKB0190_B_PAGE_NO+1</f>
        <v>2</v>
      </c>
    </row>
    <row r="35" spans="2:4">
      <c r="B35" s="200" t="s">
        <v>121</v>
      </c>
      <c r="C35" s="200" t="s">
        <v>736</v>
      </c>
      <c r="D35" s="200">
        <f>UNKB0190_B_PAGE_NO-1</f>
        <v>0</v>
      </c>
    </row>
    <row r="36" spans="2:4">
      <c r="B36" s="200" t="s">
        <v>720</v>
      </c>
      <c r="C36" s="200" t="s">
        <v>737</v>
      </c>
      <c r="D36" s="200">
        <f>IF(1&lt;UNKB0190_B_PAGE_NO,1,2)</f>
        <v>2</v>
      </c>
    </row>
    <row r="37" spans="2:4">
      <c r="B37" s="200" t="s">
        <v>721</v>
      </c>
      <c r="C37" s="200" t="s">
        <v>738</v>
      </c>
      <c r="D37" s="200">
        <f>IF(UNKB0190_B_PAGE_NO&lt;UNKB0190_B_ALL_PAGE_SU,1,2)</f>
        <v>2</v>
      </c>
    </row>
  </sheetData>
  <sheetProtection sheet="1" objects="1" scenarios="1" selectLockedCells="1"/>
  <phoneticPr fontId="1"/>
  <conditionalFormatting sqref="I1:I14">
    <cfRule type="containsText" dxfId="41" priority="6" operator="containsText" text="準備納期外">
      <formula>NOT(ISERROR(SEARCH("準備納期外",I1)))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2:DQ26"/>
  <sheetViews>
    <sheetView workbookViewId="0">
      <selection activeCell="AW4" sqref="AW4:AZ4"/>
    </sheetView>
  </sheetViews>
  <sheetFormatPr defaultRowHeight="13.5"/>
  <cols>
    <col min="1" max="1" width="13.375" customWidth="1"/>
    <col min="2" max="2" width="11.375" customWidth="1"/>
    <col min="3" max="3" width="18" customWidth="1"/>
    <col min="4" max="4" width="9.5" customWidth="1"/>
    <col min="6" max="6" width="9.125" customWidth="1"/>
    <col min="8" max="8" width="7.625" customWidth="1"/>
    <col min="45" max="45" width="13.625" customWidth="1"/>
    <col min="46" max="46" width="14.25" customWidth="1"/>
    <col min="49" max="49" width="3" customWidth="1"/>
    <col min="50" max="50" width="2.625" customWidth="1"/>
    <col min="51" max="51" width="1.875" customWidth="1"/>
    <col min="52" max="52" width="2.125" customWidth="1"/>
    <col min="53" max="54" width="1.875" customWidth="1"/>
    <col min="55" max="55" width="1.625" customWidth="1"/>
    <col min="56" max="58" width="2.125" customWidth="1"/>
    <col min="59" max="59" width="1.75" customWidth="1"/>
    <col min="60" max="61" width="1.875" customWidth="1"/>
    <col min="62" max="63" width="2.25" customWidth="1"/>
    <col min="64" max="64" width="2.5" customWidth="1"/>
    <col min="65" max="67" width="2.375" customWidth="1"/>
    <col min="68" max="68" width="1.625" customWidth="1"/>
    <col min="69" max="70" width="1.875" customWidth="1"/>
    <col min="71" max="71" width="2.125" customWidth="1"/>
    <col min="72" max="72" width="2.375" customWidth="1"/>
    <col min="73" max="73" width="1.5" customWidth="1"/>
    <col min="74" max="75" width="2" customWidth="1"/>
    <col min="76" max="76" width="2.125" customWidth="1"/>
    <col min="77" max="77" width="2" customWidth="1"/>
    <col min="78" max="78" width="2.5" customWidth="1"/>
    <col min="79" max="80" width="2" customWidth="1"/>
    <col min="81" max="81" width="1.5" customWidth="1"/>
    <col min="82" max="82" width="2.125" customWidth="1"/>
    <col min="83" max="83" width="1.75" customWidth="1"/>
    <col min="84" max="84" width="1.625" customWidth="1"/>
  </cols>
  <sheetData>
    <row r="2" spans="1:121">
      <c r="A2" s="5" t="s">
        <v>739</v>
      </c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42" t="s">
        <v>740</v>
      </c>
      <c r="AW2" s="8" t="s">
        <v>798</v>
      </c>
    </row>
    <row r="3" spans="1:121" ht="16.5">
      <c r="D3" s="135" t="s">
        <v>59</v>
      </c>
      <c r="E3" s="136" t="s">
        <v>488</v>
      </c>
      <c r="F3" s="136" t="s">
        <v>186</v>
      </c>
      <c r="G3" s="136" t="s">
        <v>552</v>
      </c>
      <c r="H3" s="136" t="s">
        <v>217</v>
      </c>
      <c r="I3" s="136" t="s">
        <v>817</v>
      </c>
      <c r="J3" s="137" t="s">
        <v>60</v>
      </c>
      <c r="K3" s="135" t="s">
        <v>659</v>
      </c>
      <c r="L3" s="135" t="s">
        <v>741</v>
      </c>
      <c r="M3" s="135" t="s">
        <v>63</v>
      </c>
      <c r="N3" s="135" t="s">
        <v>64</v>
      </c>
      <c r="O3" s="135" t="s">
        <v>65</v>
      </c>
      <c r="P3" s="135" t="s">
        <v>66</v>
      </c>
      <c r="Q3" s="135" t="s">
        <v>67</v>
      </c>
      <c r="R3" s="135" t="s">
        <v>70</v>
      </c>
      <c r="S3" s="135" t="s">
        <v>69</v>
      </c>
      <c r="T3" s="135" t="s">
        <v>68</v>
      </c>
      <c r="U3" s="135" t="s">
        <v>71</v>
      </c>
      <c r="V3" s="135" t="s">
        <v>72</v>
      </c>
      <c r="W3" s="135" t="s">
        <v>73</v>
      </c>
      <c r="X3" s="135" t="s">
        <v>74</v>
      </c>
      <c r="Y3" s="135" t="s">
        <v>27</v>
      </c>
      <c r="Z3" s="135" t="s">
        <v>75</v>
      </c>
      <c r="AA3" s="135" t="s">
        <v>76</v>
      </c>
      <c r="AB3" s="135" t="s">
        <v>503</v>
      </c>
      <c r="AC3" s="135" t="s">
        <v>78</v>
      </c>
      <c r="AD3" s="135" t="s">
        <v>79</v>
      </c>
      <c r="AE3" s="135" t="s">
        <v>80</v>
      </c>
      <c r="AF3" s="135" t="s">
        <v>38</v>
      </c>
      <c r="AG3" s="135" t="s">
        <v>81</v>
      </c>
      <c r="AH3" s="135" t="s">
        <v>82</v>
      </c>
      <c r="AI3" s="135" t="s">
        <v>83</v>
      </c>
      <c r="AJ3" s="135" t="s">
        <v>818</v>
      </c>
      <c r="AK3" s="138" t="s">
        <v>553</v>
      </c>
      <c r="AL3" s="138" t="s">
        <v>477</v>
      </c>
      <c r="AM3" s="138" t="s">
        <v>555</v>
      </c>
      <c r="AN3" s="138" t="s">
        <v>556</v>
      </c>
      <c r="AO3" s="138" t="s">
        <v>557</v>
      </c>
      <c r="AP3" s="138" t="s">
        <v>558</v>
      </c>
      <c r="AQ3" s="138" t="s">
        <v>819</v>
      </c>
      <c r="AS3" s="5" t="s">
        <v>559</v>
      </c>
      <c r="AW3" s="254"/>
      <c r="AX3" s="255"/>
      <c r="AY3" s="255"/>
      <c r="AZ3" s="256"/>
      <c r="BA3" s="14"/>
      <c r="BB3" s="14"/>
      <c r="BC3" s="14"/>
      <c r="BD3" s="15" t="s">
        <v>1191</v>
      </c>
      <c r="BE3" s="246"/>
      <c r="BF3" s="246"/>
      <c r="BG3" s="246"/>
      <c r="BH3" s="246"/>
      <c r="BI3" s="18" t="s">
        <v>53</v>
      </c>
      <c r="BJ3" s="246"/>
      <c r="BK3" s="246"/>
      <c r="BL3" s="246"/>
      <c r="BM3" s="246"/>
      <c r="BN3" s="14"/>
      <c r="BO3" s="14"/>
      <c r="BP3" s="14"/>
      <c r="BQ3" s="15" t="s">
        <v>54</v>
      </c>
      <c r="BR3" s="247"/>
      <c r="BS3" s="248"/>
      <c r="BT3" s="248"/>
      <c r="BU3" s="249"/>
      <c r="BV3" s="250" t="str">
        <f>IF(UNKB0190_H_KOBAIHIN_CD="","",UNKB0190_H_KOBAIHIN_MEI)</f>
        <v/>
      </c>
      <c r="BW3" s="251"/>
      <c r="BX3" s="251"/>
      <c r="BY3" s="251"/>
      <c r="BZ3" s="251"/>
      <c r="CA3" s="251"/>
      <c r="CB3" s="251"/>
      <c r="CC3" s="251"/>
      <c r="CD3" s="251"/>
      <c r="CE3" s="251"/>
      <c r="CF3" s="252"/>
      <c r="CG3" s="5" t="s">
        <v>742</v>
      </c>
      <c r="CI3" t="s">
        <v>743</v>
      </c>
      <c r="CJ3" t="s">
        <v>813</v>
      </c>
      <c r="CL3" s="139"/>
      <c r="CM3" s="139"/>
      <c r="CN3" s="139"/>
      <c r="CO3" s="139"/>
      <c r="CP3" s="140"/>
      <c r="CQ3" s="139"/>
      <c r="CR3" s="139"/>
      <c r="CS3" s="139"/>
      <c r="CT3" s="139"/>
      <c r="CU3" s="139"/>
      <c r="CV3" s="139"/>
      <c r="CW3" s="139"/>
      <c r="CX3" s="139"/>
      <c r="CY3" s="139"/>
      <c r="CZ3" s="140"/>
      <c r="DA3" s="140"/>
      <c r="DB3" s="139"/>
      <c r="DC3" s="139"/>
      <c r="DD3" s="139"/>
      <c r="DE3" s="139"/>
      <c r="DF3" s="139"/>
      <c r="DG3" s="139"/>
      <c r="DH3" s="139"/>
      <c r="DI3" s="139"/>
      <c r="DJ3" s="139"/>
      <c r="DK3" s="139"/>
      <c r="DL3" s="139"/>
      <c r="DM3" s="139"/>
      <c r="DN3" s="139"/>
      <c r="DO3" s="139"/>
      <c r="DP3" s="139"/>
      <c r="DQ3" s="139"/>
    </row>
    <row r="4" spans="1:121" ht="16.5">
      <c r="B4" t="s">
        <v>744</v>
      </c>
      <c r="C4" s="8" t="s">
        <v>794</v>
      </c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T4" s="8" t="s">
        <v>797</v>
      </c>
      <c r="AW4" s="253"/>
      <c r="AX4" s="253"/>
      <c r="AY4" s="253"/>
      <c r="AZ4" s="253"/>
      <c r="BA4" s="14"/>
      <c r="BB4" s="14"/>
      <c r="BC4" s="14"/>
      <c r="BD4" s="15" t="s">
        <v>1192</v>
      </c>
      <c r="BE4" s="246"/>
      <c r="BF4" s="246"/>
      <c r="BG4" s="246"/>
      <c r="BH4" s="246"/>
      <c r="BI4" s="18" t="s">
        <v>53</v>
      </c>
      <c r="BJ4" s="246"/>
      <c r="BK4" s="246"/>
      <c r="BL4" s="246"/>
      <c r="BM4" s="246"/>
      <c r="BN4" s="14"/>
      <c r="BO4" s="14"/>
      <c r="BP4" s="14"/>
      <c r="BQ4" s="15" t="s">
        <v>55</v>
      </c>
      <c r="BR4" s="247"/>
      <c r="BS4" s="248"/>
      <c r="BT4" s="248"/>
      <c r="BU4" s="249"/>
      <c r="BV4" s="250" t="str">
        <f>IF(UNKB0190_H_SHIIRESAKI_CD="","",UNKB0190_H_SHIIRESAKI_MEI)</f>
        <v/>
      </c>
      <c r="BW4" s="251"/>
      <c r="BX4" s="251"/>
      <c r="BY4" s="251"/>
      <c r="BZ4" s="251"/>
      <c r="CA4" s="251"/>
      <c r="CB4" s="251"/>
      <c r="CC4" s="251"/>
      <c r="CD4" s="251"/>
      <c r="CE4" s="251"/>
      <c r="CF4" s="252"/>
      <c r="CL4" s="30" t="s">
        <v>81</v>
      </c>
      <c r="CM4" s="30" t="s">
        <v>823</v>
      </c>
      <c r="CN4" s="30" t="s">
        <v>824</v>
      </c>
      <c r="CO4" s="30" t="s">
        <v>825</v>
      </c>
      <c r="CP4" s="30" t="s">
        <v>826</v>
      </c>
      <c r="CQ4" s="30" t="s">
        <v>64</v>
      </c>
      <c r="CR4" s="30" t="s">
        <v>749</v>
      </c>
      <c r="CS4" s="30" t="s">
        <v>827</v>
      </c>
      <c r="CT4" s="30" t="s">
        <v>828</v>
      </c>
      <c r="CU4" s="30" t="s">
        <v>70</v>
      </c>
      <c r="CV4" s="30" t="s">
        <v>69</v>
      </c>
      <c r="CW4" s="30" t="s">
        <v>812</v>
      </c>
      <c r="CX4" s="30" t="s">
        <v>829</v>
      </c>
      <c r="CY4" s="30" t="s">
        <v>72</v>
      </c>
      <c r="CZ4" s="30" t="s">
        <v>830</v>
      </c>
      <c r="DA4" s="30" t="s">
        <v>831</v>
      </c>
      <c r="DB4" s="30" t="s">
        <v>746</v>
      </c>
      <c r="DC4" s="30" t="s">
        <v>811</v>
      </c>
      <c r="DD4" s="30" t="s">
        <v>747</v>
      </c>
      <c r="DE4" s="30" t="s">
        <v>77</v>
      </c>
      <c r="DF4" s="30" t="s">
        <v>78</v>
      </c>
      <c r="DG4" s="30" t="s">
        <v>832</v>
      </c>
      <c r="DH4" s="30" t="s">
        <v>833</v>
      </c>
      <c r="DI4" s="30" t="s">
        <v>834</v>
      </c>
      <c r="DJ4" s="30" t="s">
        <v>835</v>
      </c>
      <c r="DK4" s="30" t="s">
        <v>836</v>
      </c>
      <c r="DL4" s="30" t="s">
        <v>810</v>
      </c>
      <c r="DM4" s="30" t="s">
        <v>748</v>
      </c>
      <c r="DN4" s="30" t="s">
        <v>837</v>
      </c>
      <c r="DO4" s="30" t="s">
        <v>838</v>
      </c>
      <c r="DP4" s="30" t="s">
        <v>839</v>
      </c>
      <c r="DQ4" s="30" t="s">
        <v>840</v>
      </c>
    </row>
    <row r="5" spans="1:121" ht="16.5">
      <c r="B5" t="s">
        <v>750</v>
      </c>
      <c r="C5" s="8" t="s">
        <v>793</v>
      </c>
      <c r="D5" s="183"/>
      <c r="E5" s="174"/>
      <c r="F5" s="143"/>
      <c r="G5" s="175"/>
      <c r="H5" s="175"/>
      <c r="I5" s="174"/>
      <c r="J5" s="175"/>
      <c r="K5" s="143"/>
      <c r="L5" s="143"/>
      <c r="M5" s="142"/>
      <c r="N5" s="143"/>
      <c r="O5" s="178"/>
      <c r="P5" s="205"/>
      <c r="Q5" s="205"/>
      <c r="R5" s="143"/>
      <c r="S5" s="205"/>
      <c r="T5" s="143"/>
      <c r="U5" s="205"/>
      <c r="V5" s="205"/>
      <c r="W5" s="142"/>
      <c r="X5" s="142"/>
      <c r="Y5" s="143"/>
      <c r="Z5" s="143"/>
      <c r="AA5" s="178"/>
      <c r="AB5" s="143"/>
      <c r="AC5" s="178"/>
      <c r="AD5" s="143"/>
      <c r="AE5" s="143"/>
      <c r="AF5" s="178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S5" s="144" t="s">
        <v>536</v>
      </c>
      <c r="AT5" s="145" t="b">
        <v>1</v>
      </c>
      <c r="AW5" s="243"/>
      <c r="AX5" s="244"/>
      <c r="AY5" s="244"/>
      <c r="AZ5" s="245"/>
      <c r="BA5" s="14"/>
      <c r="BB5" s="14"/>
      <c r="BC5" s="14"/>
      <c r="BD5" s="15" t="s">
        <v>1193</v>
      </c>
      <c r="BE5" s="246"/>
      <c r="BF5" s="246"/>
      <c r="BG5" s="246"/>
      <c r="BH5" s="246"/>
      <c r="BI5" s="18" t="s">
        <v>53</v>
      </c>
      <c r="BJ5" s="246"/>
      <c r="BK5" s="246"/>
      <c r="BL5" s="246"/>
      <c r="BM5" s="246"/>
      <c r="BN5" s="14"/>
      <c r="BO5" s="14"/>
      <c r="BP5" s="14"/>
      <c r="BQ5" s="15" t="s">
        <v>57</v>
      </c>
      <c r="BR5" s="247"/>
      <c r="BS5" s="248"/>
      <c r="BT5" s="248"/>
      <c r="BU5" s="249"/>
      <c r="BV5" s="250" t="str">
        <f>IF(UNKB0190_H_MAKER_CD="","",UNKB0190_H_MAKER_MEI)</f>
        <v/>
      </c>
      <c r="BW5" s="251"/>
      <c r="BX5" s="251"/>
      <c r="BY5" s="251"/>
      <c r="BZ5" s="251"/>
      <c r="CA5" s="251"/>
      <c r="CB5" s="251"/>
      <c r="CC5" s="251"/>
      <c r="CD5" s="251"/>
      <c r="CE5" s="251"/>
      <c r="CF5" s="252"/>
      <c r="CL5" s="43"/>
    </row>
    <row r="6" spans="1:121" ht="16.5">
      <c r="B6" t="s">
        <v>751</v>
      </c>
      <c r="C6" s="8" t="s">
        <v>795</v>
      </c>
      <c r="D6" s="177"/>
      <c r="E6" s="146"/>
      <c r="F6" s="146"/>
      <c r="G6" s="147"/>
      <c r="H6" s="147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9"/>
      <c r="Z6" s="148"/>
      <c r="AA6" s="149"/>
      <c r="AB6" s="148"/>
      <c r="AC6" s="148"/>
      <c r="AD6" s="148"/>
      <c r="AE6" s="149"/>
      <c r="AF6" s="148"/>
      <c r="AG6" s="149"/>
      <c r="AH6" s="148"/>
      <c r="AI6" s="149"/>
      <c r="AJ6" s="148"/>
      <c r="AK6" s="148"/>
      <c r="AL6" s="149"/>
      <c r="AM6" s="149"/>
      <c r="AN6" s="149"/>
      <c r="AO6" s="149"/>
      <c r="AP6" s="149"/>
      <c r="AQ6" s="149"/>
      <c r="AS6" s="144" t="s">
        <v>42</v>
      </c>
      <c r="AT6" s="150" t="b">
        <v>1</v>
      </c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H6" t="s">
        <v>752</v>
      </c>
      <c r="CI6" s="8" t="s">
        <v>814</v>
      </c>
      <c r="CJ6" s="43">
        <v>1</v>
      </c>
    </row>
    <row r="7" spans="1:121" ht="16.5">
      <c r="AS7" s="20" t="s">
        <v>632</v>
      </c>
      <c r="AT7" s="150" t="b">
        <v>1</v>
      </c>
      <c r="AW7" s="242"/>
      <c r="AX7" s="242"/>
      <c r="AY7" s="242"/>
      <c r="AZ7" s="242"/>
      <c r="BA7" s="19" t="str">
        <f>IF(UNKB0190_H_FREEWD_KBN=1,"AND",IF(UNKB0190_H_FREEWD_KBN=2,"OR","NAND"))</f>
        <v>AND</v>
      </c>
      <c r="BB7" s="242"/>
      <c r="BC7" s="242"/>
      <c r="BD7" s="242"/>
      <c r="BE7" s="242"/>
      <c r="BF7" s="19" t="str">
        <f>UNKB0190_H_FREEWD_KBN_DISP</f>
        <v>AND</v>
      </c>
      <c r="BG7" s="242"/>
      <c r="BH7" s="242"/>
      <c r="BI7" s="242"/>
      <c r="BJ7" s="242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H7" t="s">
        <v>229</v>
      </c>
      <c r="CI7" t="s">
        <v>799</v>
      </c>
      <c r="CJ7" s="43" t="str">
        <f>IF(UNKB0190_IF_PRINT_COUNT=0,"",
"UNKB0190_IF!"&amp;ADDRESS(ROW(UNKB0190_IF_PRINT_START),COLUMN(UNKB0190_IF_PRINT_START))&amp;":" &amp; ADDRESS(ROW(UNKB0190_IF_PRINT_START)+UNKB0190_IF_PRINT_COUNT-1,COLUMN(UNKB0190_IF_PRINT_START)+COLUMNS(UNKB0190_IF_PRINT_SHOSHIKI_COPY_MOTO)-1))</f>
        <v>UNKB0190_IF!$CL$5:$DQ$5</v>
      </c>
    </row>
    <row r="8" spans="1:121" ht="16.5">
      <c r="A8" s="42" t="s">
        <v>753</v>
      </c>
      <c r="B8" s="8"/>
      <c r="C8" s="8"/>
      <c r="D8" s="8"/>
      <c r="E8" s="8"/>
      <c r="F8" s="8"/>
      <c r="G8" s="8"/>
      <c r="H8" s="8"/>
      <c r="AS8" s="144" t="s">
        <v>44</v>
      </c>
      <c r="AT8" s="150" t="b">
        <v>1</v>
      </c>
      <c r="CH8" t="s">
        <v>754</v>
      </c>
      <c r="CI8" t="s">
        <v>800</v>
      </c>
      <c r="CJ8" s="43" t="b">
        <f>IF(UNKB0190_IF_PRINT_COUNT=0,FALSE,TRUE)</f>
        <v>1</v>
      </c>
    </row>
    <row r="9" spans="1:121" ht="16.5">
      <c r="A9" s="8"/>
      <c r="B9" s="8" t="s">
        <v>148</v>
      </c>
      <c r="C9" s="8" t="s">
        <v>788</v>
      </c>
      <c r="D9" s="9"/>
      <c r="E9" s="8" t="s">
        <v>149</v>
      </c>
      <c r="F9" s="8" t="s">
        <v>150</v>
      </c>
      <c r="G9" s="8"/>
      <c r="H9" s="8"/>
      <c r="AS9" s="144" t="s">
        <v>45</v>
      </c>
      <c r="AT9" s="150" t="b">
        <v>1</v>
      </c>
    </row>
    <row r="10" spans="1:121" ht="16.5">
      <c r="A10" s="8"/>
      <c r="B10" s="8" t="s">
        <v>755</v>
      </c>
      <c r="C10" s="8" t="s">
        <v>789</v>
      </c>
      <c r="D10" s="9"/>
      <c r="E10" s="8"/>
      <c r="F10" s="8"/>
      <c r="G10" s="8"/>
      <c r="H10" s="8"/>
      <c r="AS10" s="144" t="s">
        <v>633</v>
      </c>
      <c r="AT10" s="150" t="b">
        <v>0</v>
      </c>
      <c r="CH10" t="s">
        <v>756</v>
      </c>
      <c r="CI10" s="8" t="s">
        <v>801</v>
      </c>
      <c r="CJ10" s="43" t="str">
        <f ca="1">"仕入計上用データ検索_"&amp;TEXT(NOW(),"YYYYMMDD")&amp;"_"&amp;TEXT(NOW(),"hhmmss")</f>
        <v>仕入計上用データ検索_20170714_174053</v>
      </c>
    </row>
    <row r="11" spans="1:121" ht="16.5">
      <c r="A11" s="8"/>
      <c r="B11" s="8" t="s">
        <v>757</v>
      </c>
      <c r="C11" s="8" t="s">
        <v>790</v>
      </c>
      <c r="D11" s="9"/>
      <c r="E11" s="8"/>
      <c r="F11" s="8"/>
      <c r="G11" s="8"/>
      <c r="H11" s="8"/>
      <c r="AS11" s="144" t="s">
        <v>48</v>
      </c>
      <c r="AT11" s="150" t="b">
        <v>0</v>
      </c>
    </row>
    <row r="12" spans="1:121" ht="16.5">
      <c r="B12" s="8" t="s">
        <v>959</v>
      </c>
      <c r="C12" s="8" t="s">
        <v>960</v>
      </c>
      <c r="D12" s="9"/>
      <c r="G12" s="8"/>
      <c r="H12" s="8"/>
      <c r="AS12" s="144" t="s">
        <v>49</v>
      </c>
      <c r="AT12" s="150" t="b">
        <v>0</v>
      </c>
    </row>
    <row r="13" spans="1:121" ht="16.5">
      <c r="G13" s="8"/>
      <c r="H13" s="8"/>
      <c r="AS13" s="144" t="s">
        <v>634</v>
      </c>
      <c r="AT13" s="150" t="b">
        <v>1</v>
      </c>
    </row>
    <row r="14" spans="1:121" ht="16.5">
      <c r="A14" s="151" t="s">
        <v>152</v>
      </c>
      <c r="B14" s="8"/>
      <c r="C14" s="8"/>
      <c r="D14" s="8"/>
      <c r="E14" s="8"/>
      <c r="F14" s="8"/>
      <c r="G14" s="8"/>
      <c r="H14" s="8"/>
      <c r="AS14" s="144" t="s">
        <v>796</v>
      </c>
      <c r="AT14" s="150" t="b">
        <v>1</v>
      </c>
    </row>
    <row r="15" spans="1:121" ht="16.5">
      <c r="A15" s="8"/>
      <c r="B15" s="8" t="s">
        <v>488</v>
      </c>
      <c r="C15" s="8" t="s">
        <v>803</v>
      </c>
      <c r="D15" s="9"/>
      <c r="E15" s="8"/>
      <c r="F15" s="8"/>
      <c r="G15" s="8"/>
      <c r="H15" s="8"/>
      <c r="AS15" s="144" t="s">
        <v>635</v>
      </c>
      <c r="AT15" s="150"/>
      <c r="AW15" s="8"/>
    </row>
    <row r="16" spans="1:121" ht="16.5">
      <c r="A16" s="8"/>
      <c r="B16" s="8" t="s">
        <v>183</v>
      </c>
      <c r="C16" s="8" t="s">
        <v>791</v>
      </c>
      <c r="D16" s="58"/>
      <c r="E16" s="8"/>
      <c r="F16" s="8"/>
      <c r="G16" s="8"/>
      <c r="H16" s="8"/>
      <c r="AS16" s="144" t="s">
        <v>556</v>
      </c>
      <c r="AT16" s="150"/>
    </row>
    <row r="17" spans="1:46" ht="16.5">
      <c r="A17" s="8"/>
      <c r="B17" s="8" t="s">
        <v>208</v>
      </c>
      <c r="C17" s="8" t="s">
        <v>792</v>
      </c>
      <c r="D17" s="58">
        <v>0</v>
      </c>
      <c r="E17" s="8"/>
      <c r="F17" s="8"/>
      <c r="G17" s="8"/>
      <c r="H17" s="8"/>
      <c r="AS17" s="144" t="s">
        <v>637</v>
      </c>
      <c r="AT17" s="150"/>
    </row>
    <row r="18" spans="1:46" ht="16.5">
      <c r="A18" s="42" t="s">
        <v>232</v>
      </c>
      <c r="B18" s="8"/>
      <c r="C18" s="8"/>
      <c r="D18" s="8"/>
      <c r="E18" s="8"/>
      <c r="F18" s="8"/>
      <c r="G18" s="8"/>
      <c r="H18" s="8"/>
      <c r="AS18" s="144" t="s">
        <v>76</v>
      </c>
      <c r="AT18" s="150"/>
    </row>
    <row r="19" spans="1:46" ht="16.5">
      <c r="A19" s="8"/>
      <c r="B19" s="8" t="s">
        <v>758</v>
      </c>
      <c r="C19" s="8" t="s">
        <v>783</v>
      </c>
      <c r="D19" s="9"/>
      <c r="E19" s="8" t="s">
        <v>236</v>
      </c>
      <c r="F19" s="8"/>
      <c r="G19" s="8"/>
      <c r="H19" s="8"/>
      <c r="AS19" s="144" t="s">
        <v>78</v>
      </c>
      <c r="AT19" s="150"/>
    </row>
    <row r="20" spans="1:46" ht="16.5">
      <c r="A20" s="8"/>
      <c r="B20" s="8"/>
      <c r="C20" s="8"/>
      <c r="D20" s="8"/>
      <c r="E20" s="8"/>
      <c r="F20" s="8"/>
      <c r="G20" s="8"/>
      <c r="H20" s="8"/>
      <c r="AS20" s="144" t="s">
        <v>638</v>
      </c>
      <c r="AT20" s="153">
        <v>1</v>
      </c>
    </row>
    <row r="21" spans="1:46" ht="16.5">
      <c r="A21" s="5" t="s">
        <v>269</v>
      </c>
      <c r="B21" s="8"/>
      <c r="C21" s="73"/>
      <c r="F21" s="8"/>
      <c r="G21" s="8"/>
      <c r="H21" s="8"/>
      <c r="AS21" s="152"/>
    </row>
    <row r="22" spans="1:46">
      <c r="B22" t="s">
        <v>270</v>
      </c>
      <c r="C22" s="8" t="s">
        <v>784</v>
      </c>
      <c r="D22" s="74"/>
      <c r="F22" s="8"/>
      <c r="G22" s="8"/>
      <c r="H22" s="8"/>
    </row>
    <row r="23" spans="1:46">
      <c r="B23" t="s">
        <v>271</v>
      </c>
      <c r="C23" s="8" t="s">
        <v>785</v>
      </c>
      <c r="D23" s="74"/>
      <c r="F23" s="8"/>
      <c r="G23" s="8"/>
      <c r="H23" s="8"/>
    </row>
    <row r="24" spans="1:46">
      <c r="B24" t="s">
        <v>273</v>
      </c>
      <c r="C24" s="8" t="s">
        <v>786</v>
      </c>
      <c r="D24" s="74"/>
      <c r="F24" s="8"/>
      <c r="G24" s="8"/>
      <c r="H24" s="8"/>
    </row>
    <row r="25" spans="1:46">
      <c r="C25" s="8"/>
      <c r="F25" s="8"/>
    </row>
    <row r="26" spans="1:46">
      <c r="B26" t="s">
        <v>275</v>
      </c>
      <c r="C26" s="8" t="s">
        <v>787</v>
      </c>
      <c r="D26" s="74"/>
      <c r="F26" s="8"/>
    </row>
  </sheetData>
  <mergeCells count="18">
    <mergeCell ref="BJ3:BM3"/>
    <mergeCell ref="BR3:BU3"/>
    <mergeCell ref="BV3:CF3"/>
    <mergeCell ref="AW4:AZ4"/>
    <mergeCell ref="BE4:BH4"/>
    <mergeCell ref="BJ4:BM4"/>
    <mergeCell ref="BR4:BU4"/>
    <mergeCell ref="BV4:CF4"/>
    <mergeCell ref="AW3:AZ3"/>
    <mergeCell ref="BE3:BH3"/>
    <mergeCell ref="BJ5:BM5"/>
    <mergeCell ref="BR5:BU5"/>
    <mergeCell ref="BV5:CF5"/>
    <mergeCell ref="AW7:AZ7"/>
    <mergeCell ref="BB7:BE7"/>
    <mergeCell ref="BG7:BJ7"/>
    <mergeCell ref="AW5:AZ5"/>
    <mergeCell ref="BE5:BH5"/>
  </mergeCells>
  <phoneticPr fontId="1"/>
  <conditionalFormatting sqref="P5">
    <cfRule type="expression" dxfId="40" priority="10">
      <formula>INDIRECT(ADDRESS(ROW(),COLUMN()))=TRUNC(INDIRECT(ADDRESS(ROW(),COLUMN())))</formula>
    </cfRule>
  </conditionalFormatting>
  <conditionalFormatting sqref="Q5">
    <cfRule type="expression" dxfId="39" priority="3">
      <formula>INDIRECT(ADDRESS(ROW(),COLUMN()))=TRUNC(INDIRECT(ADDRESS(ROW(),COLUMN())))</formula>
    </cfRule>
  </conditionalFormatting>
  <conditionalFormatting sqref="S5">
    <cfRule type="expression" dxfId="38" priority="2">
      <formula>INDIRECT(ADDRESS(ROW(),COLUMN()))=TRUNC(INDIRECT(ADDRESS(ROW(),COLUMN())))</formula>
    </cfRule>
  </conditionalFormatting>
  <conditionalFormatting sqref="U5:V5">
    <cfRule type="expression" dxfId="37" priority="1">
      <formula>INDIRECT(ADDRESS(ROW(),COLUMN()))=TRUNC(INDIRECT(ADDRESS(ROW(),COLUMN())))</formula>
    </cfRule>
  </conditionalFormatting>
  <dataValidations count="3">
    <dataValidation type="custom" allowBlank="1" showInputMessage="1" showErrorMessage="1" sqref="AW3:AZ3">
      <formula1>AND(LEN(AW3)=LENB(AW3),LEN(AW3)=10)</formula1>
    </dataValidation>
    <dataValidation type="date" allowBlank="1" showInputMessage="1" showErrorMessage="1" sqref="BE3:BH5 BJ3:BM5">
      <formula1>36526</formula1>
      <formula2>73415</formula2>
    </dataValidation>
    <dataValidation type="custom" allowBlank="1" showInputMessage="1" showErrorMessage="1" sqref="AW4:AZ4">
      <formula1>AND(LEN(AW4)=LENB(AW4),LEN(AW4)&lt;=10)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 macro="[0]!UNKB0190_CLICK_CHECKBOX">
                <anchor moveWithCells="1">
                  <from>
                    <xdr:col>3</xdr:col>
                    <xdr:colOff>85725</xdr:colOff>
                    <xdr:row>5</xdr:row>
                    <xdr:rowOff>19050</xdr:rowOff>
                  </from>
                  <to>
                    <xdr:col>3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5:H66"/>
  <sheetViews>
    <sheetView topLeftCell="B16" workbookViewId="0">
      <selection activeCell="F35" sqref="F35"/>
    </sheetView>
  </sheetViews>
  <sheetFormatPr defaultRowHeight="15" customHeight="1"/>
  <cols>
    <col min="2" max="2" width="3.5" customWidth="1"/>
    <col min="3" max="3" width="3.125" customWidth="1"/>
    <col min="4" max="4" width="3.25" customWidth="1"/>
    <col min="5" max="5" width="25.125" bestFit="1" customWidth="1"/>
    <col min="6" max="6" width="82.625" bestFit="1" customWidth="1"/>
    <col min="7" max="7" width="7.5" bestFit="1" customWidth="1"/>
    <col min="8" max="8" width="40.375" bestFit="1" customWidth="1"/>
  </cols>
  <sheetData>
    <row r="5" spans="2:8" ht="15" customHeight="1">
      <c r="B5" s="267" t="s">
        <v>759</v>
      </c>
      <c r="C5" s="268"/>
      <c r="D5" s="268"/>
      <c r="E5" s="269"/>
      <c r="F5" s="154"/>
      <c r="G5" s="154"/>
      <c r="H5" s="155" t="s">
        <v>314</v>
      </c>
    </row>
    <row r="6" spans="2:8" ht="15" customHeight="1">
      <c r="B6" s="270" t="s">
        <v>760</v>
      </c>
      <c r="C6" s="271"/>
      <c r="D6" s="271"/>
      <c r="E6" s="272"/>
      <c r="F6" s="156" t="str">
        <f>F7 &amp; F8 &amp; F16</f>
        <v>SELECT *
 FROM V_SHIIRE_KOBAI_LIST
 WHERE 1=1
 AND (1!=1  
 OR V_SHIIRE_KOBAI_LIST.KOBAI_KBN = ''1'' 
 OR V_SHIIRE_KOBAI_LIST.KOBAI_KBN = ''2'' 
 OR V_SHIIRE_KOBAI_LIST.KOBAI_KBN = ''3'' 
 OR V_SHIIRE_KOBAI_LIST.KOBAI_KBN = ''4'' 
 OR V_SHIIRE_KOBAI_LIST.KOBAI_KBN = ''5'') AND (1!=1  
 OR V_SHIIRE_KOBAI_LIST.KOBAI_STS = ''3'' 
 OR V_SHIIRE_KOBAI_LIST.KOBAI_STS = ''4'' 
 OR V_SHIIRE_KOBAI_LIST.KOBAI_STS = ''5'' 
 OR V_SHIIRE_KOBAI_LIST.KOBAI_STS = ''6'')</v>
      </c>
      <c r="G6" s="156"/>
      <c r="H6" s="157" t="s">
        <v>820</v>
      </c>
    </row>
    <row r="7" spans="2:8" ht="15" customHeight="1">
      <c r="B7" s="158"/>
      <c r="C7" s="266" t="s">
        <v>323</v>
      </c>
      <c r="D7" s="266"/>
      <c r="E7" s="266"/>
      <c r="F7" s="159" t="s">
        <v>761</v>
      </c>
      <c r="G7" s="160"/>
      <c r="H7" s="161"/>
    </row>
    <row r="8" spans="2:8" ht="15" customHeight="1">
      <c r="B8" s="158"/>
      <c r="C8" s="266" t="s">
        <v>774</v>
      </c>
      <c r="D8" s="266"/>
      <c r="E8" s="266"/>
      <c r="F8" s="159" t="s">
        <v>815</v>
      </c>
      <c r="G8" s="160"/>
      <c r="H8" s="161"/>
    </row>
    <row r="9" spans="2:8" ht="15" customHeight="1">
      <c r="B9" s="270" t="s">
        <v>763</v>
      </c>
      <c r="C9" s="271"/>
      <c r="D9" s="271"/>
      <c r="E9" s="272"/>
      <c r="F9" s="156" t="str">
        <f>F10&amp;F11&amp;F16</f>
        <v>SELECT 
 V_SHIIRE_KOBAI_LIST.KOBAI_NO                  -- 購買申請No.
 ,V_SHIIRE_KOBAI_LIST.KOBAI_KBN_MEI             -- 購買区分名
 ,V_SHIIRE_KOBAI_LIST.KOBAI_STS_MEI             -- 購買ステータス名
 ,V_SHIIRE_KOBAI_LIST.SHINSEISHA_MEI            -- 申請者名
 ,V_SHIIRE_KOBAI_LIST.SHINSEI_DATE              -- 申請日
 ,V_SHIIRE_KOBAI_LIST.KOBAIHIN_CD               -- 購買品CD
 ,V_SHIIRE_KOBAI_LIST.KOBAIHIN_MEI              -- 購買品名
 ,V_SHIIRE_KOBAI_LIST.TANKA                     -- 単価
 ,V_SHIIRE_KOBAI_LIST.IRISU                     -- 入数
 ,V_SHIIRE_KOBAI_LIST.BARA_TANI                 -- バラ単位
 ,V_SHIIRE_KOBAI_LIST.SURYO                     -- 数量
 ,V_SHIIRE_KOBAI_LIST.IRISU_TANI                -- 入数単位
 ,V_SHIIRE_KOBAI_LIST.SOSU                      -- 注文総数
 ,V_SHIIRE_KOBAI_LIST.TOTAL                     -- 合計金額
 ,V_SHIIRE_KOBAI_LIST.UKEIRE_DATE               -- 受入日
 ,V_SHIIRE_KOBAI_LIST.KENSHU_DATE               -- 検収日
 ,V_SHIIRE_KOBAI_LIST.HOKAN_BASHO_KBN_MEI       -- 保管場所区分名
 ,V_SHIIRE_KOBAI_LIST.SHIIRE_CD                 -- 仕入先CD
 ,V_SHIIRE_KOBAI_LIST.SHIIRE_MEI                -- 仕入先名
 ,V_SHIIRE_KOBAI_LIST.MAKER_CD                  -- メーカーCD
 ,V_SHIIRE_KOBAI_LIST.MAKER_MEI                 -- メーカー名
 ,V_SHIIRE_KOBAI_LIST.YOSAN_CD                  -- 予算コード
 ,V_SHIIRE_KOBAI_LIST.JURI_NO                   -- 受理No.
 ,V_SHIIRE_KOBAI_LIST.BIKO                      -- 備考
 ,V_SHIIRE_KOBAI_LIST.IRAI_NO                   -- 依頼No.
 ,V_SHIIRE_KOBAI_LIST.CHUMON_NO                 -- 注文No.
 ,V_SHIIRE_KOBAI_LIST.SHIIRE_NO_S               -- 仕入No.
 ,V_SHIIRE_KOBAI_LIST.KOBAI_KBN                 -- 購買区分
 ,V_SHIIRE_KOBAI_LIST.KOBAI_STS                 -- 購買ステータス
 ,V_SHIIRE_KOBAI_LIST.YOSAN_MEI                 -- 予算名
 ,V_SHIIRE_KOBAI_LIST.SHINSEISHA_CD             -- 申請者CD
 ,V_SHIIRE_KOBAI_LIST.SHIIRE_MIKEIJO_FLG        -- 仕入未計上フラグ
  FROM V_SHIIRE_KOBAI_LIST
   WHERE 1=1
 AND (1!=1  
 OR V_SHIIRE_KOBAI_LIST.KOBAI_KBN = ''1'' 
 OR V_SHIIRE_KOBAI_LIST.KOBAI_KBN = ''2'' 
 OR V_SHIIRE_KOBAI_LIST.KOBAI_KBN = ''3'' 
 OR V_SHIIRE_KOBAI_LIST.KOBAI_KBN = ''4'' 
 OR V_SHIIRE_KOBAI_LIST.KOBAI_KBN = ''5'') AND (1!=1  
 OR V_SHIIRE_KOBAI_LIST.KOBAI_STS = ''3'' 
 OR V_SHIIRE_KOBAI_LIST.KOBAI_STS = ''4'' 
 OR V_SHIIRE_KOBAI_LIST.KOBAI_STS = ''5'' 
 OR V_SHIIRE_KOBAI_LIST.KOBAI_STS = ''6'')</v>
      </c>
      <c r="G9" s="156"/>
      <c r="H9" s="157" t="s">
        <v>821</v>
      </c>
    </row>
    <row r="10" spans="2:8" ht="15" customHeight="1">
      <c r="B10" s="158"/>
      <c r="C10" s="266" t="s">
        <v>775</v>
      </c>
      <c r="D10" s="266"/>
      <c r="E10" s="266"/>
      <c r="F10" s="162" t="s">
        <v>979</v>
      </c>
      <c r="G10" s="160"/>
      <c r="H10" s="161"/>
    </row>
    <row r="11" spans="2:8" ht="15" customHeight="1">
      <c r="B11" s="158"/>
      <c r="C11" s="266" t="s">
        <v>770</v>
      </c>
      <c r="D11" s="266"/>
      <c r="E11" s="266"/>
      <c r="F11" s="162" t="s">
        <v>841</v>
      </c>
      <c r="G11" s="160"/>
      <c r="H11" s="161"/>
    </row>
    <row r="12" spans="2:8" ht="15" customHeight="1">
      <c r="B12" s="270" t="s">
        <v>776</v>
      </c>
      <c r="C12" s="271"/>
      <c r="D12" s="271"/>
      <c r="E12" s="272"/>
      <c r="F12" s="156" t="str">
        <f>F13 &amp; F14 &amp; F16</f>
        <v>SELECT COUNT(*) AS CNT
 FROM V_SHIIRE_KOBAI_LIST
 WHERE 1=1
 AND (1!=1  
 OR V_SHIIRE_KOBAI_LIST.KOBAI_KBN = ''1'' 
 OR V_SHIIRE_KOBAI_LIST.KOBAI_KBN = ''2'' 
 OR V_SHIIRE_KOBAI_LIST.KOBAI_KBN = ''3'' 
 OR V_SHIIRE_KOBAI_LIST.KOBAI_KBN = ''4'' 
 OR V_SHIIRE_KOBAI_LIST.KOBAI_KBN = ''5'') AND (1!=1  
 OR V_SHIIRE_KOBAI_LIST.KOBAI_STS = ''3'' 
 OR V_SHIIRE_KOBAI_LIST.KOBAI_STS = ''4'' 
 OR V_SHIIRE_KOBAI_LIST.KOBAI_STS = ''5'' 
 OR V_SHIIRE_KOBAI_LIST.KOBAI_STS = ''6'')</v>
      </c>
      <c r="G12" s="156"/>
      <c r="H12" s="157" t="s">
        <v>805</v>
      </c>
    </row>
    <row r="13" spans="2:8" ht="15" customHeight="1">
      <c r="B13" s="158"/>
      <c r="C13" s="266" t="s">
        <v>323</v>
      </c>
      <c r="D13" s="266"/>
      <c r="E13" s="266"/>
      <c r="F13" s="159" t="s">
        <v>777</v>
      </c>
      <c r="G13" s="160"/>
      <c r="H13" s="161"/>
    </row>
    <row r="14" spans="2:8" ht="15" customHeight="1">
      <c r="B14" s="158"/>
      <c r="C14" s="266" t="s">
        <v>778</v>
      </c>
      <c r="D14" s="266"/>
      <c r="E14" s="266"/>
      <c r="F14" s="162" t="s">
        <v>815</v>
      </c>
      <c r="G14" s="160"/>
      <c r="H14" s="161"/>
    </row>
    <row r="15" spans="2:8" ht="15" customHeight="1">
      <c r="B15" s="270" t="s">
        <v>764</v>
      </c>
      <c r="C15" s="271"/>
      <c r="D15" s="271"/>
      <c r="E15" s="272"/>
      <c r="F15" s="156"/>
      <c r="G15" s="156"/>
      <c r="H15" s="157"/>
    </row>
    <row r="16" spans="2:8" ht="15" customHeight="1">
      <c r="B16" s="158"/>
      <c r="C16" s="266" t="s">
        <v>779</v>
      </c>
      <c r="D16" s="266"/>
      <c r="E16" s="266"/>
      <c r="F16" s="162" t="str">
        <f>" WHERE 1=1
" &amp;F17 &amp; F23 &amp; F28 &amp; F29 &amp; F30 &amp; F31 &amp; F32 &amp; F33 &amp; F34 &amp; F35 &amp; F36 &amp;F37 &amp; F38 &amp; F39 &amp; F40 &amp; F45</f>
        <v xml:space="preserve"> WHERE 1=1
 AND (1!=1  
 OR V_SHIIRE_KOBAI_LIST.KOBAI_KBN = ''1'' 
 OR V_SHIIRE_KOBAI_LIST.KOBAI_KBN = ''2'' 
 OR V_SHIIRE_KOBAI_LIST.KOBAI_KBN = ''3'' 
 OR V_SHIIRE_KOBAI_LIST.KOBAI_KBN = ''4'' 
 OR V_SHIIRE_KOBAI_LIST.KOBAI_KBN = ''5'') AND (1!=1  
 OR V_SHIIRE_KOBAI_LIST.KOBAI_STS = ''3'' 
 OR V_SHIIRE_KOBAI_LIST.KOBAI_STS = ''4'' 
 OR V_SHIIRE_KOBAI_LIST.KOBAI_STS = ''5'' 
 OR V_SHIIRE_KOBAI_LIST.KOBAI_STS = ''6'')</v>
      </c>
      <c r="G16" s="160"/>
      <c r="H16" s="161"/>
    </row>
    <row r="17" spans="2:8" ht="15" customHeight="1">
      <c r="B17" s="158"/>
      <c r="C17" s="163"/>
      <c r="D17" s="274" t="s">
        <v>60</v>
      </c>
      <c r="E17" s="265"/>
      <c r="F17" s="162" t="str">
        <f xml:space="preserve"> " AND (1!=1 "&amp; F18 &amp; F19 &amp; F20 &amp; F21 &amp; F22 &amp;")"</f>
        <v xml:space="preserve"> AND (1!=1  
 OR V_SHIIRE_KOBAI_LIST.KOBAI_KBN = ''1'' 
 OR V_SHIIRE_KOBAI_LIST.KOBAI_KBN = ''2'' 
 OR V_SHIIRE_KOBAI_LIST.KOBAI_KBN = ''3'' 
 OR V_SHIIRE_KOBAI_LIST.KOBAI_KBN = ''4'' 
 OR V_SHIIRE_KOBAI_LIST.KOBAI_KBN = ''5'')</v>
      </c>
      <c r="G17" s="160"/>
      <c r="H17" s="161"/>
    </row>
    <row r="18" spans="2:8" ht="15" customHeight="1">
      <c r="B18" s="158"/>
      <c r="C18" s="164"/>
      <c r="D18" s="275"/>
      <c r="E18" s="165" t="s">
        <v>536</v>
      </c>
      <c r="F18" s="166" t="str">
        <f>IF(G18," 
 OR V_SHIIRE_KOBAI_LIST.KOBAI_KBN = ''1''","")</f>
        <v xml:space="preserve"> 
 OR V_SHIIRE_KOBAI_LIST.KOBAI_KBN = ''1''</v>
      </c>
      <c r="G18" s="166" t="b">
        <f>UNKB0190_H_KOBAIHIN_KBN_S</f>
        <v>1</v>
      </c>
      <c r="H18" s="167"/>
    </row>
    <row r="19" spans="2:8" ht="15" customHeight="1">
      <c r="B19" s="158"/>
      <c r="C19" s="164"/>
      <c r="D19" s="276"/>
      <c r="E19" s="165" t="s">
        <v>42</v>
      </c>
      <c r="F19" s="166" t="str">
        <f>IF(G19," 
 OR V_SHIIRE_KOBAI_LIST.KOBAI_KBN = ''2''","")</f>
        <v xml:space="preserve"> 
 OR V_SHIIRE_KOBAI_LIST.KOBAI_KBN = ''2''</v>
      </c>
      <c r="G19" s="166" t="b">
        <f>UNKB0190_H_GAICHU_KBN_S</f>
        <v>1</v>
      </c>
      <c r="H19" s="167"/>
    </row>
    <row r="20" spans="2:8" ht="15" customHeight="1">
      <c r="B20" s="158"/>
      <c r="C20" s="164"/>
      <c r="D20" s="276"/>
      <c r="E20" s="165" t="s">
        <v>632</v>
      </c>
      <c r="F20" s="166" t="str">
        <f>IF(G20," 
 OR V_SHIIRE_KOBAI_LIST.KOBAI_KBN = ''3''","")</f>
        <v xml:space="preserve"> 
 OR V_SHIIRE_KOBAI_LIST.KOBAI_KBN = ''3''</v>
      </c>
      <c r="G20" s="166" t="b">
        <f>UNKB0190_H_SHUZEN_KBN_S</f>
        <v>1</v>
      </c>
      <c r="H20" s="167"/>
    </row>
    <row r="21" spans="2:8" ht="15" customHeight="1">
      <c r="B21" s="158"/>
      <c r="C21" s="164"/>
      <c r="D21" s="276"/>
      <c r="E21" s="165" t="s">
        <v>44</v>
      </c>
      <c r="F21" s="166" t="str">
        <f>IF(G21," 
 OR V_SHIIRE_KOBAI_LIST.KOBAI_KBN = ''4''","")</f>
        <v xml:space="preserve"> 
 OR V_SHIIRE_KOBAI_LIST.KOBAI_KBN = ''4''</v>
      </c>
      <c r="G21" s="166" t="b">
        <f>UNKB0190_H_TOSHI_KBN_S</f>
        <v>1</v>
      </c>
      <c r="H21" s="167"/>
    </row>
    <row r="22" spans="2:8" ht="15" customHeight="1">
      <c r="B22" s="158"/>
      <c r="C22" s="164"/>
      <c r="D22" s="276"/>
      <c r="E22" s="165" t="s">
        <v>45</v>
      </c>
      <c r="F22" s="166" t="str">
        <f>IF(G22," 
 OR V_SHIIRE_KOBAI_LIST.KOBAI_KBN = ''5''","")</f>
        <v xml:space="preserve"> 
 OR V_SHIIRE_KOBAI_LIST.KOBAI_KBN = ''5''</v>
      </c>
      <c r="G22" s="166" t="b">
        <f>UNKB0190_H_HANBAI_KBN_S</f>
        <v>1</v>
      </c>
      <c r="H22" s="167"/>
    </row>
    <row r="23" spans="2:8" ht="15" customHeight="1">
      <c r="B23" s="158"/>
      <c r="C23" s="164"/>
      <c r="D23" s="274" t="s">
        <v>61</v>
      </c>
      <c r="E23" s="265"/>
      <c r="F23" s="162" t="str">
        <f>" AND (1!=1 " &amp;F24 &amp; F25 &amp; F26 &amp; F27 &amp;")"</f>
        <v xml:space="preserve"> AND (1!=1  
 OR V_SHIIRE_KOBAI_LIST.KOBAI_STS = ''3'' 
 OR V_SHIIRE_KOBAI_LIST.KOBAI_STS = ''4'' 
 OR V_SHIIRE_KOBAI_LIST.KOBAI_STS = ''5'' 
 OR V_SHIIRE_KOBAI_LIST.KOBAI_STS = ''6'')</v>
      </c>
      <c r="G23" s="160"/>
      <c r="H23" s="161"/>
    </row>
    <row r="24" spans="2:8" ht="15" customHeight="1">
      <c r="B24" s="158"/>
      <c r="C24" s="164"/>
      <c r="D24" s="276"/>
      <c r="E24" s="165" t="s">
        <v>633</v>
      </c>
      <c r="F24" s="166" t="str">
        <f>IF(G24," 
 OR V_SHIIRE_KOBAI_LIST.KOBAI_STS = ''3''","")</f>
        <v xml:space="preserve"> 
 OR V_SHIIRE_KOBAI_LIST.KOBAI_STS = ''3''</v>
      </c>
      <c r="G24" s="166" t="b">
        <f>UNKB0190_H_CHUMONSHO_STS_S</f>
        <v>1</v>
      </c>
      <c r="H24" s="167"/>
    </row>
    <row r="25" spans="2:8" ht="15" customHeight="1">
      <c r="B25" s="158"/>
      <c r="C25" s="164"/>
      <c r="D25" s="276"/>
      <c r="E25" s="165" t="s">
        <v>48</v>
      </c>
      <c r="F25" s="166" t="str">
        <f>IF(G25," 
 OR V_SHIIRE_KOBAI_LIST.KOBAI_STS = ''4''","")</f>
        <v xml:space="preserve"> 
 OR V_SHIIRE_KOBAI_LIST.KOBAI_STS = ''4''</v>
      </c>
      <c r="G25" s="166" t="b">
        <f>UNKB0190_H_ICHIBU_STS_S</f>
        <v>1</v>
      </c>
      <c r="H25" s="167"/>
    </row>
    <row r="26" spans="2:8" ht="15" customHeight="1">
      <c r="B26" s="158"/>
      <c r="C26" s="164"/>
      <c r="D26" s="276"/>
      <c r="E26" s="165" t="s">
        <v>49</v>
      </c>
      <c r="F26" s="166" t="str">
        <f>IF(G26," 
 OR V_SHIIRE_KOBAI_LIST.KOBAI_STS = ''5''","")</f>
        <v xml:space="preserve"> 
 OR V_SHIIRE_KOBAI_LIST.KOBAI_STS = ''5''</v>
      </c>
      <c r="G26" s="166" t="b">
        <f>UNKB0190_H_NYUKA_STS_S</f>
        <v>1</v>
      </c>
      <c r="H26" s="167"/>
    </row>
    <row r="27" spans="2:8" ht="15" customHeight="1">
      <c r="B27" s="158"/>
      <c r="C27" s="164"/>
      <c r="D27" s="276"/>
      <c r="E27" s="165" t="s">
        <v>634</v>
      </c>
      <c r="F27" s="166" t="str">
        <f>IF(G27," 
 OR V_SHIIRE_KOBAI_LIST.KOBAI_STS = ''6''","")</f>
        <v xml:space="preserve"> 
 OR V_SHIIRE_KOBAI_LIST.KOBAI_STS = ''6''</v>
      </c>
      <c r="G27" s="166" t="b">
        <f>UNKB0190_H_KENSHU_STS_S</f>
        <v>1</v>
      </c>
      <c r="H27" s="167"/>
    </row>
    <row r="28" spans="2:8" ht="15" customHeight="1">
      <c r="B28" s="158"/>
      <c r="C28" s="164"/>
      <c r="D28" s="273" t="s">
        <v>765</v>
      </c>
      <c r="E28" s="273"/>
      <c r="F28" s="168" t="str">
        <f>IF(G28," 
 AND V_SHIIRE_KOBAI_LIST.SHINSEI_DATE &gt;= ''"&amp;TEXT(UNKB0190_H_SHINSEI_DATE_START_S,"YYYY/MM/DD")&amp;"''","")</f>
        <v/>
      </c>
      <c r="G28" s="160" t="b">
        <f>NOT(ISBLANK(UNKB0190_H_SHINSEI_DATE_START_S))</f>
        <v>0</v>
      </c>
      <c r="H28" s="161"/>
    </row>
    <row r="29" spans="2:8" ht="15" customHeight="1">
      <c r="B29" s="158"/>
      <c r="C29" s="164"/>
      <c r="D29" s="273" t="s">
        <v>766</v>
      </c>
      <c r="E29" s="273"/>
      <c r="F29" s="168" t="str">
        <f>IF(G29,"
 AND V_SHIIRE_KOBAI_LIST.SHINSEI_DATE &lt;=  ''"&amp;TEXT(UNKB0190_H_SHINSEI_DATE_END_S,"YYYY/MM/DD")&amp;"''","")</f>
        <v/>
      </c>
      <c r="G29" s="160" t="b">
        <f>NOT(ISBLANK(UNKB0190_H_SHINSEI_DATE_END_S))</f>
        <v>0</v>
      </c>
      <c r="H29" s="161"/>
    </row>
    <row r="30" spans="2:8" ht="15" customHeight="1">
      <c r="B30" s="158"/>
      <c r="C30" s="164"/>
      <c r="D30" s="273" t="s">
        <v>643</v>
      </c>
      <c r="E30" s="273" t="s">
        <v>643</v>
      </c>
      <c r="F30" s="168" t="str">
        <f>IF(G30,"
 AND V_SHIIRE_KOBAI_LIST.UKEIRE_DATE &gt;=  ''"&amp;TEXT(UNKB0190_H_UKEIRE_DATE_START_S,"YYYY/MM/DD")&amp;"''","")</f>
        <v/>
      </c>
      <c r="G30" s="160" t="b">
        <f>NOT(ISBLANK(UNKB0190_H_UKEIRE_DATE_START_S))</f>
        <v>0</v>
      </c>
      <c r="H30" s="161"/>
    </row>
    <row r="31" spans="2:8" ht="15" customHeight="1">
      <c r="B31" s="158"/>
      <c r="C31" s="164"/>
      <c r="D31" s="273" t="s">
        <v>644</v>
      </c>
      <c r="E31" s="273" t="s">
        <v>644</v>
      </c>
      <c r="F31" s="168" t="str">
        <f>IF(G31,"
 AND V_SHIIRE_KOBAI_LIST.UKEIRE_DATE &lt;=  ''"&amp;TEXT(UNKB0190_H_UKEIRE_DATE_END_S,"YYYY/MM/DD")&amp;"''","")</f>
        <v/>
      </c>
      <c r="G31" s="160" t="b">
        <f>NOT(ISBLANK(UNKB0190_H_UKEIRE_DATE_END_S))</f>
        <v>0</v>
      </c>
      <c r="H31" s="161"/>
    </row>
    <row r="32" spans="2:8" ht="15" customHeight="1">
      <c r="B32" s="158"/>
      <c r="C32" s="164"/>
      <c r="D32" s="273" t="s">
        <v>645</v>
      </c>
      <c r="E32" s="273" t="s">
        <v>645</v>
      </c>
      <c r="F32" s="168" t="str">
        <f>IF(G32,"
 AND V_SHIIRE_KOBAI_LIST.KENSHU_DATE &gt;=  ''"&amp;TEXT(UNKB0190_H_KENSHU_DATE_START_S,"YYYY/MM/DD")&amp;"''","")</f>
        <v/>
      </c>
      <c r="G32" s="160" t="b">
        <f>NOT(ISBLANK(UNKB0190_H_KENSHU_DATE_START_S))</f>
        <v>0</v>
      </c>
      <c r="H32" s="161"/>
    </row>
    <row r="33" spans="2:8" ht="15" customHeight="1">
      <c r="B33" s="158"/>
      <c r="C33" s="164"/>
      <c r="D33" s="273" t="s">
        <v>646</v>
      </c>
      <c r="E33" s="273" t="s">
        <v>646</v>
      </c>
      <c r="F33" s="168" t="str">
        <f>IF(G33,"
 AND V_SHIIRE_KOBAI_LIST.KENSHU_DATE &lt;=  ''"&amp;TEXT(UNKB0190_H_KENSHU_DATE_END_S,"YYYY/MM/DD")&amp;"''","")</f>
        <v/>
      </c>
      <c r="G33" s="160" t="b">
        <f>NOT(ISBLANK(UNKB0190_H_KENSHU_DATE_END_S))</f>
        <v>0</v>
      </c>
      <c r="H33" s="161"/>
    </row>
    <row r="34" spans="2:8" ht="15" customHeight="1">
      <c r="B34" s="158"/>
      <c r="C34" s="164"/>
      <c r="D34" s="273" t="s">
        <v>635</v>
      </c>
      <c r="E34" s="273" t="s">
        <v>635</v>
      </c>
      <c r="F34" s="168" t="str">
        <f>IF(G34,"
 AND V_SHIIRE_KOBAI_LIST.SHINSEISHA_CD= " &amp; "''" &amp; UNKB0190_H_SHINSEISHA_CD_S &amp; "''","")</f>
        <v/>
      </c>
      <c r="G34" s="160" t="b">
        <f>NOT(ISBLANK(UNKB0190_H_SHINSEISHA_MEI_S))</f>
        <v>0</v>
      </c>
      <c r="H34" s="161"/>
    </row>
    <row r="35" spans="2:8" ht="15" customHeight="1">
      <c r="B35" s="158"/>
      <c r="C35" s="164"/>
      <c r="D35" s="273" t="s">
        <v>80</v>
      </c>
      <c r="E35" s="273" t="s">
        <v>80</v>
      </c>
      <c r="F35" s="168" t="str">
        <f>IF(G35,"
 AND V_SHIIRE_KOBAI_LIST.JURI_NO = " &amp; "''" &amp; UNKB0190_H_JURI_NO_S &amp; "''","")</f>
        <v/>
      </c>
      <c r="G35" s="160" t="b">
        <f>NOT(ISBLANK(UNKB0190_H_JURI_NO_S))</f>
        <v>0</v>
      </c>
      <c r="H35" s="161"/>
    </row>
    <row r="36" spans="2:8" ht="15" customHeight="1">
      <c r="B36" s="158"/>
      <c r="C36" s="164"/>
      <c r="D36" s="273" t="s">
        <v>79</v>
      </c>
      <c r="E36" s="273" t="s">
        <v>79</v>
      </c>
      <c r="F36" s="168" t="str">
        <f>IF(G36,"
 AND V_SHIIRE_KOBAI_LIST.YOSAN_CD = " &amp; "''" &amp; UNKB0190_H_YOSAN_CD_S &amp; "''","")</f>
        <v/>
      </c>
      <c r="G36" s="160" t="b">
        <f>NOT(ISBLANK(UNKB0190_H_YOSAN_CD_S))</f>
        <v>0</v>
      </c>
      <c r="H36" s="161"/>
    </row>
    <row r="37" spans="2:8" ht="15" customHeight="1">
      <c r="B37" s="158"/>
      <c r="C37" s="164"/>
      <c r="D37" s="273" t="s">
        <v>648</v>
      </c>
      <c r="E37" s="273" t="s">
        <v>648</v>
      </c>
      <c r="F37" s="168" t="str">
        <f>IF(G37,"
 AND V_SHIIRE_KOBAI_LIST.KOBAIHIN_CD = " &amp; "''" &amp; UNKB0190_H_KOBAIHIN_CD_S &amp; "''","")</f>
        <v/>
      </c>
      <c r="G37" s="160" t="b">
        <f>NOT(ISBLANK(UNKB0190_H_KOBAIHIN_CD_S))</f>
        <v>0</v>
      </c>
      <c r="H37" s="161"/>
    </row>
    <row r="38" spans="2:8" ht="15" customHeight="1">
      <c r="B38" s="158"/>
      <c r="C38" s="164"/>
      <c r="D38" s="273" t="s">
        <v>75</v>
      </c>
      <c r="E38" s="273" t="s">
        <v>76</v>
      </c>
      <c r="F38" s="168" t="str">
        <f>IF(G38,"
 AND V_SHIIRE_KOBAI_LIST.SHIIRE_CD = " &amp; "''" &amp; UNKB0190_H_SHIIRESAKI_CD_S &amp; "''","")</f>
        <v/>
      </c>
      <c r="G38" s="160" t="b">
        <f>NOT(ISBLANK(UNKB0190_H_SHIIRESAKI_CD_S))</f>
        <v>0</v>
      </c>
      <c r="H38" s="161"/>
    </row>
    <row r="39" spans="2:8" ht="15" customHeight="1">
      <c r="B39" s="158"/>
      <c r="C39" s="164"/>
      <c r="D39" s="273" t="s">
        <v>503</v>
      </c>
      <c r="E39" s="273" t="s">
        <v>503</v>
      </c>
      <c r="F39" s="168" t="str">
        <f>IF(G39,"
 AND V_SHIIRE_KOBAI_LIST.MAKER_CD = " &amp; "''" &amp; UNKB0190_H_MAKER_CD_S &amp; "''","")</f>
        <v/>
      </c>
      <c r="G39" s="160" t="b">
        <f>NOT(ISBLANK(UNKB0190_H_MAKER_CD_S))</f>
        <v>0</v>
      </c>
      <c r="H39" s="161"/>
    </row>
    <row r="40" spans="2:8" ht="15" customHeight="1">
      <c r="B40" s="158"/>
      <c r="C40" s="164"/>
      <c r="D40" s="274" t="s">
        <v>780</v>
      </c>
      <c r="E40" s="265"/>
      <c r="F40" s="160" t="str">
        <f>IF(G40," AND "&amp; IF(UNKB0190_H_FREEWD_KBN_S=3,"NOT","") &amp;"("&amp; IF(G41,F41,"") &amp; IF(G42,F42,"") &amp;IF(G43,F43,"") &amp;" )","")</f>
        <v/>
      </c>
      <c r="G40" s="160" t="b">
        <f>OR(G41,G42,G43)</f>
        <v>0</v>
      </c>
      <c r="H40" s="161"/>
    </row>
    <row r="41" spans="2:8" ht="15" customHeight="1">
      <c r="B41" s="158"/>
      <c r="C41" s="164"/>
      <c r="D41" s="275"/>
      <c r="E41" s="165" t="s">
        <v>767</v>
      </c>
      <c r="F41" s="167" t="str">
        <f>IF(G41,"
 V_SHIIRE_KOBAI_LIST.FREEWD LIKE ''%"&amp; UNKB0190_H_FREEWD_1_S &amp; "%''","")</f>
        <v/>
      </c>
      <c r="G41" s="166" t="b">
        <f>NOT(ISBLANK(UNKB0190_H_FREEWD_1_S))</f>
        <v>0</v>
      </c>
      <c r="H41" s="167"/>
    </row>
    <row r="42" spans="2:8" ht="15" customHeight="1">
      <c r="B42" s="158"/>
      <c r="C42" s="164"/>
      <c r="D42" s="276"/>
      <c r="E42" s="165" t="s">
        <v>649</v>
      </c>
      <c r="F42" s="167" t="str">
        <f>IF(G42,"
 "&amp;IF(G41, F44, "") &amp;" V_SHIIRE_KOBAI_LIST.FREEWD LIKE ''%"&amp; UNKB0190_H_FREEWD_2_S &amp; "%''","")</f>
        <v/>
      </c>
      <c r="G42" s="166" t="b">
        <f>NOT(ISBLANK(UNKB0190_H_FREEWD_2_S))</f>
        <v>0</v>
      </c>
      <c r="H42" s="167"/>
    </row>
    <row r="43" spans="2:8" ht="15" customHeight="1">
      <c r="B43" s="158"/>
      <c r="C43" s="164"/>
      <c r="D43" s="276"/>
      <c r="E43" s="165" t="s">
        <v>650</v>
      </c>
      <c r="F43" s="167" t="str">
        <f>IF(G43,"
 "&amp;IF(OR(G41,G42),F44,"") &amp; " V_SHIIRE_KOBAI_LIST.FREEWD LIKE ''%"&amp; UNKB0190_H_FREEWD_3_S &amp; "%''","")</f>
        <v/>
      </c>
      <c r="G43" s="166" t="b">
        <f>NOT(ISBLANK(UNKB0190_H_FREEWD_3_S))</f>
        <v>0</v>
      </c>
      <c r="H43" s="167"/>
    </row>
    <row r="44" spans="2:8" ht="15" customHeight="1">
      <c r="B44" s="158"/>
      <c r="C44" s="176"/>
      <c r="D44" s="276"/>
      <c r="E44" s="165" t="s">
        <v>638</v>
      </c>
      <c r="F44" s="167" t="str">
        <f>IF(UNKB0190_H_FREEWD_KBN_S=1, "AND",IF(UNKB0190_H_FREEWD_KBN_S=2,"OR","AND"))</f>
        <v>AND</v>
      </c>
      <c r="G44" s="166"/>
      <c r="H44" s="167"/>
    </row>
    <row r="45" spans="2:8" ht="15" customHeight="1">
      <c r="B45" s="169"/>
      <c r="C45" s="170"/>
      <c r="D45" s="273" t="s">
        <v>807</v>
      </c>
      <c r="E45" s="273" t="s">
        <v>503</v>
      </c>
      <c r="F45" s="168" t="str">
        <f>IF(G45,"
 AND V_SHIIRE_KOBAI_LIST.SHIIRE_MIKEIJO_FLG = " &amp; "''" &amp; UNKB0190_H_SHIRE_MIKEIJO_FLG_S &amp; "''","")</f>
        <v/>
      </c>
      <c r="G45" s="160" t="b">
        <f>UNKB0190_H_SHIRE_MIKEIJO_FLG_S</f>
        <v>0</v>
      </c>
      <c r="H45" s="161"/>
    </row>
    <row r="48" spans="2:8" ht="15" customHeight="1">
      <c r="B48" s="267" t="s">
        <v>768</v>
      </c>
      <c r="C48" s="268"/>
      <c r="D48" s="268"/>
      <c r="E48" s="269"/>
      <c r="F48" s="154"/>
      <c r="G48" s="154"/>
      <c r="H48" s="155" t="s">
        <v>314</v>
      </c>
    </row>
    <row r="49" spans="2:8" ht="15" customHeight="1">
      <c r="B49" s="270" t="s">
        <v>769</v>
      </c>
      <c r="C49" s="271"/>
      <c r="D49" s="271"/>
      <c r="E49" s="272"/>
      <c r="F49" s="156" t="str">
        <f>F50 &amp; F51 &amp; F52 &amp; UNKB0190_SQL_SORT &amp; F54</f>
        <v>SELECT *
FROM W_SHIIRE_KOBAI
 WHERE (1=1)
 AND W_SHIIRE_KOBAI.W_USER_ID = ''
 OFFSET 0*2 ROWS
 FETCH NEXT 2 ROWS ONLY</v>
      </c>
      <c r="G49" s="156"/>
      <c r="H49" s="157" t="s">
        <v>806</v>
      </c>
    </row>
    <row r="50" spans="2:8" ht="15" customHeight="1">
      <c r="B50" s="158"/>
      <c r="C50" s="266" t="s">
        <v>323</v>
      </c>
      <c r="D50" s="266"/>
      <c r="E50" s="266"/>
      <c r="F50" s="159" t="s">
        <v>761</v>
      </c>
      <c r="G50" s="160"/>
      <c r="H50" s="161"/>
    </row>
    <row r="51" spans="2:8" ht="15" customHeight="1">
      <c r="B51" s="158"/>
      <c r="C51" s="263" t="s">
        <v>762</v>
      </c>
      <c r="D51" s="264"/>
      <c r="E51" s="265"/>
      <c r="F51" s="159" t="s">
        <v>816</v>
      </c>
      <c r="G51" s="160"/>
      <c r="H51" s="161"/>
    </row>
    <row r="52" spans="2:8" ht="15" customHeight="1">
      <c r="B52" s="158"/>
      <c r="C52" s="266" t="s">
        <v>324</v>
      </c>
      <c r="D52" s="266"/>
      <c r="E52" s="266"/>
      <c r="F52" s="162" t="str">
        <f>" WHERE (1=1)
 AND W_SHIIRE_KOBAI.W_USER_ID = '"&amp;UNKB0190_IF_W_USER_ID&amp;"'
"</f>
        <v xml:space="preserve"> WHERE (1=1)
 AND W_SHIIRE_KOBAI.W_USER_ID = ''
</v>
      </c>
      <c r="G52" s="160"/>
      <c r="H52" s="171"/>
    </row>
    <row r="53" spans="2:8" ht="15" customHeight="1">
      <c r="B53" s="158"/>
      <c r="C53" s="266" t="s">
        <v>773</v>
      </c>
      <c r="D53" s="266"/>
      <c r="E53" s="266"/>
      <c r="F53" s="162"/>
      <c r="G53" s="160"/>
      <c r="H53" s="161" t="s">
        <v>808</v>
      </c>
    </row>
    <row r="54" spans="2:8" ht="15" customHeight="1">
      <c r="B54" s="172"/>
      <c r="C54" s="273" t="s">
        <v>781</v>
      </c>
      <c r="D54" s="273"/>
      <c r="E54" s="273"/>
      <c r="F54" s="162" t="str">
        <f xml:space="preserve"> " OFFSET "&amp;(UNKB0190_B_PAGE_NO-1)&amp;"*"&amp;UNKB0190_B_HYOUJI_GYO_SU&amp;" ROWS
 FETCH NEXT "&amp;UNKB0190_B_HYOUJI_GYO_SU&amp;" ROWS ONLY"</f>
        <v xml:space="preserve"> OFFSET 0*2 ROWS
 FETCH NEXT 2 ROWS ONLY</v>
      </c>
      <c r="G54" s="160"/>
      <c r="H54" s="161"/>
    </row>
    <row r="55" spans="2:8" ht="15" customHeight="1">
      <c r="B55" s="270" t="s">
        <v>961</v>
      </c>
      <c r="C55" s="271"/>
      <c r="D55" s="271"/>
      <c r="E55" s="272"/>
      <c r="F55" s="156" t="str">
        <f>F56 &amp; F57 &amp; F58</f>
        <v xml:space="preserve">SELECT COUNT(*)
FROM W_SHIIRE_KOBAI
 WHERE (1=1)
 AND W_SHIIRE_KOBAI.W_USER_ID = ''
 AND W_SHIIRE_KOBAI.SELECT_FLG = 'True'
</v>
      </c>
      <c r="G55" s="156"/>
      <c r="H55" s="157" t="s">
        <v>962</v>
      </c>
    </row>
    <row r="56" spans="2:8" ht="15" customHeight="1">
      <c r="B56" s="158"/>
      <c r="C56" s="266" t="s">
        <v>323</v>
      </c>
      <c r="D56" s="266"/>
      <c r="E56" s="266"/>
      <c r="F56" s="182" t="s">
        <v>963</v>
      </c>
      <c r="G56" s="160"/>
      <c r="H56" s="161"/>
    </row>
    <row r="57" spans="2:8" ht="15" customHeight="1">
      <c r="B57" s="158"/>
      <c r="C57" s="263" t="s">
        <v>762</v>
      </c>
      <c r="D57" s="264"/>
      <c r="E57" s="265"/>
      <c r="F57" s="159" t="s">
        <v>816</v>
      </c>
      <c r="G57" s="160"/>
      <c r="H57" s="161"/>
    </row>
    <row r="58" spans="2:8" ht="15" customHeight="1">
      <c r="B58" s="169"/>
      <c r="C58" s="273" t="s">
        <v>324</v>
      </c>
      <c r="D58" s="273"/>
      <c r="E58" s="273"/>
      <c r="F58" s="162" t="str">
        <f>" WHERE (1=1)
 AND W_SHIIRE_KOBAI.W_USER_ID = '"&amp;UNKB0190_IF_W_USER_ID&amp;"'
 AND W_SHIIRE_KOBAI.SELECT_FLG = 'True'
"</f>
        <v xml:space="preserve"> WHERE (1=1)
 AND W_SHIIRE_KOBAI.W_USER_ID = ''
 AND W_SHIIRE_KOBAI.SELECT_FLG = 'True'
</v>
      </c>
      <c r="G58" s="160"/>
      <c r="H58" s="171"/>
    </row>
    <row r="61" spans="2:8" ht="15" customHeight="1">
      <c r="B61" s="270" t="s">
        <v>771</v>
      </c>
      <c r="C61" s="271"/>
      <c r="D61" s="271"/>
      <c r="E61" s="272"/>
      <c r="F61" s="156"/>
      <c r="G61" s="156"/>
      <c r="H61" s="157"/>
    </row>
    <row r="62" spans="2:8" ht="15" customHeight="1">
      <c r="B62" s="169"/>
      <c r="C62" s="277" t="s">
        <v>773</v>
      </c>
      <c r="D62" s="278"/>
      <c r="E62" s="279"/>
      <c r="F62" s="162" t="s">
        <v>804</v>
      </c>
      <c r="G62" s="160"/>
      <c r="H62" s="161" t="s">
        <v>809</v>
      </c>
    </row>
    <row r="65" spans="2:8" ht="15" customHeight="1">
      <c r="B65" s="270" t="s">
        <v>772</v>
      </c>
      <c r="C65" s="271"/>
      <c r="D65" s="271"/>
      <c r="E65" s="272"/>
      <c r="F65" s="82"/>
      <c r="G65" s="82"/>
      <c r="H65" s="157" t="s">
        <v>314</v>
      </c>
    </row>
    <row r="66" spans="2:8" ht="15" customHeight="1">
      <c r="B66" s="84"/>
      <c r="C66" s="277" t="s">
        <v>782</v>
      </c>
      <c r="D66" s="278"/>
      <c r="E66" s="279"/>
      <c r="F66" s="173" t="s">
        <v>970</v>
      </c>
      <c r="G66" s="79"/>
      <c r="H66" s="80" t="s">
        <v>802</v>
      </c>
    </row>
  </sheetData>
  <mergeCells count="46">
    <mergeCell ref="B61:E61"/>
    <mergeCell ref="C62:E62"/>
    <mergeCell ref="B65:E65"/>
    <mergeCell ref="C66:E66"/>
    <mergeCell ref="C52:E52"/>
    <mergeCell ref="C53:E53"/>
    <mergeCell ref="C54:E54"/>
    <mergeCell ref="B55:E55"/>
    <mergeCell ref="C56:E56"/>
    <mergeCell ref="C57:E57"/>
    <mergeCell ref="C58:E58"/>
    <mergeCell ref="D31:E31"/>
    <mergeCell ref="D32:E32"/>
    <mergeCell ref="C50:E50"/>
    <mergeCell ref="D34:E34"/>
    <mergeCell ref="D35:E35"/>
    <mergeCell ref="D36:E36"/>
    <mergeCell ref="D37:E37"/>
    <mergeCell ref="D38:E38"/>
    <mergeCell ref="D45:E45"/>
    <mergeCell ref="D39:E39"/>
    <mergeCell ref="D40:E40"/>
    <mergeCell ref="D41:D44"/>
    <mergeCell ref="B48:E48"/>
    <mergeCell ref="B49:E49"/>
    <mergeCell ref="D23:E23"/>
    <mergeCell ref="D24:D27"/>
    <mergeCell ref="D28:E28"/>
    <mergeCell ref="D29:E29"/>
    <mergeCell ref="D30:E30"/>
    <mergeCell ref="C51:E51"/>
    <mergeCell ref="C16:E16"/>
    <mergeCell ref="B5:E5"/>
    <mergeCell ref="B6:E6"/>
    <mergeCell ref="C7:E7"/>
    <mergeCell ref="C8:E8"/>
    <mergeCell ref="B9:E9"/>
    <mergeCell ref="C10:E10"/>
    <mergeCell ref="C11:E11"/>
    <mergeCell ref="B12:E12"/>
    <mergeCell ref="C13:E13"/>
    <mergeCell ref="C14:E14"/>
    <mergeCell ref="B15:E15"/>
    <mergeCell ref="D33:E33"/>
    <mergeCell ref="D17:E17"/>
    <mergeCell ref="D18:D22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C000"/>
  </sheetPr>
  <dimension ref="A1:AJ59"/>
  <sheetViews>
    <sheetView showGridLines="0" showRowColHeaders="0" topLeftCell="G1" workbookViewId="0">
      <selection activeCell="I6" sqref="I6:L6"/>
    </sheetView>
  </sheetViews>
  <sheetFormatPr defaultRowHeight="16.5"/>
  <cols>
    <col min="1" max="1" width="4.25" style="184" hidden="1" customWidth="1"/>
    <col min="2" max="2" width="9.25" style="184" hidden="1" customWidth="1"/>
    <col min="3" max="3" width="26.625" style="184" hidden="1" customWidth="1"/>
    <col min="4" max="4" width="38.375" style="184" hidden="1" customWidth="1"/>
    <col min="5" max="5" width="12.25" style="184" hidden="1" customWidth="1"/>
    <col min="6" max="6" width="8.875" style="184" hidden="1" customWidth="1"/>
    <col min="7" max="7" width="3.25" style="14" customWidth="1"/>
    <col min="8" max="8" width="10.625" style="14" customWidth="1"/>
    <col min="9" max="27" width="3.25" style="14" customWidth="1"/>
    <col min="28" max="51" width="3.375" style="14" customWidth="1"/>
    <col min="52" max="16384" width="9" style="14"/>
  </cols>
  <sheetData>
    <row r="1" spans="1:36" s="13" customFormat="1" ht="19.5">
      <c r="A1" s="184"/>
      <c r="B1" s="184"/>
      <c r="C1" s="184"/>
      <c r="D1" s="184"/>
      <c r="E1" s="184"/>
      <c r="F1" s="184"/>
      <c r="G1" s="13" t="s">
        <v>84</v>
      </c>
    </row>
    <row r="2" spans="1:36">
      <c r="C2" s="185" t="s">
        <v>627</v>
      </c>
      <c r="D2" s="185" t="s">
        <v>842</v>
      </c>
      <c r="E2" s="185"/>
    </row>
    <row r="3" spans="1:36">
      <c r="C3" s="185" t="s">
        <v>628</v>
      </c>
      <c r="D3" s="185" t="s">
        <v>843</v>
      </c>
      <c r="E3" s="185" t="str">
        <f>ADDRESS(ROW(A1),COLUMN(A1))&amp;":"&amp;ADDRESS(ROW(F1),COLUMN(F1))</f>
        <v>$A$1:$F$1</v>
      </c>
      <c r="H3" s="15" t="s">
        <v>85</v>
      </c>
      <c r="I3" s="16"/>
      <c r="J3" s="257" t="s">
        <v>86</v>
      </c>
      <c r="K3" s="257"/>
      <c r="L3" s="257"/>
      <c r="M3" s="17"/>
      <c r="N3" s="257" t="s">
        <v>87</v>
      </c>
      <c r="O3" s="257"/>
      <c r="P3" s="257"/>
      <c r="Q3" s="17"/>
      <c r="R3" s="259" t="s">
        <v>88</v>
      </c>
      <c r="S3" s="259"/>
      <c r="T3" s="259"/>
      <c r="U3" s="17"/>
      <c r="V3" s="259"/>
      <c r="W3" s="259"/>
      <c r="X3" s="259"/>
      <c r="Y3" s="17"/>
      <c r="Z3" s="257"/>
      <c r="AA3" s="257"/>
      <c r="AB3" s="258"/>
    </row>
    <row r="4" spans="1:36">
      <c r="H4" s="15" t="s">
        <v>40</v>
      </c>
      <c r="I4" s="16"/>
      <c r="J4" s="257" t="s">
        <v>41</v>
      </c>
      <c r="K4" s="257"/>
      <c r="L4" s="257"/>
      <c r="M4" s="17"/>
      <c r="N4" s="257" t="s">
        <v>42</v>
      </c>
      <c r="O4" s="257"/>
      <c r="P4" s="257"/>
      <c r="Q4" s="17"/>
      <c r="R4" s="259" t="s">
        <v>43</v>
      </c>
      <c r="S4" s="259"/>
      <c r="T4" s="259"/>
      <c r="U4" s="17"/>
      <c r="V4" s="257" t="s">
        <v>1158</v>
      </c>
      <c r="W4" s="257"/>
      <c r="X4" s="257"/>
      <c r="Y4" s="17"/>
      <c r="Z4" s="257" t="s">
        <v>45</v>
      </c>
      <c r="AA4" s="257"/>
      <c r="AB4" s="258"/>
    </row>
    <row r="5" spans="1:36">
      <c r="C5" s="186" t="s">
        <v>629</v>
      </c>
      <c r="E5" s="187" t="s">
        <v>844</v>
      </c>
    </row>
    <row r="6" spans="1:36">
      <c r="B6" s="188" t="s">
        <v>651</v>
      </c>
      <c r="C6" s="188" t="s">
        <v>219</v>
      </c>
      <c r="D6" s="188" t="s">
        <v>630</v>
      </c>
      <c r="E6" s="189" t="s">
        <v>631</v>
      </c>
      <c r="H6" s="15" t="s">
        <v>89</v>
      </c>
      <c r="I6" s="254"/>
      <c r="J6" s="255"/>
      <c r="K6" s="255"/>
      <c r="L6" s="256"/>
      <c r="M6" s="18" t="s">
        <v>90</v>
      </c>
      <c r="N6" s="254"/>
      <c r="O6" s="255"/>
      <c r="P6" s="255"/>
      <c r="Q6" s="256"/>
      <c r="U6" s="15" t="s">
        <v>55</v>
      </c>
      <c r="V6" s="247"/>
      <c r="W6" s="248"/>
      <c r="X6" s="248"/>
      <c r="Y6" s="249"/>
      <c r="Z6" s="250" t="str">
        <f>IF(UNKB0200_H_SHIIRESAKI_CD="","",UNKB0200_H_SHIIRESAKI_MEI)</f>
        <v/>
      </c>
      <c r="AA6" s="251"/>
      <c r="AB6" s="251"/>
      <c r="AC6" s="251"/>
      <c r="AD6" s="251"/>
      <c r="AE6" s="251"/>
      <c r="AF6" s="251"/>
      <c r="AG6" s="251"/>
      <c r="AH6" s="251"/>
      <c r="AI6" s="251"/>
      <c r="AJ6" s="252"/>
    </row>
    <row r="7" spans="1:36">
      <c r="B7" s="261" t="s">
        <v>61</v>
      </c>
      <c r="C7" s="190" t="s">
        <v>86</v>
      </c>
      <c r="D7" s="191" t="s">
        <v>878</v>
      </c>
      <c r="E7" s="193" t="b">
        <v>1</v>
      </c>
      <c r="H7" s="15" t="s">
        <v>1194</v>
      </c>
      <c r="I7" s="246"/>
      <c r="J7" s="246"/>
      <c r="K7" s="246"/>
      <c r="L7" s="246"/>
      <c r="M7" s="18" t="s">
        <v>90</v>
      </c>
      <c r="N7" s="246"/>
      <c r="O7" s="246"/>
      <c r="P7" s="246"/>
      <c r="Q7" s="246"/>
      <c r="U7" s="15" t="s">
        <v>54</v>
      </c>
      <c r="V7" s="247"/>
      <c r="W7" s="248"/>
      <c r="X7" s="248"/>
      <c r="Y7" s="249"/>
      <c r="Z7" s="250" t="str">
        <f>IF(UNKB0200_H_KOBAIHIN_CD="","",UNKB0200_H_KOBAIHIN_MEI)</f>
        <v/>
      </c>
      <c r="AA7" s="251"/>
      <c r="AB7" s="251"/>
      <c r="AC7" s="251"/>
      <c r="AD7" s="251"/>
      <c r="AE7" s="251"/>
      <c r="AF7" s="251"/>
      <c r="AG7" s="251"/>
      <c r="AH7" s="251"/>
      <c r="AI7" s="251"/>
      <c r="AJ7" s="252"/>
    </row>
    <row r="8" spans="1:36">
      <c r="B8" s="261"/>
      <c r="C8" s="190" t="s">
        <v>857</v>
      </c>
      <c r="D8" s="191" t="s">
        <v>879</v>
      </c>
      <c r="E8" s="193" t="b">
        <v>1</v>
      </c>
      <c r="H8" s="15" t="s">
        <v>1195</v>
      </c>
      <c r="I8" s="246"/>
      <c r="J8" s="246"/>
      <c r="K8" s="246"/>
      <c r="L8" s="246"/>
      <c r="M8" s="18" t="s">
        <v>90</v>
      </c>
      <c r="N8" s="246"/>
      <c r="O8" s="246"/>
      <c r="P8" s="246"/>
      <c r="Q8" s="246"/>
      <c r="U8" s="15" t="s">
        <v>57</v>
      </c>
      <c r="V8" s="247"/>
      <c r="W8" s="248"/>
      <c r="X8" s="248"/>
      <c r="Y8" s="249"/>
      <c r="Z8" s="250" t="str">
        <f>IF(UNKB0200_H_MAKER_CD="","",UNKB0200_H_MAKER_MEI)</f>
        <v/>
      </c>
      <c r="AA8" s="251"/>
      <c r="AB8" s="251"/>
      <c r="AC8" s="251"/>
      <c r="AD8" s="251"/>
      <c r="AE8" s="251"/>
      <c r="AF8" s="251"/>
      <c r="AG8" s="251"/>
      <c r="AH8" s="251"/>
      <c r="AI8" s="251"/>
      <c r="AJ8" s="252"/>
    </row>
    <row r="9" spans="1:36">
      <c r="B9" s="261"/>
      <c r="C9" s="190" t="s">
        <v>858</v>
      </c>
      <c r="D9" s="191" t="s">
        <v>880</v>
      </c>
      <c r="E9" s="193" t="b">
        <v>1</v>
      </c>
    </row>
    <row r="10" spans="1:36">
      <c r="B10" s="260" t="s">
        <v>60</v>
      </c>
      <c r="C10" s="190" t="s">
        <v>536</v>
      </c>
      <c r="D10" s="191" t="s">
        <v>889</v>
      </c>
      <c r="E10" s="193" t="b">
        <v>1</v>
      </c>
      <c r="H10" s="15" t="s">
        <v>52</v>
      </c>
      <c r="I10" s="254"/>
      <c r="J10" s="255"/>
      <c r="K10" s="255"/>
      <c r="L10" s="256"/>
      <c r="U10" s="15" t="s">
        <v>92</v>
      </c>
      <c r="V10" s="243"/>
      <c r="W10" s="244"/>
      <c r="X10" s="244"/>
      <c r="Y10" s="245"/>
      <c r="AF10" s="15" t="s">
        <v>1166</v>
      </c>
      <c r="AG10" s="254"/>
      <c r="AH10" s="255"/>
      <c r="AI10" s="255"/>
      <c r="AJ10" s="256"/>
    </row>
    <row r="11" spans="1:36">
      <c r="B11" s="260"/>
      <c r="C11" s="190" t="s">
        <v>42</v>
      </c>
      <c r="D11" s="191" t="s">
        <v>890</v>
      </c>
      <c r="E11" s="193" t="b">
        <v>1</v>
      </c>
      <c r="H11" s="15" t="s">
        <v>1196</v>
      </c>
      <c r="I11" s="253"/>
      <c r="J11" s="253"/>
      <c r="K11" s="253"/>
      <c r="L11" s="253"/>
      <c r="U11" s="15" t="s">
        <v>93</v>
      </c>
      <c r="V11" s="254"/>
      <c r="W11" s="255"/>
      <c r="X11" s="255"/>
      <c r="Y11" s="256"/>
    </row>
    <row r="12" spans="1:36">
      <c r="B12" s="260"/>
      <c r="C12" s="190" t="s">
        <v>632</v>
      </c>
      <c r="D12" s="191" t="s">
        <v>891</v>
      </c>
      <c r="E12" s="193" t="b">
        <v>1</v>
      </c>
    </row>
    <row r="13" spans="1:36">
      <c r="B13" s="260"/>
      <c r="C13" s="190" t="s">
        <v>1159</v>
      </c>
      <c r="D13" s="191" t="s">
        <v>881</v>
      </c>
      <c r="E13" s="193" t="b">
        <v>1</v>
      </c>
      <c r="H13" s="15" t="s">
        <v>94</v>
      </c>
      <c r="I13" s="242"/>
      <c r="J13" s="242"/>
      <c r="K13" s="242"/>
      <c r="L13" s="242"/>
      <c r="M13" s="19" t="str">
        <f>IF(UNKB0200_H_FREEWD_KBN=1,"AND",IF(UNKB0200_H_FREEWD_KBN=2,"OR","NAND"))</f>
        <v>AND</v>
      </c>
      <c r="N13" s="242"/>
      <c r="O13" s="242"/>
      <c r="P13" s="242"/>
      <c r="Q13" s="242"/>
      <c r="R13" s="19" t="str">
        <f>UNKB0200_H_FREEWD_KBN_DISP</f>
        <v>AND</v>
      </c>
      <c r="S13" s="242"/>
      <c r="T13" s="242"/>
      <c r="U13" s="242"/>
      <c r="V13" s="242"/>
      <c r="AE13" s="15"/>
      <c r="AF13" s="14" t="s">
        <v>95</v>
      </c>
    </row>
    <row r="14" spans="1:36">
      <c r="B14" s="260"/>
      <c r="C14" s="190" t="s">
        <v>45</v>
      </c>
      <c r="D14" s="191" t="s">
        <v>892</v>
      </c>
      <c r="E14" s="193" t="b">
        <v>1</v>
      </c>
    </row>
    <row r="15" spans="1:36">
      <c r="B15" s="194" t="s">
        <v>280</v>
      </c>
      <c r="C15" s="190" t="s">
        <v>876</v>
      </c>
      <c r="D15" s="191" t="s">
        <v>893</v>
      </c>
      <c r="E15" s="193" t="b">
        <v>0</v>
      </c>
    </row>
    <row r="16" spans="1:36">
      <c r="B16" s="194" t="s">
        <v>280</v>
      </c>
      <c r="C16" s="25" t="s">
        <v>886</v>
      </c>
      <c r="D16" s="197" t="s">
        <v>887</v>
      </c>
      <c r="E16" s="130"/>
    </row>
    <row r="17" spans="2:5">
      <c r="B17" s="61" t="s">
        <v>280</v>
      </c>
      <c r="C17" s="26" t="s">
        <v>556</v>
      </c>
      <c r="D17" s="196" t="s">
        <v>885</v>
      </c>
      <c r="E17" s="131"/>
    </row>
    <row r="18" spans="2:5">
      <c r="B18" s="194" t="s">
        <v>280</v>
      </c>
      <c r="C18" s="25" t="s">
        <v>637</v>
      </c>
      <c r="D18" s="195" t="s">
        <v>883</v>
      </c>
      <c r="E18" s="132"/>
    </row>
    <row r="19" spans="2:5">
      <c r="B19" s="194" t="s">
        <v>280</v>
      </c>
      <c r="C19" s="25" t="s">
        <v>76</v>
      </c>
      <c r="D19" s="195" t="s">
        <v>882</v>
      </c>
      <c r="E19" s="130"/>
    </row>
    <row r="20" spans="2:5">
      <c r="B20" s="194" t="s">
        <v>280</v>
      </c>
      <c r="C20" s="25" t="s">
        <v>78</v>
      </c>
      <c r="D20" s="195" t="s">
        <v>884</v>
      </c>
      <c r="E20" s="133"/>
    </row>
    <row r="21" spans="2:5" ht="17.25" thickBot="1">
      <c r="B21" s="194" t="s">
        <v>280</v>
      </c>
      <c r="C21" s="25" t="s">
        <v>638</v>
      </c>
      <c r="D21" s="195" t="s">
        <v>888</v>
      </c>
      <c r="E21" s="134">
        <v>1</v>
      </c>
    </row>
    <row r="24" spans="2:5">
      <c r="C24" s="262" t="s">
        <v>639</v>
      </c>
      <c r="D24" s="262"/>
    </row>
    <row r="25" spans="2:5">
      <c r="C25" s="51" t="s">
        <v>640</v>
      </c>
      <c r="D25" s="51" t="s">
        <v>641</v>
      </c>
      <c r="E25" s="51" t="s">
        <v>642</v>
      </c>
    </row>
    <row r="26" spans="2:5">
      <c r="C26" s="190" t="s">
        <v>86</v>
      </c>
      <c r="D26" s="190" t="s">
        <v>903</v>
      </c>
      <c r="E26" s="194" t="b">
        <v>1</v>
      </c>
    </row>
    <row r="27" spans="2:5">
      <c r="C27" s="190" t="s">
        <v>857</v>
      </c>
      <c r="D27" s="190" t="s">
        <v>904</v>
      </c>
      <c r="E27" s="194" t="b">
        <v>1</v>
      </c>
    </row>
    <row r="28" spans="2:5">
      <c r="C28" s="190" t="s">
        <v>858</v>
      </c>
      <c r="D28" s="190" t="s">
        <v>905</v>
      </c>
      <c r="E28" s="194" t="b">
        <v>1</v>
      </c>
    </row>
    <row r="29" spans="2:5">
      <c r="C29" s="190" t="s">
        <v>536</v>
      </c>
      <c r="D29" s="190" t="s">
        <v>906</v>
      </c>
      <c r="E29" s="194" t="b">
        <v>1</v>
      </c>
    </row>
    <row r="30" spans="2:5">
      <c r="C30" s="190" t="s">
        <v>42</v>
      </c>
      <c r="D30" s="190" t="s">
        <v>907</v>
      </c>
      <c r="E30" s="194" t="b">
        <v>1</v>
      </c>
    </row>
    <row r="31" spans="2:5">
      <c r="C31" s="190" t="s">
        <v>632</v>
      </c>
      <c r="D31" s="190" t="s">
        <v>908</v>
      </c>
      <c r="E31" s="194" t="b">
        <v>1</v>
      </c>
    </row>
    <row r="32" spans="2:5">
      <c r="C32" s="190" t="s">
        <v>44</v>
      </c>
      <c r="D32" s="190" t="s">
        <v>909</v>
      </c>
      <c r="E32" s="194" t="b">
        <v>1</v>
      </c>
    </row>
    <row r="33" spans="3:5">
      <c r="C33" s="190" t="s">
        <v>45</v>
      </c>
      <c r="D33" s="190" t="s">
        <v>910</v>
      </c>
      <c r="E33" s="194" t="b">
        <v>1</v>
      </c>
    </row>
    <row r="34" spans="3:5">
      <c r="C34" s="190" t="s">
        <v>877</v>
      </c>
      <c r="D34" s="190" t="s">
        <v>911</v>
      </c>
      <c r="E34" s="194" t="b">
        <v>0</v>
      </c>
    </row>
    <row r="35" spans="3:5">
      <c r="C35" s="25" t="s">
        <v>894</v>
      </c>
      <c r="D35" s="25" t="s">
        <v>912</v>
      </c>
      <c r="E35" s="194"/>
    </row>
    <row r="36" spans="3:5">
      <c r="C36" s="25" t="s">
        <v>895</v>
      </c>
      <c r="D36" s="25" t="s">
        <v>913</v>
      </c>
      <c r="E36" s="194"/>
    </row>
    <row r="37" spans="3:5">
      <c r="C37" s="25" t="s">
        <v>896</v>
      </c>
      <c r="D37" s="25" t="s">
        <v>914</v>
      </c>
      <c r="E37" s="198"/>
    </row>
    <row r="38" spans="3:5">
      <c r="C38" s="25" t="s">
        <v>897</v>
      </c>
      <c r="D38" s="25" t="s">
        <v>915</v>
      </c>
      <c r="E38" s="198"/>
    </row>
    <row r="39" spans="3:5">
      <c r="C39" s="25" t="s">
        <v>898</v>
      </c>
      <c r="D39" s="25" t="s">
        <v>916</v>
      </c>
      <c r="E39" s="198"/>
    </row>
    <row r="40" spans="3:5">
      <c r="C40" s="25" t="s">
        <v>899</v>
      </c>
      <c r="D40" s="25" t="s">
        <v>917</v>
      </c>
      <c r="E40" s="198"/>
    </row>
    <row r="41" spans="3:5">
      <c r="C41" s="25" t="s">
        <v>80</v>
      </c>
      <c r="D41" s="25" t="s">
        <v>918</v>
      </c>
      <c r="E41" s="194"/>
    </row>
    <row r="42" spans="3:5">
      <c r="C42" s="25" t="s">
        <v>79</v>
      </c>
      <c r="D42" s="25" t="s">
        <v>845</v>
      </c>
      <c r="E42" s="194"/>
    </row>
    <row r="43" spans="3:5">
      <c r="C43" s="26" t="s">
        <v>556</v>
      </c>
      <c r="D43" s="26" t="s">
        <v>846</v>
      </c>
      <c r="E43" s="61"/>
    </row>
    <row r="44" spans="3:5">
      <c r="C44" s="25" t="s">
        <v>75</v>
      </c>
      <c r="D44" s="25" t="s">
        <v>849</v>
      </c>
      <c r="E44" s="194"/>
    </row>
    <row r="45" spans="3:5">
      <c r="C45" s="25" t="s">
        <v>76</v>
      </c>
      <c r="D45" s="25" t="s">
        <v>850</v>
      </c>
      <c r="E45" s="194"/>
    </row>
    <row r="46" spans="3:5">
      <c r="C46" s="25" t="s">
        <v>648</v>
      </c>
      <c r="D46" s="25" t="s">
        <v>847</v>
      </c>
      <c r="E46" s="194"/>
    </row>
    <row r="47" spans="3:5">
      <c r="C47" s="25" t="s">
        <v>637</v>
      </c>
      <c r="D47" s="25" t="s">
        <v>848</v>
      </c>
      <c r="E47" s="194"/>
    </row>
    <row r="48" spans="3:5">
      <c r="C48" s="25" t="s">
        <v>77</v>
      </c>
      <c r="D48" s="25" t="s">
        <v>851</v>
      </c>
      <c r="E48" s="194"/>
    </row>
    <row r="49" spans="3:5">
      <c r="C49" s="25" t="s">
        <v>78</v>
      </c>
      <c r="D49" s="25" t="s">
        <v>852</v>
      </c>
      <c r="E49" s="194"/>
    </row>
    <row r="50" spans="3:5">
      <c r="C50" s="185" t="s">
        <v>902</v>
      </c>
      <c r="D50" s="185" t="s">
        <v>920</v>
      </c>
      <c r="E50" s="194"/>
    </row>
    <row r="51" spans="3:5">
      <c r="C51" s="185" t="s">
        <v>900</v>
      </c>
      <c r="D51" s="185" t="s">
        <v>919</v>
      </c>
      <c r="E51" s="194"/>
    </row>
    <row r="52" spans="3:5">
      <c r="C52" s="185" t="s">
        <v>901</v>
      </c>
      <c r="D52" s="185" t="s">
        <v>921</v>
      </c>
      <c r="E52" s="194"/>
    </row>
    <row r="53" spans="3:5">
      <c r="C53" s="185" t="s">
        <v>82</v>
      </c>
      <c r="D53" s="185" t="s">
        <v>1167</v>
      </c>
      <c r="E53" s="194"/>
    </row>
    <row r="54" spans="3:5">
      <c r="C54" s="185" t="s">
        <v>657</v>
      </c>
      <c r="D54" s="185" t="s">
        <v>853</v>
      </c>
      <c r="E54" s="194"/>
    </row>
    <row r="55" spans="3:5">
      <c r="C55" s="185" t="s">
        <v>649</v>
      </c>
      <c r="D55" s="185" t="s">
        <v>854</v>
      </c>
      <c r="E55" s="194"/>
    </row>
    <row r="56" spans="3:5">
      <c r="C56" s="185" t="s">
        <v>650</v>
      </c>
      <c r="D56" s="185" t="s">
        <v>855</v>
      </c>
      <c r="E56" s="194"/>
    </row>
    <row r="57" spans="3:5">
      <c r="C57" s="25" t="s">
        <v>638</v>
      </c>
      <c r="D57" s="25" t="s">
        <v>856</v>
      </c>
      <c r="E57" s="194">
        <v>1</v>
      </c>
    </row>
    <row r="59" spans="3:5">
      <c r="C59" s="20"/>
      <c r="D59" s="20"/>
      <c r="E59" s="20"/>
    </row>
  </sheetData>
  <sheetProtection sheet="1" objects="1" scenarios="1" selectLockedCells="1"/>
  <mergeCells count="33">
    <mergeCell ref="J4:L4"/>
    <mergeCell ref="N4:P4"/>
    <mergeCell ref="R4:T4"/>
    <mergeCell ref="V4:X4"/>
    <mergeCell ref="Z4:AB4"/>
    <mergeCell ref="J3:L3"/>
    <mergeCell ref="N3:P3"/>
    <mergeCell ref="R3:T3"/>
    <mergeCell ref="V3:X3"/>
    <mergeCell ref="Z3:AB3"/>
    <mergeCell ref="Z8:AJ8"/>
    <mergeCell ref="I10:L10"/>
    <mergeCell ref="V10:Y10"/>
    <mergeCell ref="I6:L6"/>
    <mergeCell ref="N6:Q6"/>
    <mergeCell ref="V6:Y6"/>
    <mergeCell ref="Z6:AJ6"/>
    <mergeCell ref="I7:L7"/>
    <mergeCell ref="N7:Q7"/>
    <mergeCell ref="V7:Y7"/>
    <mergeCell ref="Z7:AJ7"/>
    <mergeCell ref="AG10:AJ10"/>
    <mergeCell ref="B10:B14"/>
    <mergeCell ref="B7:B9"/>
    <mergeCell ref="C24:D24"/>
    <mergeCell ref="I11:L11"/>
    <mergeCell ref="V11:Y11"/>
    <mergeCell ref="I13:L13"/>
    <mergeCell ref="N13:Q13"/>
    <mergeCell ref="S13:V13"/>
    <mergeCell ref="I8:L8"/>
    <mergeCell ref="N8:Q8"/>
    <mergeCell ref="V8:Y8"/>
  </mergeCells>
  <phoneticPr fontId="1"/>
  <dataValidations count="3">
    <dataValidation type="custom" allowBlank="1" showInputMessage="1" showErrorMessage="1" sqref="I6:L6 N6:Q6 V11:Y11 I10:L10 AG10:AJ10">
      <formula1>AND(LEN(I6)=LENB(I6),LEN(I6)=10)</formula1>
    </dataValidation>
    <dataValidation type="date" allowBlank="1" showInputMessage="1" showErrorMessage="1" sqref="I7:L8 N7:Q8">
      <formula1>36526</formula1>
      <formula2>73415</formula2>
    </dataValidation>
    <dataValidation type="custom" allowBlank="1" showInputMessage="1" showErrorMessage="1" sqref="I11:L11">
      <formula1>AND(LEN(I11)=LENB(I11),LEN(I11)&lt;=10)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UNKB0200_SearchDataCopy">
                <anchor moveWithCells="1" sizeWithCells="1">
                  <from>
                    <xdr:col>3</xdr:col>
                    <xdr:colOff>676275</xdr:colOff>
                    <xdr:row>22</xdr:row>
                    <xdr:rowOff>47625</xdr:rowOff>
                  </from>
                  <to>
                    <xdr:col>3</xdr:col>
                    <xdr:colOff>1619250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8</xdr:col>
                    <xdr:colOff>57150</xdr:colOff>
                    <xdr:row>2</xdr:row>
                    <xdr:rowOff>19050</xdr:rowOff>
                  </from>
                  <to>
                    <xdr:col>11</xdr:col>
                    <xdr:colOff>152400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12</xdr:col>
                    <xdr:colOff>57150</xdr:colOff>
                    <xdr:row>2</xdr:row>
                    <xdr:rowOff>19050</xdr:rowOff>
                  </from>
                  <to>
                    <xdr:col>15</xdr:col>
                    <xdr:colOff>152400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16</xdr:col>
                    <xdr:colOff>57150</xdr:colOff>
                    <xdr:row>2</xdr:row>
                    <xdr:rowOff>19050</xdr:rowOff>
                  </from>
                  <to>
                    <xdr:col>19</xdr:col>
                    <xdr:colOff>152400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8</xdr:col>
                    <xdr:colOff>57150</xdr:colOff>
                    <xdr:row>3</xdr:row>
                    <xdr:rowOff>19050</xdr:rowOff>
                  </from>
                  <to>
                    <xdr:col>10</xdr:col>
                    <xdr:colOff>133350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12</xdr:col>
                    <xdr:colOff>57150</xdr:colOff>
                    <xdr:row>3</xdr:row>
                    <xdr:rowOff>19050</xdr:rowOff>
                  </from>
                  <to>
                    <xdr:col>15</xdr:col>
                    <xdr:colOff>38100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Check Box 7">
              <controlPr defaultSize="0" autoFill="0" autoLine="0" autoPict="0">
                <anchor moveWithCells="1">
                  <from>
                    <xdr:col>16</xdr:col>
                    <xdr:colOff>57150</xdr:colOff>
                    <xdr:row>3</xdr:row>
                    <xdr:rowOff>19050</xdr:rowOff>
                  </from>
                  <to>
                    <xdr:col>19</xdr:col>
                    <xdr:colOff>190500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Check Box 8">
              <controlPr defaultSize="0" autoFill="0" autoLine="0" autoPict="0">
                <anchor moveWithCells="1">
                  <from>
                    <xdr:col>20</xdr:col>
                    <xdr:colOff>57150</xdr:colOff>
                    <xdr:row>3</xdr:row>
                    <xdr:rowOff>28575</xdr:rowOff>
                  </from>
                  <to>
                    <xdr:col>22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2" name="Check Box 10">
              <controlPr defaultSize="0" autoFill="0" autoLine="0" autoPict="0">
                <anchor moveWithCells="1">
                  <from>
                    <xdr:col>24</xdr:col>
                    <xdr:colOff>57150</xdr:colOff>
                    <xdr:row>3</xdr:row>
                    <xdr:rowOff>19050</xdr:rowOff>
                  </from>
                  <to>
                    <xdr:col>27</xdr:col>
                    <xdr:colOff>19050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3" name="Check Box 11">
              <controlPr defaultSize="0" autoFill="0" autoLine="0" autoPict="0">
                <anchor moveWithCells="1">
                  <from>
                    <xdr:col>30</xdr:col>
                    <xdr:colOff>76200</xdr:colOff>
                    <xdr:row>12</xdr:row>
                    <xdr:rowOff>19050</xdr:rowOff>
                  </from>
                  <to>
                    <xdr:col>34</xdr:col>
                    <xdr:colOff>28575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4" name="Option Button 12">
              <controlPr defaultSize="0" autoFill="0" autoLine="0" autoPict="0">
                <anchor moveWithCells="1">
                  <from>
                    <xdr:col>22</xdr:col>
                    <xdr:colOff>228600</xdr:colOff>
                    <xdr:row>11</xdr:row>
                    <xdr:rowOff>180975</xdr:rowOff>
                  </from>
                  <to>
                    <xdr:col>25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5" name="Option Button 13">
              <controlPr defaultSize="0" autoFill="0" autoLine="0" autoPict="0">
                <anchor moveWithCells="1">
                  <from>
                    <xdr:col>25</xdr:col>
                    <xdr:colOff>28575</xdr:colOff>
                    <xdr:row>11</xdr:row>
                    <xdr:rowOff>180975</xdr:rowOff>
                  </from>
                  <to>
                    <xdr:col>26</xdr:col>
                    <xdr:colOff>200025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6" name="Option Button 14">
              <controlPr defaultSize="0" autoFill="0" autoLine="0" autoPict="0">
                <anchor moveWithCells="1">
                  <from>
                    <xdr:col>26</xdr:col>
                    <xdr:colOff>228600</xdr:colOff>
                    <xdr:row>11</xdr:row>
                    <xdr:rowOff>180975</xdr:rowOff>
                  </from>
                  <to>
                    <xdr:col>29</xdr:col>
                    <xdr:colOff>95250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C000"/>
  </sheetPr>
  <dimension ref="A1:Q38"/>
  <sheetViews>
    <sheetView showGridLines="0" showRowColHeaders="0" topLeftCell="F15" workbookViewId="0">
      <selection sqref="A1:E1"/>
    </sheetView>
  </sheetViews>
  <sheetFormatPr defaultRowHeight="16.5"/>
  <cols>
    <col min="1" max="1" width="9" style="199" hidden="1" customWidth="1"/>
    <col min="2" max="2" width="13.25" style="199" hidden="1" customWidth="1"/>
    <col min="3" max="3" width="36" style="199" hidden="1" customWidth="1"/>
    <col min="4" max="4" width="13.375" style="199" hidden="1" customWidth="1"/>
    <col min="5" max="5" width="9" style="199" hidden="1" customWidth="1"/>
    <col min="6" max="6" width="3.375" style="14" customWidth="1"/>
    <col min="7" max="7" width="5" style="14" bestFit="1" customWidth="1"/>
    <col min="8" max="8" width="12.25" style="14" bestFit="1" customWidth="1"/>
    <col min="9" max="9" width="12.25" style="14" customWidth="1"/>
    <col min="10" max="10" width="8.25" style="14" bestFit="1" customWidth="1"/>
    <col min="11" max="12" width="12.5" style="14" bestFit="1" customWidth="1"/>
    <col min="13" max="13" width="11.875" style="14" bestFit="1" customWidth="1"/>
    <col min="14" max="14" width="27.75" style="14" customWidth="1"/>
    <col min="15" max="15" width="11.875" style="14" bestFit="1" customWidth="1"/>
    <col min="16" max="16" width="21.875" style="14" bestFit="1" customWidth="1"/>
    <col min="17" max="17" width="4.75" style="14" bestFit="1" customWidth="1"/>
    <col min="18" max="18" width="4" style="14" customWidth="1"/>
    <col min="19" max="16384" width="9" style="14"/>
  </cols>
  <sheetData>
    <row r="1" spans="2:17" ht="1.5" hidden="1" customHeight="1"/>
    <row r="2" spans="2:17" ht="1.5" hidden="1" customHeight="1"/>
    <row r="3" spans="2:17" ht="1.5" hidden="1" customHeight="1"/>
    <row r="4" spans="2:17" ht="1.5" hidden="1" customHeight="1"/>
    <row r="5" spans="2:17" ht="1.5" hidden="1" customHeight="1"/>
    <row r="6" spans="2:17" ht="1.5" hidden="1" customHeight="1"/>
    <row r="7" spans="2:17" ht="1.5" hidden="1" customHeight="1"/>
    <row r="8" spans="2:17" ht="1.5" hidden="1" customHeight="1"/>
    <row r="9" spans="2:17" ht="1.5" hidden="1" customHeight="1"/>
    <row r="10" spans="2:17" ht="1.5" hidden="1" customHeight="1"/>
    <row r="11" spans="2:17" ht="1.5" hidden="1" customHeight="1"/>
    <row r="12" spans="2:17" ht="1.5" hidden="1" customHeight="1"/>
    <row r="13" spans="2:17" ht="1.5" hidden="1" customHeight="1"/>
    <row r="14" spans="2:17" ht="1.5" hidden="1" customHeight="1"/>
    <row r="15" spans="2:17">
      <c r="F15" s="14" t="str">
        <f>"("&amp;UNKB0200_B_PAGE_NO&amp;"/"&amp;UNKB0200_B_ALL_PAGE_SU&amp;")"</f>
        <v>(1/1)</v>
      </c>
      <c r="G15" s="21"/>
    </row>
    <row r="16" spans="2:17">
      <c r="B16" s="203" t="s">
        <v>627</v>
      </c>
      <c r="C16" s="203" t="s">
        <v>860</v>
      </c>
      <c r="D16" s="203" t="str">
        <f>ROW(A1)&amp;":"&amp;ROW(A14)</f>
        <v>1:14</v>
      </c>
      <c r="F16" s="29"/>
      <c r="G16" s="30" t="s">
        <v>96</v>
      </c>
      <c r="H16" s="30" t="s">
        <v>100</v>
      </c>
      <c r="I16" s="30" t="s">
        <v>97</v>
      </c>
      <c r="J16" s="30" t="s">
        <v>60</v>
      </c>
      <c r="K16" s="30" t="s">
        <v>98</v>
      </c>
      <c r="L16" s="30" t="s">
        <v>99</v>
      </c>
      <c r="M16" s="30" t="s">
        <v>75</v>
      </c>
      <c r="N16" s="30" t="s">
        <v>76</v>
      </c>
      <c r="O16" s="30" t="s">
        <v>101</v>
      </c>
      <c r="P16" s="30" t="s">
        <v>102</v>
      </c>
      <c r="Q16" s="30" t="s">
        <v>103</v>
      </c>
    </row>
    <row r="17" spans="2:4">
      <c r="B17" s="204" t="s">
        <v>628</v>
      </c>
      <c r="C17" s="204" t="s">
        <v>861</v>
      </c>
      <c r="D17" s="204" t="str">
        <f>ADDRESS(ROW(A1),COLUMN(A1))&amp;":"&amp;ADDRESS(ROW(E1),COLUMN(E1))</f>
        <v>$A$1:$E$1</v>
      </c>
    </row>
    <row r="18" spans="2:4">
      <c r="B18" s="200" t="s">
        <v>127</v>
      </c>
      <c r="C18" s="200" t="s">
        <v>862</v>
      </c>
      <c r="D18" s="200" t="str">
        <f>ADDRESS(ROW(UNKB0200_B_STS)+1,COLUMN(UNKB0200_B_STS))</f>
        <v>$I$17</v>
      </c>
    </row>
    <row r="20" spans="2:4">
      <c r="B20" s="200" t="s">
        <v>711</v>
      </c>
      <c r="C20" s="200" t="s">
        <v>863</v>
      </c>
      <c r="D20" s="200"/>
    </row>
    <row r="21" spans="2:4">
      <c r="B21" s="200" t="s">
        <v>712</v>
      </c>
      <c r="C21" s="200" t="s">
        <v>864</v>
      </c>
      <c r="D21" s="200">
        <v>1</v>
      </c>
    </row>
    <row r="22" spans="2:4">
      <c r="B22" s="200" t="s">
        <v>119</v>
      </c>
      <c r="C22" s="200" t="s">
        <v>865</v>
      </c>
      <c r="D22" s="200">
        <f>IF(OR(UNKB0200_B_ALL_KENSU=0,UNKB0200_B_HYOJI_GYO_SU=0),1,ROUNDUP(UNKB0200_B_ALL_KENSU/UNKB0200_B_HYOJI_GYO_SU,0))</f>
        <v>1</v>
      </c>
    </row>
    <row r="23" spans="2:4">
      <c r="B23" s="200" t="s">
        <v>713</v>
      </c>
      <c r="C23" s="200" t="s">
        <v>866</v>
      </c>
      <c r="D23" s="200">
        <v>10</v>
      </c>
    </row>
    <row r="24" spans="2:4">
      <c r="B24" s="200" t="s">
        <v>714</v>
      </c>
      <c r="C24" s="200" t="s">
        <v>867</v>
      </c>
      <c r="D24" s="200">
        <v>2</v>
      </c>
    </row>
    <row r="25" spans="2:4">
      <c r="B25" s="201"/>
      <c r="C25" s="202"/>
      <c r="D25" s="201"/>
    </row>
    <row r="26" spans="2:4">
      <c r="B26" s="200" t="s">
        <v>128</v>
      </c>
      <c r="C26" s="200" t="s">
        <v>868</v>
      </c>
      <c r="D26" s="200" t="str">
        <f>ADDRESS(ROW(UNKB0200_B_SENTAKU)+1,COLUMN(UNKB0200_B_SENTAKU))</f>
        <v>$G$17</v>
      </c>
    </row>
    <row r="27" spans="2:4">
      <c r="B27" s="200" t="s">
        <v>715</v>
      </c>
      <c r="C27" s="200" t="s">
        <v>869</v>
      </c>
      <c r="D27" s="200" t="str">
        <f>ADDRESS(ROW(UNKB0200_B_SENTAKU)+1+UNKB0200_B_HYOJI_KENSU-1,COLUMN(UNKB0200_B_SENTAKU)+COLUMNS(UNKB0200_IF_LIST_COPY_MOTO)-1)</f>
        <v>$Q$26</v>
      </c>
    </row>
    <row r="28" spans="2:4">
      <c r="B28" s="200" t="s">
        <v>716</v>
      </c>
      <c r="C28" s="200" t="s">
        <v>951</v>
      </c>
      <c r="D28" s="200" t="b">
        <f>IF(UNKB0200_B_HYOJI_KENSU&lt;&gt;0,TRUE,FALSE)</f>
        <v>1</v>
      </c>
    </row>
    <row r="29" spans="2:4">
      <c r="B29" s="200" t="s">
        <v>717</v>
      </c>
      <c r="C29" s="200" t="s">
        <v>870</v>
      </c>
      <c r="D29" s="200" t="str">
        <f>IF(UNKB0200_B_HYOJI_KENSU=0,"",UNKB0200_B_LIST_START&amp;":"&amp;
ADDRESS(ROW(UNKB0200_B_SENTAKU)+1+UNKB0200_B_HYOJI_KENSU-1,COLUMN(UNKB0200_B_SENTAKU)+COLUMNS(UNKB0200_IF_LIST_COPY_MOTO)-1))</f>
        <v>$G$17:$Q$26</v>
      </c>
    </row>
    <row r="30" spans="2:4">
      <c r="B30" s="200" t="s">
        <v>719</v>
      </c>
      <c r="C30" s="200" t="s">
        <v>871</v>
      </c>
      <c r="D30" s="200" t="str">
        <f>ADDRESS(ROW(UNKB0200_B_SENTAKU)+1,COLUMN(UNKB0200_B_SENTAKU))&amp;":"&amp;
ADDRESS(ROW(UNKB0200_B_SENTAKU)+1+UNKB0200_B_HYOJI_GYO_SU-1,COLUMN(UNKB0200_B_SENTAKU)+COLUMNS(UNKB0200_IF_LIST_COPY_MOTO)-1)</f>
        <v>$G$17:$Q$18</v>
      </c>
    </row>
    <row r="31" spans="2:4">
      <c r="B31" s="201"/>
      <c r="C31" s="202"/>
      <c r="D31" s="201"/>
    </row>
    <row r="32" spans="2:4">
      <c r="B32" s="200" t="s">
        <v>122</v>
      </c>
      <c r="C32" s="200" t="s">
        <v>872</v>
      </c>
      <c r="D32" s="200">
        <f>UNKB0200_B_PAGE_NO+1</f>
        <v>2</v>
      </c>
    </row>
    <row r="33" spans="2:4">
      <c r="B33" s="200" t="s">
        <v>121</v>
      </c>
      <c r="C33" s="200" t="s">
        <v>873</v>
      </c>
      <c r="D33" s="200">
        <f>UNKB0200_B_PAGE_NO-1</f>
        <v>0</v>
      </c>
    </row>
    <row r="34" spans="2:4">
      <c r="B34" s="200" t="s">
        <v>720</v>
      </c>
      <c r="C34" s="200" t="s">
        <v>874</v>
      </c>
      <c r="D34" s="200">
        <f>IF(1&lt;UNKB0200_B_PAGE_NO,1,2)</f>
        <v>2</v>
      </c>
    </row>
    <row r="35" spans="2:4">
      <c r="B35" s="200" t="s">
        <v>721</v>
      </c>
      <c r="C35" s="200" t="s">
        <v>875</v>
      </c>
      <c r="D35" s="200">
        <f>IF(UNKB0200_B_PAGE_NO&lt;UNKB0200_B_ALL_PAGE_SU,1,2)</f>
        <v>2</v>
      </c>
    </row>
    <row r="37" spans="2:4">
      <c r="B37" s="200" t="s">
        <v>964</v>
      </c>
      <c r="C37" s="200" t="s">
        <v>965</v>
      </c>
      <c r="D37" s="200"/>
    </row>
    <row r="38" spans="2:4">
      <c r="B38" s="200" t="s">
        <v>967</v>
      </c>
      <c r="C38" s="200" t="s">
        <v>966</v>
      </c>
      <c r="D38" s="200">
        <f ca="1">IF(UNKB0200_B_SELECT_GYO_NO=0,0,INDIRECT(ADDRESS(UNKB0200_B_SELECT_GYO_NO,COLUMN(UNKB0200_B_SHIIRE_NO))))</f>
        <v>0</v>
      </c>
    </row>
  </sheetData>
  <sheetProtection sheet="1" objects="1" scenarios="1" selectLockedCells="1"/>
  <phoneticPr fontId="1"/>
  <conditionalFormatting sqref="I1:I14">
    <cfRule type="containsText" dxfId="36" priority="1" operator="containsText" text="準備納期外">
      <formula>NOT(ISERROR(SEARCH("準備納期外",I1)))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V21"/>
  <sheetViews>
    <sheetView workbookViewId="0">
      <selection activeCell="T9" sqref="T9:W9"/>
    </sheetView>
  </sheetViews>
  <sheetFormatPr defaultRowHeight="13.5"/>
  <cols>
    <col min="1" max="1" width="13.375" customWidth="1"/>
    <col min="2" max="2" width="11.375" customWidth="1"/>
    <col min="3" max="3" width="18" customWidth="1"/>
    <col min="4" max="4" width="7.5" customWidth="1"/>
    <col min="16" max="16" width="13.625" customWidth="1"/>
    <col min="17" max="17" width="14.25" customWidth="1"/>
    <col min="20" max="20" width="3" customWidth="1"/>
    <col min="21" max="21" width="2.625" customWidth="1"/>
    <col min="22" max="22" width="1.875" customWidth="1"/>
    <col min="23" max="23" width="2.125" customWidth="1"/>
    <col min="24" max="25" width="1.875" customWidth="1"/>
    <col min="26" max="26" width="1.625" customWidth="1"/>
    <col min="27" max="29" width="2.125" customWidth="1"/>
    <col min="30" max="30" width="1.75" customWidth="1"/>
    <col min="31" max="32" width="1.875" customWidth="1"/>
    <col min="33" max="34" width="2.25" customWidth="1"/>
    <col min="35" max="35" width="2.5" customWidth="1"/>
    <col min="36" max="38" width="2.375" customWidth="1"/>
    <col min="39" max="39" width="1.625" customWidth="1"/>
    <col min="40" max="41" width="1.875" customWidth="1"/>
    <col min="42" max="42" width="2.125" customWidth="1"/>
    <col min="43" max="43" width="2.375" customWidth="1"/>
    <col min="44" max="44" width="1.5" customWidth="1"/>
    <col min="45" max="46" width="2" customWidth="1"/>
    <col min="47" max="47" width="2.125" customWidth="1"/>
    <col min="48" max="48" width="10.125" customWidth="1"/>
    <col min="54" max="70" width="9" style="213"/>
    <col min="75" max="75" width="9" style="213"/>
    <col min="78" max="84" width="9" style="213"/>
    <col min="85" max="85" width="9" style="238"/>
    <col min="88" max="88" width="9" style="213"/>
    <col min="89" max="89" width="9" style="210"/>
    <col min="90" max="90" width="9" style="213"/>
    <col min="91" max="92" width="9" style="210"/>
    <col min="93" max="100" width="9" style="213"/>
  </cols>
  <sheetData>
    <row r="1" spans="1:100"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W1"/>
      <c r="BZ1"/>
      <c r="CA1"/>
      <c r="CB1" s="210"/>
      <c r="CC1" s="210"/>
      <c r="CD1" s="210"/>
      <c r="CE1" s="210"/>
      <c r="CF1" s="210"/>
      <c r="CG1" s="210"/>
      <c r="CJ1" s="210"/>
      <c r="CL1" s="210"/>
      <c r="CO1" s="210"/>
      <c r="CP1" s="210"/>
      <c r="CQ1" s="210"/>
      <c r="CR1" s="210"/>
      <c r="CS1" s="210"/>
      <c r="CT1" s="210"/>
      <c r="CU1" s="210"/>
      <c r="CV1" s="210"/>
    </row>
    <row r="2" spans="1:100">
      <c r="A2" s="5" t="s">
        <v>739</v>
      </c>
      <c r="O2" s="8"/>
      <c r="P2" s="8"/>
      <c r="Q2" s="8"/>
      <c r="R2" s="8"/>
      <c r="S2" s="42" t="s">
        <v>740</v>
      </c>
      <c r="T2" s="8" t="s">
        <v>934</v>
      </c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W2"/>
      <c r="BZ2"/>
      <c r="CA2"/>
      <c r="CB2" s="210"/>
      <c r="CC2" s="210"/>
      <c r="CD2" s="210"/>
      <c r="CE2" s="210"/>
      <c r="CF2" s="210"/>
      <c r="CG2" s="210"/>
      <c r="CJ2" s="210"/>
      <c r="CL2" s="210"/>
      <c r="CO2" s="210"/>
      <c r="CP2" s="210"/>
      <c r="CQ2" s="210"/>
      <c r="CR2" s="210"/>
      <c r="CS2" s="210"/>
      <c r="CT2" s="210"/>
      <c r="CU2" s="210"/>
      <c r="CV2" s="210"/>
    </row>
    <row r="3" spans="1:100" ht="16.5">
      <c r="D3" s="135" t="s">
        <v>96</v>
      </c>
      <c r="E3" s="135" t="s">
        <v>100</v>
      </c>
      <c r="F3" s="135" t="s">
        <v>659</v>
      </c>
      <c r="G3" s="135" t="s">
        <v>60</v>
      </c>
      <c r="H3" s="135" t="s">
        <v>98</v>
      </c>
      <c r="I3" s="135" t="s">
        <v>99</v>
      </c>
      <c r="J3" s="135" t="s">
        <v>75</v>
      </c>
      <c r="K3" s="135" t="s">
        <v>76</v>
      </c>
      <c r="L3" s="135" t="s">
        <v>101</v>
      </c>
      <c r="M3" s="135" t="s">
        <v>102</v>
      </c>
      <c r="N3" s="135" t="s">
        <v>103</v>
      </c>
      <c r="P3" s="5" t="s">
        <v>559</v>
      </c>
      <c r="AW3" s="5" t="s">
        <v>742</v>
      </c>
      <c r="AY3" t="s">
        <v>743</v>
      </c>
      <c r="AZ3" t="s">
        <v>955</v>
      </c>
      <c r="BB3" s="231"/>
      <c r="BC3" s="231"/>
      <c r="BD3" s="231"/>
      <c r="BE3" s="231"/>
      <c r="BF3" s="231"/>
      <c r="BG3" s="231"/>
      <c r="BH3" s="231"/>
      <c r="BI3" s="231"/>
      <c r="BJ3" s="231"/>
      <c r="BK3" s="231"/>
      <c r="BL3" s="231"/>
      <c r="BM3" s="231"/>
      <c r="BN3" s="231"/>
      <c r="BO3" s="231"/>
      <c r="BP3" s="231"/>
      <c r="BQ3" s="231"/>
      <c r="BR3" s="231"/>
      <c r="BS3" s="232"/>
      <c r="BT3" s="232"/>
      <c r="BU3" s="232"/>
      <c r="BV3" s="232"/>
      <c r="BW3" s="231"/>
      <c r="BX3" s="235"/>
      <c r="BY3" s="233"/>
      <c r="BZ3" s="231"/>
      <c r="CA3" s="231"/>
      <c r="CB3" s="231"/>
      <c r="CC3" s="231"/>
      <c r="CD3" s="231"/>
      <c r="CE3" s="231"/>
      <c r="CF3" s="231"/>
      <c r="CG3" s="237"/>
      <c r="CH3" s="232"/>
      <c r="CI3" s="232"/>
      <c r="CJ3" s="231"/>
      <c r="CK3" s="232"/>
      <c r="CL3" s="231"/>
      <c r="CM3" s="232"/>
      <c r="CN3" s="232"/>
      <c r="CO3" s="231"/>
      <c r="CP3" s="231"/>
      <c r="CQ3" s="231"/>
      <c r="CR3" s="231"/>
      <c r="CS3" s="231"/>
      <c r="CT3" s="231"/>
      <c r="CU3" s="231"/>
      <c r="CV3" s="231"/>
    </row>
    <row r="4" spans="1:100" ht="16.5">
      <c r="B4" t="s">
        <v>744</v>
      </c>
      <c r="C4" s="8" t="s">
        <v>931</v>
      </c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Q4" s="8" t="s">
        <v>922</v>
      </c>
      <c r="T4" s="254"/>
      <c r="U4" s="255"/>
      <c r="V4" s="255"/>
      <c r="W4" s="256"/>
      <c r="X4" s="18" t="s">
        <v>90</v>
      </c>
      <c r="Y4" s="254"/>
      <c r="Z4" s="255"/>
      <c r="AA4" s="255"/>
      <c r="AB4" s="256"/>
      <c r="AC4" s="14"/>
      <c r="AD4" s="14"/>
      <c r="AE4" s="14"/>
      <c r="AF4" s="15" t="s">
        <v>55</v>
      </c>
      <c r="AG4" s="247"/>
      <c r="AH4" s="248"/>
      <c r="AI4" s="248"/>
      <c r="AJ4" s="249"/>
      <c r="AK4" s="250" t="str">
        <f>IF(UNKB0200_H_SHIIRESAKI_CD="","",UNKB0200_H_SHIIRESAKI_MEI)</f>
        <v/>
      </c>
      <c r="AL4" s="251"/>
      <c r="AM4" s="251"/>
      <c r="AN4" s="251"/>
      <c r="AO4" s="251"/>
      <c r="AP4" s="251"/>
      <c r="AQ4" s="251"/>
      <c r="AR4" s="251"/>
      <c r="AS4" s="251"/>
      <c r="AT4" s="251"/>
      <c r="AU4" s="252"/>
      <c r="BB4" s="30" t="s">
        <v>490</v>
      </c>
      <c r="BC4" s="30" t="s">
        <v>491</v>
      </c>
      <c r="BD4" s="30" t="s">
        <v>1171</v>
      </c>
      <c r="BE4" s="30" t="s">
        <v>1172</v>
      </c>
      <c r="BF4" s="30" t="s">
        <v>1173</v>
      </c>
      <c r="BG4" s="30" t="s">
        <v>1174</v>
      </c>
      <c r="BH4" s="30" t="s">
        <v>1175</v>
      </c>
      <c r="BI4" s="30" t="s">
        <v>1176</v>
      </c>
      <c r="BJ4" s="30" t="s">
        <v>1177</v>
      </c>
      <c r="BK4" s="30" t="s">
        <v>1178</v>
      </c>
      <c r="BL4" s="30" t="s">
        <v>492</v>
      </c>
      <c r="BM4" s="30" t="s">
        <v>1179</v>
      </c>
      <c r="BN4" s="30" t="s">
        <v>493</v>
      </c>
      <c r="BO4" s="30" t="s">
        <v>1180</v>
      </c>
      <c r="BP4" s="30" t="s">
        <v>1181</v>
      </c>
      <c r="BQ4" s="30" t="s">
        <v>495</v>
      </c>
      <c r="BR4" s="30" t="s">
        <v>1182</v>
      </c>
      <c r="BS4" s="30" t="s">
        <v>189</v>
      </c>
      <c r="BT4" s="30" t="s">
        <v>190</v>
      </c>
      <c r="BU4" s="30" t="s">
        <v>191</v>
      </c>
      <c r="BV4" s="30" t="s">
        <v>192</v>
      </c>
      <c r="BW4" s="30" t="s">
        <v>496</v>
      </c>
      <c r="BX4" s="30" t="s">
        <v>193</v>
      </c>
      <c r="BY4" s="236" t="s">
        <v>194</v>
      </c>
      <c r="BZ4" s="236" t="s">
        <v>497</v>
      </c>
      <c r="CA4" s="236" t="s">
        <v>498</v>
      </c>
      <c r="CB4" s="236" t="s">
        <v>1184</v>
      </c>
      <c r="CC4" s="236" t="s">
        <v>1185</v>
      </c>
      <c r="CD4" s="236" t="s">
        <v>1186</v>
      </c>
      <c r="CE4" s="236" t="s">
        <v>1187</v>
      </c>
      <c r="CF4" s="236" t="s">
        <v>1188</v>
      </c>
      <c r="CG4" s="236" t="s">
        <v>1189</v>
      </c>
      <c r="CH4" s="236" t="s">
        <v>441</v>
      </c>
      <c r="CI4" s="236" t="s">
        <v>499</v>
      </c>
      <c r="CJ4" s="236" t="s">
        <v>195</v>
      </c>
      <c r="CK4" s="236" t="s">
        <v>500</v>
      </c>
      <c r="CL4" s="236" t="s">
        <v>196</v>
      </c>
      <c r="CM4" s="236" t="s">
        <v>501</v>
      </c>
      <c r="CN4" s="236" t="s">
        <v>502</v>
      </c>
      <c r="CO4" s="236" t="s">
        <v>503</v>
      </c>
      <c r="CP4" s="236" t="s">
        <v>625</v>
      </c>
      <c r="CQ4" s="236" t="s">
        <v>504</v>
      </c>
      <c r="CR4" s="236" t="s">
        <v>505</v>
      </c>
      <c r="CS4" s="236" t="s">
        <v>506</v>
      </c>
      <c r="CT4" s="236" t="s">
        <v>507</v>
      </c>
      <c r="CU4" s="236" t="s">
        <v>1183</v>
      </c>
      <c r="CV4" s="236" t="s">
        <v>197</v>
      </c>
    </row>
    <row r="5" spans="1:100" ht="16.5">
      <c r="B5" t="s">
        <v>750</v>
      </c>
      <c r="C5" s="8" t="s">
        <v>923</v>
      </c>
      <c r="D5" s="181"/>
      <c r="E5" s="143"/>
      <c r="F5" s="143"/>
      <c r="G5" s="143"/>
      <c r="H5" s="142"/>
      <c r="I5" s="142"/>
      <c r="J5" s="143"/>
      <c r="K5" s="178"/>
      <c r="L5" s="143"/>
      <c r="M5" s="179"/>
      <c r="N5" s="143"/>
      <c r="P5" s="144" t="s">
        <v>86</v>
      </c>
      <c r="Q5" s="145" t="b">
        <v>1</v>
      </c>
      <c r="T5" s="246"/>
      <c r="U5" s="246"/>
      <c r="V5" s="246"/>
      <c r="W5" s="246"/>
      <c r="X5" s="18" t="s">
        <v>53</v>
      </c>
      <c r="Y5" s="246"/>
      <c r="Z5" s="246"/>
      <c r="AA5" s="246"/>
      <c r="AB5" s="246"/>
      <c r="AC5" s="14"/>
      <c r="AD5" s="14"/>
      <c r="AE5" s="14"/>
      <c r="AF5" s="15" t="s">
        <v>54</v>
      </c>
      <c r="AG5" s="247"/>
      <c r="AH5" s="248"/>
      <c r="AI5" s="248"/>
      <c r="AJ5" s="249"/>
      <c r="AK5" s="250" t="str">
        <f>IF(UNKB0200_H_KOBAIHIN_CD="","",UNKB0200_H_KOBAIHIN_MEI)</f>
        <v/>
      </c>
      <c r="AL5" s="251"/>
      <c r="AM5" s="251"/>
      <c r="AN5" s="251"/>
      <c r="AO5" s="251"/>
      <c r="AP5" s="251"/>
      <c r="AQ5" s="251"/>
      <c r="AR5" s="251"/>
      <c r="AS5" s="251"/>
      <c r="AT5" s="251"/>
      <c r="AU5" s="252"/>
      <c r="BB5" s="234"/>
    </row>
    <row r="6" spans="1:100" ht="16.5">
      <c r="P6" s="144" t="s">
        <v>932</v>
      </c>
      <c r="Q6" s="150" t="b">
        <v>1</v>
      </c>
      <c r="T6" s="246"/>
      <c r="U6" s="246"/>
      <c r="V6" s="246"/>
      <c r="W6" s="246"/>
      <c r="X6" s="18" t="s">
        <v>53</v>
      </c>
      <c r="Y6" s="246"/>
      <c r="Z6" s="246"/>
      <c r="AA6" s="246"/>
      <c r="AB6" s="246"/>
      <c r="AC6" s="14"/>
      <c r="AD6" s="14"/>
      <c r="AE6" s="14"/>
      <c r="AF6" s="15" t="s">
        <v>57</v>
      </c>
      <c r="AG6" s="247"/>
      <c r="AH6" s="248"/>
      <c r="AI6" s="248"/>
      <c r="AJ6" s="249"/>
      <c r="AK6" s="250" t="str">
        <f>IF(UNKB0200_H_MAKER_CD="","",UNKB0200_H_MAKER_MEI)</f>
        <v/>
      </c>
      <c r="AL6" s="251"/>
      <c r="AM6" s="251"/>
      <c r="AN6" s="251"/>
      <c r="AO6" s="251"/>
      <c r="AP6" s="251"/>
      <c r="AQ6" s="251"/>
      <c r="AR6" s="251"/>
      <c r="AS6" s="251"/>
      <c r="AT6" s="251"/>
      <c r="AU6" s="252"/>
      <c r="AX6" t="s">
        <v>752</v>
      </c>
      <c r="AY6" s="8" t="s">
        <v>924</v>
      </c>
      <c r="AZ6" s="43">
        <v>1</v>
      </c>
    </row>
    <row r="7" spans="1:100" ht="16.5">
      <c r="B7" s="8"/>
      <c r="C7" s="8"/>
      <c r="D7" s="8"/>
      <c r="P7" s="20" t="s">
        <v>858</v>
      </c>
      <c r="Q7" s="150" t="b">
        <v>1</v>
      </c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X7" t="s">
        <v>229</v>
      </c>
      <c r="AY7" t="s">
        <v>949</v>
      </c>
      <c r="AZ7" s="43" t="str">
        <f>IF(UNKB0200_IF_PRINT_COUNT=0,"",
"UNKB0200_IF!"&amp;ADDRESS(ROW(UNKB0200_IF_PRINT_START),COLUMN(UNKB0200_IF_PRINT_START))&amp;":" &amp; ADDRESS(ROW(UNKB0200_IF_PRINT_START)+UNKB0200_IF_PRINT_COUNT-1,COLUMN(UNKB0200_IF_PRINT_START)+COLUMNS(UNKB0200_IF_PRINT_SHOSHIKI_COPY_MOTO)-1))</f>
        <v>UNKB0200_IF!$BB$5:$CV$5</v>
      </c>
    </row>
    <row r="8" spans="1:100" ht="16.5">
      <c r="A8" s="42" t="s">
        <v>753</v>
      </c>
      <c r="B8" s="8" t="s">
        <v>148</v>
      </c>
      <c r="C8" s="8" t="s">
        <v>926</v>
      </c>
      <c r="D8" s="9"/>
      <c r="E8" s="8" t="s">
        <v>149</v>
      </c>
      <c r="F8" s="8" t="s">
        <v>150</v>
      </c>
      <c r="P8" s="144" t="s">
        <v>536</v>
      </c>
      <c r="Q8" s="150" t="b">
        <v>1</v>
      </c>
      <c r="T8" s="254"/>
      <c r="U8" s="255"/>
      <c r="V8" s="255"/>
      <c r="W8" s="256"/>
      <c r="X8" s="14"/>
      <c r="Y8" s="14"/>
      <c r="Z8" s="14"/>
      <c r="AA8" s="14"/>
      <c r="AB8" s="14"/>
      <c r="AC8" s="14"/>
      <c r="AD8" s="14"/>
      <c r="AE8" s="14"/>
      <c r="AF8" s="15" t="s">
        <v>92</v>
      </c>
      <c r="AG8" s="243"/>
      <c r="AH8" s="244"/>
      <c r="AI8" s="244"/>
      <c r="AJ8" s="245"/>
      <c r="AK8" s="14"/>
      <c r="AL8" s="14"/>
      <c r="AM8" s="14"/>
      <c r="AN8" s="14"/>
      <c r="AO8" s="14"/>
      <c r="AP8" s="14"/>
      <c r="AQ8" s="15" t="s">
        <v>1166</v>
      </c>
      <c r="AR8" s="254"/>
      <c r="AS8" s="255"/>
      <c r="AT8" s="255"/>
      <c r="AU8" s="256"/>
      <c r="AX8" t="s">
        <v>754</v>
      </c>
      <c r="AY8" t="s">
        <v>925</v>
      </c>
      <c r="AZ8" s="43" t="b">
        <f>IF(UNKB0200_IF_PRINT_COUNT=0,FALSE,TRUE)</f>
        <v>1</v>
      </c>
    </row>
    <row r="9" spans="1:100" ht="16.5">
      <c r="A9" s="8"/>
      <c r="B9" s="8"/>
      <c r="C9" s="8"/>
      <c r="E9" s="8"/>
      <c r="F9" s="8"/>
      <c r="P9" s="144" t="s">
        <v>42</v>
      </c>
      <c r="Q9" s="150" t="b">
        <v>1</v>
      </c>
      <c r="T9" s="253"/>
      <c r="U9" s="253"/>
      <c r="V9" s="253"/>
      <c r="W9" s="253"/>
      <c r="X9" s="14"/>
      <c r="Y9" s="14"/>
      <c r="Z9" s="14"/>
      <c r="AA9" s="14"/>
      <c r="AB9" s="14"/>
      <c r="AC9" s="14"/>
      <c r="AD9" s="14"/>
      <c r="AE9" s="14"/>
      <c r="AF9" s="15" t="s">
        <v>93</v>
      </c>
      <c r="AG9" s="254"/>
      <c r="AH9" s="255"/>
      <c r="AI9" s="255"/>
      <c r="AJ9" s="256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</row>
    <row r="10" spans="1:100" ht="16.5">
      <c r="A10" s="8"/>
      <c r="B10" s="8"/>
      <c r="C10" s="8"/>
      <c r="E10" s="8"/>
      <c r="F10" s="8"/>
      <c r="P10" s="144" t="s">
        <v>632</v>
      </c>
      <c r="Q10" s="150" t="b">
        <v>1</v>
      </c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X10" t="s">
        <v>756</v>
      </c>
      <c r="AY10" s="8" t="s">
        <v>954</v>
      </c>
      <c r="AZ10" s="43" t="str">
        <f ca="1">"仕入検索_"&amp;TEXT(NOW(),"YYYYMMDD")&amp;"_"&amp;TEXT(NOW(),"hhmmss")</f>
        <v>仕入検索_20170714_174053</v>
      </c>
    </row>
    <row r="11" spans="1:100" ht="16.5">
      <c r="A11" s="8"/>
      <c r="B11" s="8"/>
      <c r="C11" s="73"/>
      <c r="F11" s="8"/>
      <c r="P11" s="144" t="s">
        <v>44</v>
      </c>
      <c r="Q11" s="150" t="b">
        <v>1</v>
      </c>
      <c r="T11" s="242"/>
      <c r="U11" s="242"/>
      <c r="V11" s="242"/>
      <c r="W11" s="242"/>
      <c r="X11" s="19" t="str">
        <f>IF(UNKB0200_H_FREEWD_KBN=1,"AND",IF(UNKB0200_H_FREEWD_KBN=2,"OR","NAND"))</f>
        <v>AND</v>
      </c>
      <c r="Y11" s="242"/>
      <c r="Z11" s="242"/>
      <c r="AA11" s="242"/>
      <c r="AB11" s="242"/>
      <c r="AC11" s="19" t="str">
        <f>UNKB0200_H_FREEWD_KBN_DISP</f>
        <v>AND</v>
      </c>
      <c r="AD11" s="242"/>
      <c r="AE11" s="242"/>
      <c r="AF11" s="242"/>
      <c r="AG11" s="242"/>
      <c r="AH11" s="14"/>
      <c r="AI11" s="14"/>
      <c r="AJ11" s="14"/>
      <c r="AK11" s="14"/>
      <c r="AL11" s="14"/>
      <c r="AM11" s="14"/>
      <c r="AN11" s="14"/>
      <c r="AO11" s="14"/>
      <c r="AP11" s="15"/>
      <c r="AQ11" s="14" t="s">
        <v>95</v>
      </c>
      <c r="AR11" s="14"/>
      <c r="AS11" s="14"/>
      <c r="AT11" s="14"/>
      <c r="AU11" s="14"/>
    </row>
    <row r="12" spans="1:100" ht="16.5">
      <c r="A12" s="5" t="s">
        <v>269</v>
      </c>
      <c r="B12" t="s">
        <v>270</v>
      </c>
      <c r="C12" s="8" t="s">
        <v>927</v>
      </c>
      <c r="D12" s="74"/>
      <c r="P12" s="144" t="s">
        <v>45</v>
      </c>
      <c r="Q12" s="150" t="b">
        <v>1</v>
      </c>
    </row>
    <row r="13" spans="1:100" ht="16.5">
      <c r="B13" t="s">
        <v>271</v>
      </c>
      <c r="C13" s="8" t="s">
        <v>928</v>
      </c>
      <c r="D13" s="74"/>
      <c r="P13" s="144" t="s">
        <v>933</v>
      </c>
      <c r="Q13" s="150" t="b">
        <v>0</v>
      </c>
    </row>
    <row r="14" spans="1:100" ht="16.5">
      <c r="B14" t="s">
        <v>273</v>
      </c>
      <c r="C14" s="8" t="s">
        <v>929</v>
      </c>
      <c r="D14" s="74"/>
      <c r="P14" s="144" t="s">
        <v>492</v>
      </c>
      <c r="Q14" s="150"/>
    </row>
    <row r="15" spans="1:100" ht="16.5">
      <c r="C15" s="8"/>
      <c r="P15" s="144" t="s">
        <v>556</v>
      </c>
      <c r="Q15" s="150"/>
      <c r="T15" s="8"/>
    </row>
    <row r="16" spans="1:100" ht="16.5">
      <c r="B16" t="s">
        <v>275</v>
      </c>
      <c r="C16" s="8" t="s">
        <v>930</v>
      </c>
      <c r="D16" s="74"/>
      <c r="P16" s="144" t="s">
        <v>637</v>
      </c>
      <c r="Q16" s="150"/>
    </row>
    <row r="17" spans="1:17" ht="16.5">
      <c r="P17" s="144" t="s">
        <v>76</v>
      </c>
      <c r="Q17" s="150"/>
    </row>
    <row r="18" spans="1:17" ht="16.5">
      <c r="P18" s="144" t="s">
        <v>78</v>
      </c>
      <c r="Q18" s="150"/>
    </row>
    <row r="19" spans="1:17" ht="16.5">
      <c r="A19" s="5"/>
      <c r="C19" s="8"/>
      <c r="P19" s="144" t="s">
        <v>638</v>
      </c>
      <c r="Q19" s="153">
        <v>1</v>
      </c>
    </row>
    <row r="20" spans="1:17" ht="16.5">
      <c r="P20" s="144"/>
    </row>
    <row r="21" spans="1:17" ht="16.5">
      <c r="P21" s="152"/>
    </row>
  </sheetData>
  <mergeCells count="20">
    <mergeCell ref="T11:W11"/>
    <mergeCell ref="Y11:AB11"/>
    <mergeCell ref="AD11:AG11"/>
    <mergeCell ref="T4:W4"/>
    <mergeCell ref="AG4:AJ4"/>
    <mergeCell ref="T8:W8"/>
    <mergeCell ref="AG8:AJ8"/>
    <mergeCell ref="T9:W9"/>
    <mergeCell ref="AG9:AJ9"/>
    <mergeCell ref="T6:W6"/>
    <mergeCell ref="Y6:AB6"/>
    <mergeCell ref="AG6:AJ6"/>
    <mergeCell ref="AK6:AU6"/>
    <mergeCell ref="T5:W5"/>
    <mergeCell ref="AG5:AJ5"/>
    <mergeCell ref="AR8:AU8"/>
    <mergeCell ref="Y4:AB4"/>
    <mergeCell ref="AK4:AU4"/>
    <mergeCell ref="Y5:AB5"/>
    <mergeCell ref="AK5:AU5"/>
  </mergeCells>
  <phoneticPr fontId="1"/>
  <conditionalFormatting sqref="D5:N5">
    <cfRule type="expression" dxfId="35" priority="5">
      <formula>CELL("row")=ROW()</formula>
    </cfRule>
  </conditionalFormatting>
  <dataValidations count="3">
    <dataValidation type="custom" allowBlank="1" showInputMessage="1" showErrorMessage="1" sqref="T4:W4 Y4:AB4 AG9:AJ9 T8:W8 AR8:AU8">
      <formula1>AND(LEN(T4)=LENB(T4),LEN(T4)=10)</formula1>
    </dataValidation>
    <dataValidation type="date" allowBlank="1" showInputMessage="1" showErrorMessage="1" sqref="T5:W6 Y5:AB6">
      <formula1>36526</formula1>
      <formula2>73415</formula2>
    </dataValidation>
    <dataValidation type="custom" allowBlank="1" showInputMessage="1" showErrorMessage="1" sqref="T9:W9">
      <formula1>AND(LEN(T9)=LENB(T9),LEN(T9)&lt;=10)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5:H56"/>
  <sheetViews>
    <sheetView zoomScaleNormal="100" workbookViewId="0">
      <selection activeCell="F9" sqref="F9"/>
    </sheetView>
  </sheetViews>
  <sheetFormatPr defaultRowHeight="15" customHeight="1"/>
  <cols>
    <col min="2" max="2" width="3.5" customWidth="1"/>
    <col min="3" max="3" width="3.125" customWidth="1"/>
    <col min="4" max="4" width="3.25" customWidth="1"/>
    <col min="5" max="5" width="25.125" bestFit="1" customWidth="1"/>
    <col min="6" max="6" width="82.625" bestFit="1" customWidth="1"/>
    <col min="7" max="7" width="8.375" bestFit="1" customWidth="1"/>
    <col min="8" max="8" width="40.375" bestFit="1" customWidth="1"/>
  </cols>
  <sheetData>
    <row r="5" spans="2:8" ht="15" customHeight="1">
      <c r="B5" s="267" t="s">
        <v>759</v>
      </c>
      <c r="C5" s="268"/>
      <c r="D5" s="268"/>
      <c r="E5" s="269"/>
      <c r="F5" s="154"/>
      <c r="G5" s="154"/>
      <c r="H5" s="155" t="s">
        <v>314</v>
      </c>
    </row>
    <row r="6" spans="2:8" ht="15" customHeight="1">
      <c r="B6" s="270" t="s">
        <v>760</v>
      </c>
      <c r="C6" s="271"/>
      <c r="D6" s="271"/>
      <c r="E6" s="272"/>
      <c r="F6" s="156" t="str">
        <f>F7 &amp; F8 &amp; F16 &amp; UNKB0200_SQL_SORT &amp; F48</f>
        <v>SELECT
       V_SHIIRE_KENSAKU_LIST.GYO_MOJI                  -- 選択
      ,V_SHIIRE_KENSAKU_LIST.SHIIRE_NO                 -- 仕入No.
      ,V_SHIIRE_KENSAKU_LIST.SHIIRE_STS_MEI            -- 仕入ステータス名
      ,V_SHIIRE_KENSAKU_LIST.KOBAI_KBN_MEI             -- 購買区分名
      ,V_SHIIRE_KENSAKU_LIST.SHIIRE_DATE               -- 仕入日
      ,V_SHIIRE_KENSAKU_LIST.SHIHARAI_DATE             -- 支払予定日
      ,V_SHIIRE_KENSAKU_LIST.SHIIRE_CD                 -- 仕入先CD
      ,V_SHIIRE_KENSAKU_LIST.SHIIRE_MEI                -- 仕入先名
      ,V_SHIIRE_KENSAKU_LIST.SHOKAN_NO                 -- 商管伝票No.
      ,V_SHIIRE_KENSAKU_LIST.SHOKAN_LINK_DATETIME      -- 連動日時
      ,CASE V_SHIIRE_KENSAKU_LIST.DEL_FLG
       WHEN 'True' THEN '×'
       ELSE NULL
       END                             AS  DEL_FLG    -- 削除表示
 FROM V_SHIIRE_KENSAKU_LIST
 WHERE 1=1
 AND (1!=1  
 OR V_SHIIRE_KENSAKU_LIST.SHIIRE_STS = 1 
 OR V_SHIIRE_KENSAKU_LIST.SHIIRE_STS = 2 
 OR V_SHIIRE_KENSAKU_LIST.SHIIRE_STS = 3) AND (1!=1  
 OR V_SHIIRE_KENSAKU_LIST.KOBAI_KBN = 1 
 OR V_SHIIRE_KENSAKU_LIST.KOBAI_KBN = 2 
 OR V_SHIIRE_KENSAKU_LIST.KOBAI_KBN = 3 
 OR V_SHIIRE_KENSAKU_LIST.KOBAI_KBN = 4 
 OR V_SHIIRE_KENSAKU_LIST.KOBAI_KBN = 5)  
 AND ISNULL(V_SHIIRE_KENSAKU_LIST.DEL_DISP,'') &lt;&gt; '×'
   OFFSET 0*2 ROWS
 FETCH NEXT 2 ROWS ONLY</v>
      </c>
      <c r="G6" s="156"/>
      <c r="H6" s="157" t="s">
        <v>948</v>
      </c>
    </row>
    <row r="7" spans="2:8" ht="15" customHeight="1">
      <c r="B7" s="158"/>
      <c r="C7" s="266" t="s">
        <v>323</v>
      </c>
      <c r="D7" s="266"/>
      <c r="E7" s="266"/>
      <c r="F7" s="162" t="s">
        <v>953</v>
      </c>
      <c r="G7" s="160"/>
      <c r="H7" s="161"/>
    </row>
    <row r="8" spans="2:8" ht="15" customHeight="1">
      <c r="B8" s="158"/>
      <c r="C8" s="266" t="s">
        <v>762</v>
      </c>
      <c r="D8" s="266"/>
      <c r="E8" s="266"/>
      <c r="F8" s="159" t="s">
        <v>936</v>
      </c>
      <c r="G8" s="160"/>
      <c r="H8" s="161"/>
    </row>
    <row r="9" spans="2:8" ht="15" customHeight="1">
      <c r="B9" s="270" t="s">
        <v>763</v>
      </c>
      <c r="C9" s="271"/>
      <c r="D9" s="271"/>
      <c r="E9" s="272"/>
      <c r="F9" s="156" t="str">
        <f>F10&amp;F11&amp;F16</f>
        <v xml:space="preserve">SELECT
       V_SHIIRE_EXCEL.*
  FROM V_SHIIRE_KENSAKU_LIST
  LEFT JOIN
       V_SHIIRE_EXCEL
    ON V_SHIIRE_EXCEL.SHIIRE_NO = V_SHIIRE_KENSAKU_LIST.SHIIRE_NO
 WHERE 1=1
 AND (1!=1  
 OR V_SHIIRE_KENSAKU_LIST.SHIIRE_STS = 1 
 OR V_SHIIRE_KENSAKU_LIST.SHIIRE_STS = 2 
 OR V_SHIIRE_KENSAKU_LIST.SHIIRE_STS = 3) AND (1!=1  
 OR V_SHIIRE_KENSAKU_LIST.KOBAI_KBN = 1 
 OR V_SHIIRE_KENSAKU_LIST.KOBAI_KBN = 2 
 OR V_SHIIRE_KENSAKU_LIST.KOBAI_KBN = 3 
 OR V_SHIIRE_KENSAKU_LIST.KOBAI_KBN = 4 
 OR V_SHIIRE_KENSAKU_LIST.KOBAI_KBN = 5)  
 AND ISNULL(V_SHIIRE_KENSAKU_LIST.DEL_DISP,'') &lt;&gt; '×'
  </v>
      </c>
      <c r="G9" s="156"/>
      <c r="H9" s="157" t="s">
        <v>937</v>
      </c>
    </row>
    <row r="10" spans="2:8" ht="15" customHeight="1">
      <c r="B10" s="158"/>
      <c r="C10" s="266" t="s">
        <v>576</v>
      </c>
      <c r="D10" s="266"/>
      <c r="E10" s="266"/>
      <c r="F10" s="162" t="s">
        <v>1169</v>
      </c>
      <c r="G10" s="160"/>
      <c r="H10" s="161"/>
    </row>
    <row r="11" spans="2:8" ht="15" customHeight="1">
      <c r="B11" s="158"/>
      <c r="C11" s="266" t="s">
        <v>762</v>
      </c>
      <c r="D11" s="266"/>
      <c r="E11" s="266"/>
      <c r="F11" s="162" t="s">
        <v>1170</v>
      </c>
      <c r="G11" s="160"/>
      <c r="H11" s="161"/>
    </row>
    <row r="12" spans="2:8" ht="15" customHeight="1">
      <c r="B12" s="270" t="s">
        <v>776</v>
      </c>
      <c r="C12" s="271"/>
      <c r="D12" s="271"/>
      <c r="E12" s="272"/>
      <c r="F12" s="156" t="str">
        <f>F13 &amp; F14 &amp; F16</f>
        <v xml:space="preserve">SELECT COUNT(*) AS CNT
 FROM V_SHIIRE_KENSAKU_LIST
 WHERE 1=1
 AND (1!=1  
 OR V_SHIIRE_KENSAKU_LIST.SHIIRE_STS = 1 
 OR V_SHIIRE_KENSAKU_LIST.SHIIRE_STS = 2 
 OR V_SHIIRE_KENSAKU_LIST.SHIIRE_STS = 3) AND (1!=1  
 OR V_SHIIRE_KENSAKU_LIST.KOBAI_KBN = 1 
 OR V_SHIIRE_KENSAKU_LIST.KOBAI_KBN = 2 
 OR V_SHIIRE_KENSAKU_LIST.KOBAI_KBN = 3 
 OR V_SHIIRE_KENSAKU_LIST.KOBAI_KBN = 4 
 OR V_SHIIRE_KENSAKU_LIST.KOBAI_KBN = 5)  
 AND ISNULL(V_SHIIRE_KENSAKU_LIST.DEL_DISP,'') &lt;&gt; '×'
  </v>
      </c>
      <c r="G12" s="156"/>
      <c r="H12" s="157" t="s">
        <v>938</v>
      </c>
    </row>
    <row r="13" spans="2:8" ht="15" customHeight="1">
      <c r="B13" s="158"/>
      <c r="C13" s="266" t="s">
        <v>323</v>
      </c>
      <c r="D13" s="266"/>
      <c r="E13" s="266"/>
      <c r="F13" s="159" t="s">
        <v>777</v>
      </c>
      <c r="G13" s="160"/>
      <c r="H13" s="161"/>
    </row>
    <row r="14" spans="2:8" ht="15" customHeight="1">
      <c r="B14" s="158"/>
      <c r="C14" s="266" t="s">
        <v>762</v>
      </c>
      <c r="D14" s="266"/>
      <c r="E14" s="266"/>
      <c r="F14" s="162" t="s">
        <v>935</v>
      </c>
      <c r="G14" s="160"/>
      <c r="H14" s="161"/>
    </row>
    <row r="15" spans="2:8" ht="15" customHeight="1">
      <c r="B15" s="270" t="s">
        <v>764</v>
      </c>
      <c r="C15" s="271"/>
      <c r="D15" s="271"/>
      <c r="E15" s="272"/>
      <c r="F15" s="156"/>
      <c r="G15" s="156"/>
      <c r="H15" s="157"/>
    </row>
    <row r="16" spans="2:8" ht="15" customHeight="1">
      <c r="B16" s="158"/>
      <c r="C16" s="266" t="s">
        <v>779</v>
      </c>
      <c r="D16" s="266"/>
      <c r="E16" s="266"/>
      <c r="F16" s="162" t="str">
        <f>" WHERE 1=1
" &amp;F17 &amp; F21 &amp; F27 &amp; F28 &amp; F29 &amp; F30 &amp; F31 &amp; F32 &amp; F33 &amp; F34 &amp; F35 &amp; F36 &amp; F37 &amp; F38 &amp; F39 &amp; F40 &amp; F41 &amp; F46</f>
        <v xml:space="preserve"> WHERE 1=1
 AND (1!=1  
 OR V_SHIIRE_KENSAKU_LIST.SHIIRE_STS = 1 
 OR V_SHIIRE_KENSAKU_LIST.SHIIRE_STS = 2 
 OR V_SHIIRE_KENSAKU_LIST.SHIIRE_STS = 3) AND (1!=1  
 OR V_SHIIRE_KENSAKU_LIST.KOBAI_KBN = 1 
 OR V_SHIIRE_KENSAKU_LIST.KOBAI_KBN = 2 
 OR V_SHIIRE_KENSAKU_LIST.KOBAI_KBN = 3 
 OR V_SHIIRE_KENSAKU_LIST.KOBAI_KBN = 4 
 OR V_SHIIRE_KENSAKU_LIST.KOBAI_KBN = 5)  
 AND ISNULL(V_SHIIRE_KENSAKU_LIST.DEL_DISP,'') &lt;&gt; '×'
  </v>
      </c>
      <c r="G16" s="160"/>
      <c r="H16" s="161"/>
    </row>
    <row r="17" spans="2:8" ht="15" customHeight="1">
      <c r="B17" s="158"/>
      <c r="C17" s="163"/>
      <c r="D17" s="274" t="s">
        <v>942</v>
      </c>
      <c r="E17" s="265"/>
      <c r="F17" s="162" t="str">
        <f>" AND (1!=1 "&amp; F18 &amp; F19 &amp; F20 &amp;")"</f>
        <v xml:space="preserve"> AND (1!=1  
 OR V_SHIIRE_KENSAKU_LIST.SHIIRE_STS = 1 
 OR V_SHIIRE_KENSAKU_LIST.SHIIRE_STS = 2 
 OR V_SHIIRE_KENSAKU_LIST.SHIIRE_STS = 3)</v>
      </c>
      <c r="G17" s="160"/>
      <c r="H17" s="161"/>
    </row>
    <row r="18" spans="2:8" ht="15" customHeight="1">
      <c r="B18" s="158"/>
      <c r="C18" s="164"/>
      <c r="D18" s="275"/>
      <c r="E18" s="165" t="s">
        <v>86</v>
      </c>
      <c r="F18" s="166" t="str">
        <f>IF(G18," 
 OR V_SHIIRE_KENSAKU_LIST.SHIIRE_STS = 1","")</f>
        <v xml:space="preserve"> 
 OR V_SHIIRE_KENSAKU_LIST.SHIIRE_STS = 1</v>
      </c>
      <c r="G18" s="166" t="b">
        <f>UNKB0200_H_MITOTSUGO_STS_S</f>
        <v>1</v>
      </c>
      <c r="H18" s="167"/>
    </row>
    <row r="19" spans="2:8" ht="15" customHeight="1">
      <c r="B19" s="158"/>
      <c r="C19" s="164"/>
      <c r="D19" s="276"/>
      <c r="E19" s="165" t="s">
        <v>932</v>
      </c>
      <c r="F19" s="166" t="str">
        <f>IF(G19," 
 OR V_SHIIRE_KENSAKU_LIST.SHIIRE_STS = 2","")</f>
        <v xml:space="preserve"> 
 OR V_SHIIRE_KENSAKU_LIST.SHIIRE_STS = 2</v>
      </c>
      <c r="G19" s="166" t="b">
        <f>UNKB0200_H_TOTSUGOSUMI_STS_S</f>
        <v>1</v>
      </c>
      <c r="H19" s="167"/>
    </row>
    <row r="20" spans="2:8" ht="15" customHeight="1">
      <c r="B20" s="158"/>
      <c r="C20" s="164"/>
      <c r="D20" s="276"/>
      <c r="E20" s="165" t="s">
        <v>858</v>
      </c>
      <c r="F20" s="166" t="str">
        <f>IF(G20," 
 OR V_SHIIRE_KENSAKU_LIST.SHIIRE_STS = 3","")</f>
        <v xml:space="preserve"> 
 OR V_SHIIRE_KENSAKU_LIST.SHIIRE_STS = 3</v>
      </c>
      <c r="G20" s="166" t="b">
        <f>UNKB0200_H_SHIIRE_LINK_STS_S</f>
        <v>1</v>
      </c>
      <c r="H20" s="167"/>
    </row>
    <row r="21" spans="2:8" ht="15" customHeight="1">
      <c r="B21" s="158"/>
      <c r="C21" s="164"/>
      <c r="D21" s="274" t="s">
        <v>941</v>
      </c>
      <c r="E21" s="265"/>
      <c r="F21" s="162" t="str">
        <f>" AND (1!=1 " &amp;F22 &amp; F23 &amp; F24 &amp; F25 &amp; F26 &amp;")"</f>
        <v xml:space="preserve"> AND (1!=1  
 OR V_SHIIRE_KENSAKU_LIST.KOBAI_KBN = 1 
 OR V_SHIIRE_KENSAKU_LIST.KOBAI_KBN = 2 
 OR V_SHIIRE_KENSAKU_LIST.KOBAI_KBN = 3 
 OR V_SHIIRE_KENSAKU_LIST.KOBAI_KBN = 4 
 OR V_SHIIRE_KENSAKU_LIST.KOBAI_KBN = 5)</v>
      </c>
      <c r="G21" s="160"/>
      <c r="H21" s="161"/>
    </row>
    <row r="22" spans="2:8" ht="15" customHeight="1">
      <c r="B22" s="158"/>
      <c r="C22" s="164"/>
      <c r="D22" s="276"/>
      <c r="E22" s="165" t="s">
        <v>536</v>
      </c>
      <c r="F22" s="166" t="str">
        <f>IF(G22," 
 OR V_SHIIRE_KENSAKU_LIST.KOBAI_KBN = 1","")</f>
        <v xml:space="preserve"> 
 OR V_SHIIRE_KENSAKU_LIST.KOBAI_KBN = 1</v>
      </c>
      <c r="G22" s="166" t="b">
        <f>UNKB0200_H_KOBAIHIN_KBN_S</f>
        <v>1</v>
      </c>
      <c r="H22" s="167"/>
    </row>
    <row r="23" spans="2:8" ht="15" customHeight="1">
      <c r="B23" s="158"/>
      <c r="C23" s="164"/>
      <c r="D23" s="276"/>
      <c r="E23" s="165" t="s">
        <v>42</v>
      </c>
      <c r="F23" s="166" t="str">
        <f>IF(G23," 
 OR V_SHIIRE_KENSAKU_LIST.KOBAI_KBN = 2","")</f>
        <v xml:space="preserve"> 
 OR V_SHIIRE_KENSAKU_LIST.KOBAI_KBN = 2</v>
      </c>
      <c r="G23" s="166" t="b">
        <f>UNKB0200_H_GAICHU_KBN_S</f>
        <v>1</v>
      </c>
      <c r="H23" s="167"/>
    </row>
    <row r="24" spans="2:8" ht="15" customHeight="1">
      <c r="B24" s="158"/>
      <c r="C24" s="164"/>
      <c r="D24" s="276"/>
      <c r="E24" s="165" t="s">
        <v>632</v>
      </c>
      <c r="F24" s="166" t="str">
        <f>IF(G24," 
 OR V_SHIIRE_KENSAKU_LIST.KOBAI_KBN = 3","")</f>
        <v xml:space="preserve"> 
 OR V_SHIIRE_KENSAKU_LIST.KOBAI_KBN = 3</v>
      </c>
      <c r="G24" s="166" t="b">
        <f>UNKB0200_H_SHUZEN_KBN_S</f>
        <v>1</v>
      </c>
      <c r="H24" s="167"/>
    </row>
    <row r="25" spans="2:8" ht="15" customHeight="1">
      <c r="B25" s="158"/>
      <c r="C25" s="164"/>
      <c r="D25" s="276"/>
      <c r="E25" s="165" t="s">
        <v>44</v>
      </c>
      <c r="F25" s="166" t="str">
        <f>IF(G25," 
 OR V_SHIIRE_KENSAKU_LIST.KOBAI_KBN = 4","")</f>
        <v xml:space="preserve"> 
 OR V_SHIIRE_KENSAKU_LIST.KOBAI_KBN = 4</v>
      </c>
      <c r="G25" s="166" t="b">
        <f>UNKB0200_H_TOSHI_KBN_S</f>
        <v>1</v>
      </c>
      <c r="H25" s="167"/>
    </row>
    <row r="26" spans="2:8" ht="15" customHeight="1">
      <c r="B26" s="158"/>
      <c r="C26" s="164"/>
      <c r="D26" s="276"/>
      <c r="E26" s="165" t="s">
        <v>45</v>
      </c>
      <c r="F26" s="166" t="str">
        <f>IF(G26," 
 OR V_SHIIRE_KENSAKU_LIST.KOBAI_KBN = 5","")</f>
        <v xml:space="preserve"> 
 OR V_SHIIRE_KENSAKU_LIST.KOBAI_KBN = 5</v>
      </c>
      <c r="G26" s="166" t="b">
        <f>UNKB0200_H_HANBAI_KBN_S</f>
        <v>1</v>
      </c>
      <c r="H26" s="167"/>
    </row>
    <row r="27" spans="2:8" ht="15" customHeight="1">
      <c r="B27" s="158"/>
      <c r="C27" s="164"/>
      <c r="D27" s="273" t="s">
        <v>894</v>
      </c>
      <c r="E27" s="273"/>
      <c r="F27" s="168" t="str">
        <f>IF(G27," 
 AND V_SHIIRE_KENSAKU_LIST.SHIIRE_NO &gt;= '"&amp;UNKB0200_H_SHIIRE_NO_START_S&amp;"'","")</f>
        <v/>
      </c>
      <c r="G27" s="160" t="b">
        <f>NOT(ISBLANK(UNKB0200_H_SHIIRE_NO_START_S))</f>
        <v>0</v>
      </c>
      <c r="H27" s="161"/>
    </row>
    <row r="28" spans="2:8" ht="15" customHeight="1">
      <c r="B28" s="158"/>
      <c r="C28" s="164"/>
      <c r="D28" s="273" t="s">
        <v>895</v>
      </c>
      <c r="E28" s="273"/>
      <c r="F28" s="168" t="str">
        <f>IF(G28,"
 AND V_SHIIRE_KENSAKU_LIST.SHIIRE_NO &lt;=  '"&amp;UNKB0200_H_SHIIRE_NO_END_S&amp;"'","")</f>
        <v/>
      </c>
      <c r="G28" s="160" t="b">
        <f>NOT(ISBLANK(UNKB0200_H_SHIIRE_NO_END_S))</f>
        <v>0</v>
      </c>
      <c r="H28" s="161"/>
    </row>
    <row r="29" spans="2:8" ht="15" customHeight="1">
      <c r="B29" s="158"/>
      <c r="C29" s="164"/>
      <c r="D29" s="273" t="s">
        <v>943</v>
      </c>
      <c r="E29" s="273" t="s">
        <v>643</v>
      </c>
      <c r="F29" s="168" t="str">
        <f>IF(G29,"
 AND V_SHIIRE_KENSAKU_LIST.SHIIRE_DATE &gt;=  '"&amp;TEXT(UNKB0200_H_SHIIRE_DATE_START_S,"YYYY/MM/DD")&amp;"'","")</f>
        <v/>
      </c>
      <c r="G29" s="160" t="b">
        <f>NOT(ISBLANK(UNKB0200_H_SHIIRE_DATE_START_S))</f>
        <v>0</v>
      </c>
      <c r="H29" s="161"/>
    </row>
    <row r="30" spans="2:8" ht="15" customHeight="1">
      <c r="B30" s="158"/>
      <c r="C30" s="164"/>
      <c r="D30" s="273" t="s">
        <v>944</v>
      </c>
      <c r="E30" s="273" t="s">
        <v>644</v>
      </c>
      <c r="F30" s="168" t="str">
        <f>IF(G30,"
 AND V_SHIIRE_KENSAKU_LIST.SHIIRE_DATE &lt;=  '"&amp;TEXT(UNKB0200_H_SHIIRE_DATE_END_S,"YYYY/MM/DD")&amp;"'","")</f>
        <v/>
      </c>
      <c r="G30" s="160" t="b">
        <f>NOT(ISBLANK(UNKB0200_H_SHIIRE_DATE_END_S))</f>
        <v>0</v>
      </c>
      <c r="H30" s="161"/>
    </row>
    <row r="31" spans="2:8" ht="15" customHeight="1">
      <c r="B31" s="158"/>
      <c r="C31" s="164"/>
      <c r="D31" s="273" t="s">
        <v>898</v>
      </c>
      <c r="E31" s="273" t="s">
        <v>645</v>
      </c>
      <c r="F31" s="168" t="str">
        <f>IF(G31,"
 AND V_SHIIRE_KENSAKU_LIST.SHIHARAI_DATE  &gt;=  '"&amp;TEXT(UNKB0200_H_YOTEI_DATE_START_S,"YYYY/MM/DD")&amp;"'","")</f>
        <v/>
      </c>
      <c r="G31" s="160" t="b">
        <f>NOT(ISBLANK(UNKB0200_H_YOTEI_DATE_START_S))</f>
        <v>0</v>
      </c>
      <c r="H31" s="161"/>
    </row>
    <row r="32" spans="2:8" ht="15" customHeight="1">
      <c r="B32" s="158"/>
      <c r="C32" s="164"/>
      <c r="D32" s="273" t="s">
        <v>899</v>
      </c>
      <c r="E32" s="273" t="s">
        <v>646</v>
      </c>
      <c r="F32" s="168" t="str">
        <f>IF(G32,"
 AND V_SHIIRE_KENSAKU_LIST.SHIHARAI_DATE  &lt;=  '"&amp;TEXT(UNKB0200_H_YOTEI_DATE_END_S,"YYYY/MM/DD")&amp;"'","")</f>
        <v/>
      </c>
      <c r="G32" s="160" t="b">
        <f>NOT(ISBLANK(UNKB0200_H_YOTEI_DATE_END_S))</f>
        <v>0</v>
      </c>
      <c r="H32" s="161"/>
    </row>
    <row r="33" spans="2:8" ht="15" customHeight="1">
      <c r="B33" s="158"/>
      <c r="C33" s="164"/>
      <c r="D33" s="273" t="s">
        <v>80</v>
      </c>
      <c r="E33" s="273" t="s">
        <v>80</v>
      </c>
      <c r="F33" s="168" t="str">
        <f>IF(G33,"
 AND V_SHIIRE_KENSAKU_LIST.FREEWD LIKE " &amp; "'%|" &amp; UNKB0200_H_JURI_NO_S &amp; "%'","")</f>
        <v/>
      </c>
      <c r="G33" s="160" t="b">
        <f>NOT(ISBLANK(UNKB0200_H_JURI_NO_S))</f>
        <v>0</v>
      </c>
      <c r="H33" s="161"/>
    </row>
    <row r="34" spans="2:8" ht="15" customHeight="1">
      <c r="B34" s="158"/>
      <c r="C34" s="164"/>
      <c r="D34" s="273" t="s">
        <v>79</v>
      </c>
      <c r="E34" s="273" t="s">
        <v>79</v>
      </c>
      <c r="F34" s="168" t="str">
        <f>IF(G34,"
 AND V_SHIIRE_KENSAKU_LIST.FREEWD LIKE " &amp; "'%|" &amp; UNKB0200_H_YOSAN_CD_S &amp; "%'","")</f>
        <v/>
      </c>
      <c r="G34" s="160" t="b">
        <f>NOT(ISBLANK(UNKB0200_H_YOSAN_CD_S))</f>
        <v>0</v>
      </c>
      <c r="H34" s="161"/>
    </row>
    <row r="35" spans="2:8" ht="15" customHeight="1">
      <c r="B35" s="158"/>
      <c r="C35" s="164"/>
      <c r="D35" s="273" t="s">
        <v>75</v>
      </c>
      <c r="E35" s="273" t="s">
        <v>76</v>
      </c>
      <c r="F35" s="168" t="str">
        <f>IF(G35,"
 AND V_SHIIRE_KENSAKU_LIST.SHIIRE_CD = " &amp; "'" &amp; UNKB0200_H_SHIIRESAKI_CD_S &amp; "'","")</f>
        <v/>
      </c>
      <c r="G35" s="160" t="b">
        <f>NOT(ISBLANK(UNKB0200_H_SHIIRESAKI_CD_S))</f>
        <v>0</v>
      </c>
      <c r="H35" s="161"/>
    </row>
    <row r="36" spans="2:8" ht="15" customHeight="1">
      <c r="B36" s="158"/>
      <c r="C36" s="164"/>
      <c r="D36" s="263" t="s">
        <v>945</v>
      </c>
      <c r="E36" s="265"/>
      <c r="F36" s="168" t="str">
        <f>IF(G36,"
 AND V_SHIIRE_KENSAKU_LIST.FREEWD LIKE " &amp; "'%|" &amp; UNKB0200_H_KOBAIHIN_CD_S &amp; "%'","")</f>
        <v/>
      </c>
      <c r="G36" s="160" t="b">
        <f>NOT(ISBLANK(UNKB0200_H_KOBAIHIN_CD_S))</f>
        <v>0</v>
      </c>
      <c r="H36" s="161"/>
    </row>
    <row r="37" spans="2:8" ht="15" customHeight="1">
      <c r="B37" s="158"/>
      <c r="C37" s="164"/>
      <c r="D37" s="273" t="s">
        <v>503</v>
      </c>
      <c r="E37" s="273" t="s">
        <v>503</v>
      </c>
      <c r="F37" s="168" t="str">
        <f>IF(G37,"
 AND V_SHIIRE_KENSAKU_LIST.FREEWD LIKE " &amp; "'%|" &amp; UNKB0200_H_MAKER_CD_S &amp; "%'","")</f>
        <v/>
      </c>
      <c r="G37" s="160" t="b">
        <f>NOT(ISBLANK(UNKB0200_H_MAKER_CD_S))</f>
        <v>0</v>
      </c>
      <c r="H37" s="161"/>
    </row>
    <row r="38" spans="2:8" ht="15" customHeight="1">
      <c r="B38" s="158"/>
      <c r="C38" s="164"/>
      <c r="D38" s="263" t="s">
        <v>859</v>
      </c>
      <c r="E38" s="265"/>
      <c r="F38" s="168" t="str">
        <f>IF(G38,"
 AND V_SHIIRE_KENSAKU_LIST.SHIIRE_NYURYOKUSHA_CD = " &amp; "'" &amp; UNKB0200_H_NYURYOKUSHA_CD_S &amp; "'","")</f>
        <v/>
      </c>
      <c r="G38" s="160" t="b">
        <f>NOT(ISBLANK(UNKB0200_H_NYURYOKUSHA_MEI_S))</f>
        <v>0</v>
      </c>
      <c r="H38" s="161"/>
    </row>
    <row r="39" spans="2:8" ht="15" customHeight="1">
      <c r="B39" s="158"/>
      <c r="C39" s="164"/>
      <c r="D39" s="263" t="s">
        <v>946</v>
      </c>
      <c r="E39" s="265"/>
      <c r="F39" s="168" t="str">
        <f>IF(G39,"
 AND V_SHIIRE_KENSAKU_LIST.FREEWD LIKE " &amp; "'%|" &amp; UNKB0200_H_KOBAISHINSEI_NO_S &amp; "%'","")</f>
        <v/>
      </c>
      <c r="G39" s="160" t="b">
        <f>NOT(ISBLANK(UNKB0200_H_KOBAISHINSEI_NO_S))</f>
        <v>0</v>
      </c>
      <c r="H39" s="161"/>
    </row>
    <row r="40" spans="2:8" s="210" customFormat="1" ht="15" customHeight="1">
      <c r="B40" s="158"/>
      <c r="C40" s="164"/>
      <c r="D40" s="263" t="s">
        <v>82</v>
      </c>
      <c r="E40" s="265"/>
      <c r="F40" s="168" t="str">
        <f>IF(G40,"
 AND V_SHIIRE_KENSAKU_LIST.FREEWD LIKE " &amp; "'%|" &amp; UNKB0200_H_IRAI_NO_S &amp; "%'","")</f>
        <v/>
      </c>
      <c r="G40" s="160" t="b">
        <f>NOT(ISBLANK(UNKB0200_H_IRAI_NO_S))</f>
        <v>0</v>
      </c>
      <c r="H40" s="161"/>
    </row>
    <row r="41" spans="2:8" ht="15" customHeight="1">
      <c r="B41" s="158"/>
      <c r="C41" s="164"/>
      <c r="D41" s="274" t="s">
        <v>780</v>
      </c>
      <c r="E41" s="265"/>
      <c r="F41" s="160" t="str">
        <f>IF(G41," AND "&amp; IF(UNKB0200_H_FREEWD_KBN_S=3,"NOT","") &amp;"("&amp; IF(G42,F42,"") &amp; IF(G43,F43,"") &amp;IF(G44,F44,"") &amp;" )","")</f>
        <v/>
      </c>
      <c r="G41" s="160" t="b">
        <f>OR(G42,G43,G44)</f>
        <v>0</v>
      </c>
      <c r="H41" s="161"/>
    </row>
    <row r="42" spans="2:8" ht="15" customHeight="1">
      <c r="B42" s="158"/>
      <c r="C42" s="164"/>
      <c r="D42" s="275"/>
      <c r="E42" s="165" t="s">
        <v>767</v>
      </c>
      <c r="F42" s="167" t="str">
        <f>IF(G42,"
 V_SHIIRE_KENSAKU_LIST.FREEWD LIKE '%"&amp; UNKB0200_H_FREEWD_1_S &amp; "%'","")</f>
        <v/>
      </c>
      <c r="G42" s="166" t="b">
        <f>NOT(ISBLANK(UNKB0200_H_FREEWD_1_S))</f>
        <v>0</v>
      </c>
      <c r="H42" s="167"/>
    </row>
    <row r="43" spans="2:8" ht="15" customHeight="1">
      <c r="B43" s="158"/>
      <c r="C43" s="164"/>
      <c r="D43" s="276"/>
      <c r="E43" s="165" t="s">
        <v>649</v>
      </c>
      <c r="F43" s="167" t="str">
        <f>IF(G43,"
 "&amp;IF(G42, F45, "") &amp;" V_SHIIRE_KENSAKU_LIST.FREEWD LIKE '%"&amp; UNKB0200_H_FREEWD_2_S &amp; "%'","")</f>
        <v/>
      </c>
      <c r="G43" s="166" t="b">
        <f>NOT(ISBLANK(UNKB0200_H_FREEWD_2_S))</f>
        <v>0</v>
      </c>
      <c r="H43" s="167"/>
    </row>
    <row r="44" spans="2:8" ht="15" customHeight="1">
      <c r="B44" s="158"/>
      <c r="C44" s="164"/>
      <c r="D44" s="276"/>
      <c r="E44" s="165" t="s">
        <v>650</v>
      </c>
      <c r="F44" s="167" t="str">
        <f>IF(G44,"
 "&amp;IF(OR(G42,G43),F45,"") &amp; " V_SHIIRE_KENSAKU_LIST.FREEWD LIKE '%"&amp; UNKB0200_H_FREEWD_3_S &amp; "%'","")</f>
        <v/>
      </c>
      <c r="G44" s="166" t="b">
        <f>NOT(ISBLANK(UNKB0200_H_FREEWD_3_S))</f>
        <v>0</v>
      </c>
      <c r="H44" s="167"/>
    </row>
    <row r="45" spans="2:8" ht="15" customHeight="1">
      <c r="B45" s="158"/>
      <c r="C45" s="176"/>
      <c r="D45" s="276"/>
      <c r="E45" s="165" t="s">
        <v>638</v>
      </c>
      <c r="F45" s="167" t="str">
        <f>IF(UNKB0200_H_FREEWD_KBN_S=1, "AND",IF(UNKB0200_H_FREEWD_KBN_S=2,"OR","AND"))</f>
        <v>AND</v>
      </c>
      <c r="G45" s="166"/>
      <c r="H45" s="167"/>
    </row>
    <row r="46" spans="2:8" ht="15" customHeight="1">
      <c r="B46" s="169"/>
      <c r="C46" s="170"/>
      <c r="D46" s="273" t="s">
        <v>876</v>
      </c>
      <c r="E46" s="273" t="s">
        <v>503</v>
      </c>
      <c r="F46" s="168" t="str">
        <f>IF(G46,"","  
 AND ISNULL(V_SHIIRE_KENSAKU_LIST.DEL_DISP,'') &lt;&gt; '×'
  ")</f>
        <v xml:space="preserve">  
 AND ISNULL(V_SHIIRE_KENSAKU_LIST.DEL_DISP,'') &lt;&gt; '×'
  </v>
      </c>
      <c r="G46" s="160" t="b">
        <f>UNKB0200_H_DEL_HYOJI_FLG_S</f>
        <v>0</v>
      </c>
      <c r="H46" s="161"/>
    </row>
    <row r="47" spans="2:8" ht="15" customHeight="1">
      <c r="B47" s="158"/>
      <c r="C47" s="266" t="s">
        <v>773</v>
      </c>
      <c r="D47" s="266"/>
      <c r="E47" s="266"/>
      <c r="F47" s="159"/>
      <c r="G47" s="160"/>
      <c r="H47" s="161" t="s">
        <v>950</v>
      </c>
    </row>
    <row r="48" spans="2:8" ht="15" customHeight="1">
      <c r="B48" s="180"/>
      <c r="C48" s="273" t="s">
        <v>781</v>
      </c>
      <c r="D48" s="273"/>
      <c r="E48" s="273"/>
      <c r="F48" s="162" t="str">
        <f xml:space="preserve"> " OFFSET "&amp;(UNKB0200_B_PAGE_NO-1)&amp;"*"&amp;UNKB0200_B_HYOJI_GYO_SU&amp;" ROWS
 FETCH NEXT "&amp;UNKB0200_B_HYOJI_GYO_SU&amp;" ROWS ONLY"</f>
        <v xml:space="preserve"> OFFSET 0*2 ROWS
 FETCH NEXT 2 ROWS ONLY</v>
      </c>
      <c r="G48" s="160"/>
      <c r="H48" s="161"/>
    </row>
    <row r="51" spans="2:8" ht="15" customHeight="1">
      <c r="B51" s="270" t="s">
        <v>771</v>
      </c>
      <c r="C51" s="271"/>
      <c r="D51" s="271"/>
      <c r="E51" s="272"/>
      <c r="F51" s="156"/>
      <c r="G51" s="156"/>
      <c r="H51" s="157"/>
    </row>
    <row r="52" spans="2:8" ht="15" customHeight="1">
      <c r="B52" s="169"/>
      <c r="C52" s="277" t="s">
        <v>773</v>
      </c>
      <c r="D52" s="278"/>
      <c r="E52" s="279"/>
      <c r="F52" s="162" t="s">
        <v>947</v>
      </c>
      <c r="G52" s="160"/>
      <c r="H52" s="161" t="s">
        <v>939</v>
      </c>
    </row>
    <row r="55" spans="2:8" ht="15" customHeight="1">
      <c r="B55" s="270" t="s">
        <v>772</v>
      </c>
      <c r="C55" s="271"/>
      <c r="D55" s="271"/>
      <c r="E55" s="272"/>
      <c r="F55" s="82"/>
      <c r="G55" s="82"/>
      <c r="H55" s="157" t="s">
        <v>314</v>
      </c>
    </row>
    <row r="56" spans="2:8" ht="15" customHeight="1">
      <c r="B56" s="84"/>
      <c r="C56" s="277" t="s">
        <v>773</v>
      </c>
      <c r="D56" s="278"/>
      <c r="E56" s="279"/>
      <c r="F56" s="173" t="s">
        <v>971</v>
      </c>
      <c r="G56" s="79"/>
      <c r="H56" s="80" t="s">
        <v>940</v>
      </c>
    </row>
  </sheetData>
  <mergeCells count="39">
    <mergeCell ref="B51:E51"/>
    <mergeCell ref="C52:E52"/>
    <mergeCell ref="B55:E55"/>
    <mergeCell ref="C56:E56"/>
    <mergeCell ref="D46:E46"/>
    <mergeCell ref="C47:E47"/>
    <mergeCell ref="C48:E48"/>
    <mergeCell ref="D34:E34"/>
    <mergeCell ref="D35:E35"/>
    <mergeCell ref="D37:E37"/>
    <mergeCell ref="D41:E41"/>
    <mergeCell ref="D42:D45"/>
    <mergeCell ref="D36:E36"/>
    <mergeCell ref="D38:E38"/>
    <mergeCell ref="D39:E39"/>
    <mergeCell ref="D40:E40"/>
    <mergeCell ref="D29:E29"/>
    <mergeCell ref="D30:E30"/>
    <mergeCell ref="D31:E31"/>
    <mergeCell ref="D32:E32"/>
    <mergeCell ref="D33:E33"/>
    <mergeCell ref="D28:E28"/>
    <mergeCell ref="C11:E11"/>
    <mergeCell ref="B12:E12"/>
    <mergeCell ref="C13:E13"/>
    <mergeCell ref="C14:E14"/>
    <mergeCell ref="B15:E15"/>
    <mergeCell ref="C16:E16"/>
    <mergeCell ref="D17:E17"/>
    <mergeCell ref="D18:D20"/>
    <mergeCell ref="D21:E21"/>
    <mergeCell ref="D22:D26"/>
    <mergeCell ref="D27:E27"/>
    <mergeCell ref="C10:E10"/>
    <mergeCell ref="B5:E5"/>
    <mergeCell ref="B6:E6"/>
    <mergeCell ref="C7:E7"/>
    <mergeCell ref="C8:E8"/>
    <mergeCell ref="B9:E9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C000"/>
  </sheetPr>
  <dimension ref="A1:P28"/>
  <sheetViews>
    <sheetView showGridLines="0" showRowColHeaders="0" topLeftCell="F1" zoomScaleNormal="100" workbookViewId="0">
      <selection activeCell="H3" sqref="H3"/>
    </sheetView>
  </sheetViews>
  <sheetFormatPr defaultRowHeight="16.5"/>
  <cols>
    <col min="1" max="5" width="9" style="20" hidden="1" customWidth="1"/>
    <col min="6" max="6" width="3.375" style="14" customWidth="1"/>
    <col min="7" max="16" width="11.75" style="14" customWidth="1"/>
    <col min="17" max="17" width="3.625" style="14" customWidth="1"/>
    <col min="18" max="16384" width="9" style="14"/>
  </cols>
  <sheetData>
    <row r="1" spans="1:16" s="13" customFormat="1" ht="19.5">
      <c r="A1" s="34"/>
      <c r="B1" s="34"/>
      <c r="C1" s="34"/>
      <c r="D1" s="34"/>
      <c r="E1" s="34"/>
      <c r="F1" s="13" t="s">
        <v>106</v>
      </c>
      <c r="H1" s="13" t="str">
        <f>"【"&amp;
IF(UNKB0210_IF_MODE=1,"新規作成",
IF(UNKB0210_IF_MODE=2,"修正","参照"))
&amp;"モード】"</f>
        <v>【参照モード】</v>
      </c>
      <c r="J1" s="13" t="str">
        <f>IF(UNKB0210_IF_KOBAI_MODE=1,UNKB0210_H_PAGE_NO&amp;"/"&amp;UNKB0210_H_PAGE_TOTAL,"")</f>
        <v/>
      </c>
    </row>
    <row r="2" spans="1:16">
      <c r="B2" s="36" t="s">
        <v>123</v>
      </c>
      <c r="C2" s="37" t="s">
        <v>433</v>
      </c>
      <c r="D2" s="38"/>
    </row>
    <row r="3" spans="1:16">
      <c r="B3" s="36" t="s">
        <v>124</v>
      </c>
      <c r="C3" s="37" t="s">
        <v>349</v>
      </c>
      <c r="D3" s="38" t="str">
        <f>ADDRESS(ROW(A1),COLUMN(A1))&amp;":"&amp;ADDRESS(ROW(E1),COLUMN(E1))</f>
        <v>$A$1:$E$1</v>
      </c>
      <c r="G3" s="24" t="s">
        <v>91</v>
      </c>
      <c r="H3" s="128">
        <f ca="1">TODAY()</f>
        <v>42930</v>
      </c>
      <c r="J3" s="24" t="s">
        <v>107</v>
      </c>
      <c r="K3" s="64"/>
      <c r="L3" s="15"/>
      <c r="M3" s="24" t="s">
        <v>1195</v>
      </c>
      <c r="N3" s="239"/>
    </row>
    <row r="4" spans="1:16">
      <c r="G4" s="15" t="s">
        <v>108</v>
      </c>
      <c r="H4" s="23"/>
      <c r="J4" s="24" t="s">
        <v>92</v>
      </c>
      <c r="K4" s="49"/>
      <c r="M4" s="24" t="s">
        <v>109</v>
      </c>
      <c r="N4" s="49"/>
    </row>
    <row r="5" spans="1:16">
      <c r="G5" s="15" t="s">
        <v>110</v>
      </c>
      <c r="H5" s="61"/>
    </row>
    <row r="6" spans="1:16">
      <c r="B6" s="20" t="s">
        <v>125</v>
      </c>
      <c r="C6" s="20" t="s">
        <v>350</v>
      </c>
      <c r="D6" s="39"/>
    </row>
    <row r="7" spans="1:16">
      <c r="B7" s="20" t="s">
        <v>126</v>
      </c>
      <c r="C7" s="20" t="s">
        <v>351</v>
      </c>
      <c r="D7" s="39"/>
      <c r="G7" s="24" t="s">
        <v>55</v>
      </c>
      <c r="H7" s="129"/>
      <c r="I7" s="250" t="str">
        <f>IF(UNKB0210_H_SHIIRESAKI_CD="","",UNKB0210_H_SHIIRESAKI_MEI)</f>
        <v/>
      </c>
      <c r="J7" s="251"/>
      <c r="K7" s="252"/>
      <c r="L7" s="24" t="s">
        <v>989</v>
      </c>
      <c r="M7" s="217"/>
      <c r="O7" s="24" t="s">
        <v>990</v>
      </c>
      <c r="P7" s="212"/>
    </row>
    <row r="8" spans="1:16">
      <c r="B8" s="20" t="s">
        <v>76</v>
      </c>
      <c r="C8" s="20" t="s">
        <v>428</v>
      </c>
      <c r="D8" s="40"/>
      <c r="G8" s="15" t="s">
        <v>111</v>
      </c>
      <c r="H8" s="280"/>
      <c r="I8" s="281"/>
      <c r="J8" s="281"/>
      <c r="K8" s="282"/>
      <c r="L8" s="24" t="s">
        <v>981</v>
      </c>
      <c r="M8" s="289"/>
      <c r="N8" s="290"/>
    </row>
    <row r="9" spans="1:16">
      <c r="B9" s="20" t="s">
        <v>429</v>
      </c>
      <c r="C9" s="20" t="s">
        <v>430</v>
      </c>
      <c r="D9" s="35"/>
      <c r="H9" s="283"/>
      <c r="I9" s="284"/>
      <c r="J9" s="284"/>
      <c r="K9" s="285"/>
    </row>
    <row r="10" spans="1:16">
      <c r="B10" s="20" t="s">
        <v>596</v>
      </c>
      <c r="C10" s="20" t="s">
        <v>431</v>
      </c>
      <c r="D10" s="41"/>
      <c r="H10" s="283"/>
      <c r="I10" s="284"/>
      <c r="J10" s="284"/>
      <c r="K10" s="285"/>
      <c r="M10" s="27" t="s">
        <v>112</v>
      </c>
      <c r="N10" s="27" t="s">
        <v>113</v>
      </c>
      <c r="O10" s="27" t="s">
        <v>114</v>
      </c>
      <c r="P10" s="27" t="s">
        <v>115</v>
      </c>
    </row>
    <row r="11" spans="1:16">
      <c r="B11" s="20" t="s">
        <v>477</v>
      </c>
      <c r="C11" s="20" t="s">
        <v>478</v>
      </c>
      <c r="D11" s="38">
        <f ca="1">IF(UNKB0210_H_KOBAI_KBN="",1,
VLOOKUP(UNKB0210_H_KOBAI_KBN,OFFSET(UNKB0210_IF_LIST_KOBAI_KBN_START,0,0,UNKB0210_IF_LIST_KOBAI_KBN_KENSU,2),2,0))</f>
        <v>1</v>
      </c>
      <c r="H11" s="286"/>
      <c r="I11" s="287"/>
      <c r="J11" s="287"/>
      <c r="K11" s="288"/>
      <c r="M11" s="28">
        <f>UNKB0210_H_TAX_RATE</f>
        <v>0</v>
      </c>
      <c r="N11" s="67">
        <f ca="1">IF(UNKB0210_B_GYO_COUNT=0,0,
IF(UNKB0210_H_SHIIRESAKI_HASU=1,ROUNDDOWN(SUM(OFFSET(UNKB0210_B_TOTAL,1,0,UNKB0210_B_GYO_COUNT)),0),
IF(UNKB0210_H_SHIIRESAKI_HASU=2,ROUNDUP(SUM(OFFSET(UNKB0210_B_TOTAL,1,0,UNKB0210_B_GYO_COUNT)),0),
ROUND(SUM(OFFSET(UNKB0210_B_TOTAL,1,0,UNKB0210_B_GYO_COUNT)),0))))</f>
        <v>0</v>
      </c>
      <c r="O11" s="67">
        <f>IF(UNKB0210_B_GYO_COUNT=0,0,ROUNDDOWN(UNKB0210_H_NUKI_TOTAL*UNKB0210_H_TAX_RATE,0))</f>
        <v>0</v>
      </c>
      <c r="P11" s="67">
        <f>IF(UNKB0210_B_GYO_COUNT=0,0,UNKB0210_H_NUKI_TOTAL+UNKB0210_H_TAX)</f>
        <v>0</v>
      </c>
    </row>
    <row r="12" spans="1:16">
      <c r="B12" s="20" t="s">
        <v>996</v>
      </c>
      <c r="C12" s="20" t="s">
        <v>998</v>
      </c>
      <c r="D12" s="38" t="str">
        <f ca="1">IF(UNKB0210_H_SHIIRE_KAMOKU="","",
VLOOKUP(UNKB0210_H_SHIIRE_KAMOKU,OFFSET(UNKB0210_IF_LIST_SHIIRE_KAMOKU_START,0,0,UNKB0210_IF_LIST_SHIIRE_KAMOKU_KENSU,2),2,0))</f>
        <v/>
      </c>
    </row>
    <row r="13" spans="1:16">
      <c r="B13" s="20" t="s">
        <v>997</v>
      </c>
      <c r="C13" s="20" t="s">
        <v>999</v>
      </c>
      <c r="D13" s="38" t="str">
        <f ca="1">IF(UNKB0210_H_DENKU="","",
VLOOKUP(UNKB0210_H_DENKU,OFFSET(UNKB0210_IF_LIST_DENKU_START,0,0,UNKB0210_IF_LIST_DENKU_KENSU,2),2,0))</f>
        <v/>
      </c>
    </row>
    <row r="14" spans="1:16">
      <c r="B14" s="20" t="s">
        <v>982</v>
      </c>
      <c r="C14" s="20" t="s">
        <v>983</v>
      </c>
      <c r="D14" s="38" t="str">
        <f ca="1">IF(UNKB0210_H_KANJO_KAMOKU="","",
VLOOKUP(UNKB0210_H_KANJO_KAMOKU,OFFSET(UNKB0210_IF_LIST_KANJO_KAMOKU_START,0,0,UNKB0210_IF_LIST_KANJO_KAMOKU_KENSU,2),2,0))</f>
        <v/>
      </c>
    </row>
    <row r="18" spans="2:4">
      <c r="B18" s="20" t="s">
        <v>112</v>
      </c>
      <c r="C18" s="20" t="s">
        <v>353</v>
      </c>
      <c r="D18" s="93"/>
    </row>
    <row r="20" spans="2:4">
      <c r="B20" s="20" t="s">
        <v>119</v>
      </c>
      <c r="C20" s="20" t="s">
        <v>354</v>
      </c>
      <c r="D20" s="35"/>
    </row>
    <row r="21" spans="2:4">
      <c r="B21" s="20" t="s">
        <v>120</v>
      </c>
      <c r="C21" s="20" t="s">
        <v>355</v>
      </c>
      <c r="D21" s="35"/>
    </row>
    <row r="22" spans="2:4">
      <c r="B22" s="20" t="s">
        <v>121</v>
      </c>
      <c r="C22" s="20" t="s">
        <v>356</v>
      </c>
      <c r="D22" s="35">
        <f>UNKB0210_H_PAGE_NO-1</f>
        <v>-1</v>
      </c>
    </row>
    <row r="23" spans="2:4">
      <c r="B23" s="20" t="s">
        <v>122</v>
      </c>
      <c r="C23" s="20" t="s">
        <v>357</v>
      </c>
      <c r="D23" s="35">
        <f>UNKB0210_H_PAGE_NO+1</f>
        <v>1</v>
      </c>
    </row>
    <row r="27" spans="2:4">
      <c r="B27" s="112" t="s">
        <v>476</v>
      </c>
      <c r="C27" s="112" t="s">
        <v>352</v>
      </c>
      <c r="D27" s="113">
        <f ca="1">IF(UNKB0210_H_SHOKAN_RENDO_KBN="",2,
VLOOKUP(UNKB0210_H_SHOKAN_RENDO_KBN,OFFSET(UNKB0210_IF_LIST_RENDO_KBN_START,0,0,UNKB0210_IF_LIST_RENDO_KBN_KENSU,2),2,0))</f>
        <v>2</v>
      </c>
    </row>
    <row r="28" spans="2:4">
      <c r="B28" s="114" t="s">
        <v>338</v>
      </c>
      <c r="C28" s="115"/>
      <c r="D28" s="112"/>
    </row>
  </sheetData>
  <sheetProtection sheet="1" objects="1" scenarios="1" selectLockedCells="1"/>
  <mergeCells count="3">
    <mergeCell ref="I7:K7"/>
    <mergeCell ref="H8:K11"/>
    <mergeCell ref="M8:N8"/>
  </mergeCells>
  <phoneticPr fontId="1"/>
  <conditionalFormatting sqref="F1:XFD1">
    <cfRule type="expression" dxfId="34" priority="1">
      <formula>UNKB0210_IF_MODE=2</formula>
    </cfRule>
  </conditionalFormatting>
  <dataValidations count="6">
    <dataValidation type="list" allowBlank="1" showInputMessage="1" showErrorMessage="1" sqref="C28">
      <formula1>UNKB0210_IF_LIST_RENDO_KBN</formula1>
    </dataValidation>
    <dataValidation type="list" allowBlank="1" showInputMessage="1" showErrorMessage="1" sqref="K3">
      <formula1>UNKB0210_IF_LIST_KOBAI_KBN</formula1>
    </dataValidation>
    <dataValidation type="list" allowBlank="1" showInputMessage="1" showErrorMessage="1" sqref="M8">
      <formula1>UNKB0210_IF_LIST_KANJO_KAMOKU</formula1>
    </dataValidation>
    <dataValidation type="list" allowBlank="1" showInputMessage="1" showErrorMessage="1" sqref="M7">
      <formula1>UNKB0210_IF_LIST_SHIIRE_KAMOKU</formula1>
    </dataValidation>
    <dataValidation type="list" allowBlank="1" showInputMessage="1" showErrorMessage="1" sqref="P7">
      <formula1>UNKB0210_IF_LIST_DENKU</formula1>
    </dataValidation>
    <dataValidation type="date" allowBlank="1" showInputMessage="1" showErrorMessage="1" sqref="N3">
      <formula1>36526</formula1>
      <formula2>73415</formula2>
    </dataValidation>
  </dataValidations>
  <pageMargins left="0.7" right="0.7" top="0.75" bottom="0.75" header="0.3" footer="0.3"/>
  <pageSetup paperSize="9"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C000"/>
  </sheetPr>
  <dimension ref="A1:Z53"/>
  <sheetViews>
    <sheetView showGridLines="0" showRowColHeaders="0" topLeftCell="F16" zoomScaleNormal="100" workbookViewId="0">
      <selection sqref="A1:E1 H16:J16"/>
    </sheetView>
  </sheetViews>
  <sheetFormatPr defaultRowHeight="16.5"/>
  <cols>
    <col min="1" max="2" width="9" style="20" hidden="1" customWidth="1"/>
    <col min="3" max="3" width="39.5" style="20" hidden="1" customWidth="1"/>
    <col min="4" max="5" width="9" style="20" hidden="1" customWidth="1"/>
    <col min="6" max="7" width="3.375" style="14" customWidth="1"/>
    <col min="8" max="10" width="10" style="14" hidden="1" customWidth="1"/>
    <col min="11" max="11" width="11.875" style="14" customWidth="1"/>
    <col min="12" max="12" width="32.5" style="219" customWidth="1"/>
    <col min="13" max="13" width="11.125" style="14" customWidth="1"/>
    <col min="14" max="14" width="6.5" style="14" customWidth="1"/>
    <col min="15" max="15" width="6.75" style="14" customWidth="1"/>
    <col min="16" max="17" width="6.5" style="14" customWidth="1"/>
    <col min="18" max="18" width="8" style="14" customWidth="1"/>
    <col min="19" max="19" width="11.125" style="14" customWidth="1"/>
    <col min="20" max="20" width="12.5" style="14" customWidth="1"/>
    <col min="21" max="21" width="11.75" style="14" customWidth="1"/>
    <col min="22" max="22" width="32.5" style="14" customWidth="1"/>
    <col min="23" max="23" width="11.875" style="14" customWidth="1"/>
    <col min="24" max="24" width="11.875" style="14" bestFit="1" customWidth="1"/>
    <col min="25" max="25" width="25" style="14" customWidth="1"/>
    <col min="26" max="26" width="12.5" style="14" customWidth="1"/>
    <col min="27" max="27" width="3.75" style="14" customWidth="1"/>
    <col min="28" max="16384" width="9" style="14"/>
  </cols>
  <sheetData>
    <row r="1" spans="2:26" ht="4.5" hidden="1" customHeight="1"/>
    <row r="2" spans="2:26" ht="4.5" hidden="1" customHeight="1"/>
    <row r="3" spans="2:26" ht="4.5" hidden="1" customHeight="1"/>
    <row r="4" spans="2:26" ht="4.5" hidden="1" customHeight="1"/>
    <row r="5" spans="2:26" ht="4.5" hidden="1" customHeight="1"/>
    <row r="6" spans="2:26" ht="4.5" hidden="1" customHeight="1"/>
    <row r="7" spans="2:26" ht="4.5" hidden="1" customHeight="1"/>
    <row r="8" spans="2:26" ht="4.5" hidden="1" customHeight="1"/>
    <row r="9" spans="2:26" ht="4.5" hidden="1" customHeight="1"/>
    <row r="10" spans="2:26" ht="4.5" hidden="1" customHeight="1"/>
    <row r="11" spans="2:26" ht="4.5" hidden="1" customHeight="1"/>
    <row r="12" spans="2:26" ht="4.5" hidden="1" customHeight="1"/>
    <row r="13" spans="2:26" ht="4.5" hidden="1" customHeight="1"/>
    <row r="14" spans="2:26" ht="4.5" hidden="1" customHeight="1"/>
    <row r="15" spans="2:26" ht="4.5" hidden="1" customHeight="1"/>
    <row r="16" spans="2:26">
      <c r="B16" s="36" t="s">
        <v>123</v>
      </c>
      <c r="C16" s="37" t="s">
        <v>434</v>
      </c>
      <c r="D16" s="38" t="str">
        <f>ROW(A1)&amp;":"&amp;ROW(A15)</f>
        <v>1:15</v>
      </c>
      <c r="F16" s="29"/>
      <c r="G16" s="30" t="s">
        <v>116</v>
      </c>
      <c r="H16" s="22" t="s">
        <v>79</v>
      </c>
      <c r="I16" s="22" t="s">
        <v>432</v>
      </c>
      <c r="J16" s="22" t="s">
        <v>757</v>
      </c>
      <c r="K16" s="30" t="s">
        <v>64</v>
      </c>
      <c r="L16" s="220" t="s">
        <v>65</v>
      </c>
      <c r="M16" s="31" t="s">
        <v>66</v>
      </c>
      <c r="N16" s="30" t="s">
        <v>67</v>
      </c>
      <c r="O16" s="30" t="s">
        <v>70</v>
      </c>
      <c r="P16" s="31" t="s">
        <v>69</v>
      </c>
      <c r="Q16" s="30" t="s">
        <v>68</v>
      </c>
      <c r="R16" s="30" t="s">
        <v>117</v>
      </c>
      <c r="S16" s="30" t="s">
        <v>72</v>
      </c>
      <c r="T16" s="30" t="s">
        <v>82</v>
      </c>
      <c r="U16" s="30" t="s">
        <v>77</v>
      </c>
      <c r="V16" s="30" t="s">
        <v>78</v>
      </c>
      <c r="W16" s="30" t="s">
        <v>79</v>
      </c>
      <c r="X16" s="30" t="s">
        <v>80</v>
      </c>
      <c r="Y16" s="30" t="s">
        <v>38</v>
      </c>
      <c r="Z16" s="30" t="s">
        <v>81</v>
      </c>
    </row>
    <row r="17" spans="2:4">
      <c r="B17" s="36" t="s">
        <v>124</v>
      </c>
      <c r="C17" s="37" t="s">
        <v>340</v>
      </c>
      <c r="D17" s="38" t="str">
        <f>ADDRESS(ROW(A1),COLUMN(A1))&amp;":"&amp;ADDRESS(ROW(E1),COLUMN(E1))&amp;","&amp;ADDRESS(ROW(UNKB0210_B_YOSAN_CD_MEI),COLUMN(UNKB0210_B_YOSAN_CD_MEI))&amp;":"&amp;ADDRESS(ROW(UNKB0210_B_KOBAI_SEQ),COLUMN(UNKB0210_B_KOBAI_SEQ))</f>
        <v>$A$1:$E$1,$H$16:$J$16</v>
      </c>
    </row>
    <row r="19" spans="2:4">
      <c r="B19" s="36" t="s">
        <v>127</v>
      </c>
      <c r="C19" s="37" t="s">
        <v>435</v>
      </c>
      <c r="D19" s="35" t="str">
        <f ca="1">ADDRESS(ROW(INDIRECT(UNKB0210_B_LIST_START)),COLUMN(UNKB0210_B_TANKA))</f>
        <v>$M$17</v>
      </c>
    </row>
    <row r="21" spans="2:4">
      <c r="B21" s="36" t="s">
        <v>128</v>
      </c>
      <c r="C21" s="37" t="s">
        <v>436</v>
      </c>
      <c r="D21" s="35" t="str">
        <f>ADDRESS(ROW(UNKB0210_B_GYO)+1,COLUMN(UNKB0210_B_GYO))</f>
        <v>$G$17</v>
      </c>
    </row>
    <row r="23" spans="2:4">
      <c r="B23" s="36" t="s">
        <v>129</v>
      </c>
      <c r="C23" s="37" t="s">
        <v>341</v>
      </c>
      <c r="D23" s="35"/>
    </row>
    <row r="24" spans="2:4">
      <c r="B24" s="36" t="s">
        <v>130</v>
      </c>
      <c r="C24" s="37" t="s">
        <v>342</v>
      </c>
      <c r="D24" s="35">
        <f>UNKB0210_B_GYO_COUNT+1</f>
        <v>1</v>
      </c>
    </row>
    <row r="25" spans="2:4">
      <c r="B25" s="36" t="s">
        <v>131</v>
      </c>
      <c r="C25" s="37" t="s">
        <v>343</v>
      </c>
      <c r="D25" s="35">
        <f>UNKB0210_B_GYO_COUNT-1</f>
        <v>-1</v>
      </c>
    </row>
    <row r="27" spans="2:4">
      <c r="B27" s="36" t="s">
        <v>437</v>
      </c>
      <c r="C27" s="37" t="s">
        <v>439</v>
      </c>
      <c r="D27" s="35" t="str">
        <f>IF(UNKB0210_IF_ACTIVE_ROW="","","UNKB0210_B!"&amp;ADDRESS(UNKB0210_IF_ACTIVE_ROW,COLUMN(UNKB0210_B_KOBAIHIN_CD)))</f>
        <v>UNKB0210_B!$K$1</v>
      </c>
    </row>
    <row r="28" spans="2:4">
      <c r="B28" s="36" t="s">
        <v>438</v>
      </c>
      <c r="C28" s="37" t="s">
        <v>440</v>
      </c>
      <c r="D28" s="35" t="str">
        <f>IF(UNKB0210_IF_ACTIVE_ROW="","","UNKB0210_B!"&amp;ADDRESS(UNKB0210_IF_ACTIVE_ROW,COLUMN(UNKB0210_B_KOBAIHIN_MEI)))</f>
        <v>UNKB0210_B!$L$1</v>
      </c>
    </row>
    <row r="29" spans="2:4">
      <c r="B29" s="36" t="s">
        <v>442</v>
      </c>
      <c r="C29" s="37" t="s">
        <v>450</v>
      </c>
      <c r="D29" s="35" t="str">
        <f>IF(UNKB0210_IF_ACTIVE_ROW="","","UNKB0210_B!"&amp;ADDRESS(UNKB0210_IF_ACTIVE_ROW,COLUMN(UNKB0210_B_TANKA)))</f>
        <v>UNKB0210_B!$M$1</v>
      </c>
    </row>
    <row r="30" spans="2:4">
      <c r="B30" s="36" t="s">
        <v>452</v>
      </c>
      <c r="C30" s="37" t="s">
        <v>451</v>
      </c>
      <c r="D30" s="35" t="str">
        <f>IF(UNKB0210_IF_ACTIVE_ROW="","","UNKB0210_B!"&amp;ADDRESS(UNKB0210_IF_ACTIVE_ROW,COLUMN(UNKB0210_B_IRISU)))</f>
        <v>UNKB0210_B!$N$1</v>
      </c>
    </row>
    <row r="31" spans="2:4">
      <c r="B31" s="36" t="s">
        <v>443</v>
      </c>
      <c r="C31" s="37" t="s">
        <v>453</v>
      </c>
      <c r="D31" s="35" t="str">
        <f>IF(UNKB0210_IF_ACTIVE_ROW="","","UNKB0210_B!"&amp;ADDRESS(UNKB0210_IF_ACTIVE_ROW,COLUMN(UNKB0210_B_IRISU_TANI)))</f>
        <v>UNKB0210_B!$Q$1</v>
      </c>
    </row>
    <row r="32" spans="2:4">
      <c r="B32" s="36" t="s">
        <v>444</v>
      </c>
      <c r="C32" s="37" t="s">
        <v>454</v>
      </c>
      <c r="D32" s="35" t="str">
        <f>IF(UNKB0210_IF_ACTIVE_ROW="","","UNKB0210_B!"&amp;ADDRESS(UNKB0210_IF_ACTIVE_ROW,COLUMN(UNKB0210_B_BARA_TANI)))</f>
        <v>UNKB0210_B!$O$1</v>
      </c>
    </row>
    <row r="33" spans="2:4">
      <c r="B33" s="20" t="s">
        <v>445</v>
      </c>
      <c r="C33" s="20" t="s">
        <v>455</v>
      </c>
      <c r="D33" s="35" t="str">
        <f>IF(UNKB0210_IF_ACTIVE_ROW="","","UNKB0210_B!"&amp;ADDRESS(UNKB0210_IF_ACTIVE_ROW,COLUMN(UNKB0210_B_MAKER_CD)))</f>
        <v>UNKB0210_B!$U$1</v>
      </c>
    </row>
    <row r="34" spans="2:4">
      <c r="B34" s="20" t="s">
        <v>446</v>
      </c>
      <c r="C34" s="20" t="s">
        <v>456</v>
      </c>
      <c r="D34" s="35" t="str">
        <f>IF(UNKB0210_IF_ACTIVE_ROW="","","UNKB0210_B!"&amp;ADDRESS(UNKB0210_IF_ACTIVE_ROW,COLUMN(UNKB0210_B_MAKER_MEI)))</f>
        <v>UNKB0210_B!$I$1</v>
      </c>
    </row>
    <row r="35" spans="2:4">
      <c r="B35" s="20" t="s">
        <v>447</v>
      </c>
      <c r="C35" s="20" t="s">
        <v>457</v>
      </c>
      <c r="D35" s="35" t="str">
        <f>IF(UNKB0210_IF_ACTIVE_ROW="","","UNKB0210_B!"&amp;ADDRESS(UNKB0210_IF_ACTIVE_ROW,COLUMN(UNKB0210_B_YOSAN_CD)))</f>
        <v>UNKB0210_B!$W$1</v>
      </c>
    </row>
    <row r="36" spans="2:4">
      <c r="B36" s="20" t="s">
        <v>448</v>
      </c>
      <c r="C36" s="20" t="s">
        <v>458</v>
      </c>
      <c r="D36" s="35" t="str">
        <f>IF(UNKB0210_IF_ACTIVE_ROW="","","UNKB0210_B!"&amp;ADDRESS(UNKB0210_IF_ACTIVE_ROW,COLUMN(UNKB0210_B_YOSAN_CD_MEI)))</f>
        <v>UNKB0210_B!$H$1</v>
      </c>
    </row>
    <row r="37" spans="2:4">
      <c r="B37" s="20" t="s">
        <v>449</v>
      </c>
      <c r="C37" s="20" t="s">
        <v>459</v>
      </c>
      <c r="D37" s="35" t="str">
        <f>IF(UNKB0210_IF_ACTIVE_ROW="","","UNKB0210_B!"&amp;ADDRESS(UNKB0210_IF_ACTIVE_ROW,COLUMN(UNKB0210_B_JURI_NO)))</f>
        <v>UNKB0210_B!$X$1</v>
      </c>
    </row>
    <row r="40" spans="2:4">
      <c r="B40" s="36" t="s">
        <v>544</v>
      </c>
      <c r="C40" s="36" t="s">
        <v>547</v>
      </c>
      <c r="D40" s="38" t="str">
        <f>IF(UNKB0210_IF_MODE=1,"UNKB0210_IF_COPY_B_MEISAI_SHINKI",
IF(UNKB0210_IF_MODE=2,"UNKB0210_IF_COPY_B_MEISAI_SHUSEI",
"UNKB0210_IF_COPY_B_MEISAI_SANSHO"))</f>
        <v>UNKB0210_IF_COPY_B_MEISAI_SANSHO</v>
      </c>
    </row>
    <row r="41" spans="2:4">
      <c r="B41" s="36" t="s">
        <v>545</v>
      </c>
      <c r="C41" s="36" t="s">
        <v>548</v>
      </c>
      <c r="D41" s="38" t="str">
        <f ca="1">"UNKB0210_IF!"&amp;ADDRESS(ROW(INDIRECT(UNKB0210_B_COPY_MOTO_NAME)),COLUMN(INDIRECT(UNKB0210_B_COPY_MOTO_NAME)))&amp;":"&amp;
ADDRESS(ROW(INDIRECT(UNKB0210_B_COPY_MOTO_NAME)),COLUMN(INDIRECT(UNKB0210_B_COPY_MOTO_NAME))+COLUMNS(INDIRECT(UNKB0210_B_COPY_MOTO_NAME))-1)</f>
        <v>UNKB0210_IF!$BA$11:$BT$11</v>
      </c>
    </row>
    <row r="42" spans="2:4">
      <c r="B42" s="36" t="s">
        <v>546</v>
      </c>
      <c r="C42" s="36" t="s">
        <v>549</v>
      </c>
      <c r="D42" s="38" t="str">
        <f ca="1">IF(UNKB0210_B_GYO_COUNT=0,"",
"UNKB0210_B!"&amp;ADDRESS(ROW(INDIRECT(UNKB0210_B_LIST_START)),COLUMN(INDIRECT(UNKB0210_B_LIST_START)))&amp;":"&amp;
ADDRESS(ROW(INDIRECT(UNKB0210_B_LIST_START))+UNKB0210_B_GYO_COUNT-1,COLUMN(INDIRECT(UNKB0210_B_LIST_START))+COLUMNS(INDIRECT(UNKB0210_B_COPY_MOTO_NAME))-1))</f>
        <v/>
      </c>
    </row>
    <row r="43" spans="2:4">
      <c r="B43" s="36" t="s">
        <v>132</v>
      </c>
      <c r="C43" s="37" t="s">
        <v>344</v>
      </c>
      <c r="D43" s="35" t="str">
        <f ca="1">IF(UNKB0210_B_GYO_COUNT=0,"",
"UNKB0210_B!"&amp;ADDRESS(ROW(INDIRECT(UNKB0210_B_LIST_START)),COLUMN(UNKB0210_B_GYO))&amp;":"&amp;
ADDRESS(ROW(INDIRECT(UNKB0210_B_LIST_START))+UNKB0210_B_GYO_COUNT-1,COLUMN(UNKB0210_B_GYO)))</f>
        <v/>
      </c>
    </row>
    <row r="44" spans="2:4">
      <c r="B44" s="36" t="s">
        <v>238</v>
      </c>
      <c r="C44" s="37" t="s">
        <v>462</v>
      </c>
      <c r="D44" s="35" t="str">
        <f ca="1">IF(UNKB0210_B_GYO_COUNT=0,"",
"UNKB0210_B!"&amp;ADDRESS(ROW(INDIRECT(UNKB0210_B_LIST_START)),COLUMN(UNKB0210_B_SOSU))&amp;":"&amp;
ADDRESS(ROW(INDIRECT(UNKB0210_B_LIST_START))+UNKB0210_B_GYO_COUNT-1,COLUMN(UNKB0210_B_SOSU)))</f>
        <v/>
      </c>
    </row>
    <row r="45" spans="2:4">
      <c r="B45" s="36" t="s">
        <v>460</v>
      </c>
      <c r="C45" s="37" t="s">
        <v>597</v>
      </c>
      <c r="D45" s="35" t="str">
        <f ca="1">IF(UNKB0210_B_GYO_COUNT=0,"",
"UNKB0210_B!"&amp;ADDRESS(ROW(INDIRECT(UNKB0210_B_LIST_START)),COLUMN(UNKB0210_B_TOTAL))&amp;":"&amp;
ADDRESS(ROW(INDIRECT(UNKB0210_B_LIST_START))+UNKB0210_B_GYO_COUNT-1,COLUMN(UNKB0210_B_TOTAL)))</f>
        <v/>
      </c>
    </row>
    <row r="46" spans="2:4">
      <c r="B46" s="36" t="s">
        <v>461</v>
      </c>
      <c r="C46" s="37" t="s">
        <v>598</v>
      </c>
      <c r="D46" s="35" t="str">
        <f ca="1">IF(UNKB0210_B_GYO_COUNT=0,"",
"UNKB0210_B!"&amp;ADDRESS(ROW(INDIRECT(UNKB0210_B_LIST_START)),COLUMN(UNKB0210_B_MAKER_MEI_DISP))&amp;":"&amp;
ADDRESS(ROW(INDIRECT(UNKB0210_B_LIST_START))+UNKB0210_B_GYO_COUNT-1,COLUMN(UNKB0210_B_MAKER_MEI_DISP)))</f>
        <v/>
      </c>
    </row>
    <row r="48" spans="2:4">
      <c r="B48" s="36" t="s">
        <v>133</v>
      </c>
      <c r="C48" s="37" t="s">
        <v>345</v>
      </c>
      <c r="D48" s="35" t="str">
        <f ca="1">"UNKB0210_B!"&amp;ADDRESS(ROW(INDIRECT(UNKB0210_B_LIST_START)),COLUMN(INDIRECT(UNKB0210_B_LIST_START)))&amp;":"&amp;
ADDRESS(ROW(INDIRECT(UNKB0210_B_LIST_START))+99,COLUMN(INDIRECT(UNKB0210_B_LIST_START))+COLUMNS(INDIRECT(UNKB0210_B_COPY_MOTO_NAME))-1)</f>
        <v>UNKB0210_B!$G$17:$Z$116</v>
      </c>
    </row>
    <row r="50" spans="2:4">
      <c r="B50" s="36" t="s">
        <v>134</v>
      </c>
      <c r="C50" s="37" t="s">
        <v>346</v>
      </c>
      <c r="D50" s="35" t="str">
        <f ca="1">IF(OR(UNKB0210_B_GYO_COUNT=0,UNKB0210_IF_ACTIVE_ROW&lt;ROW(INDIRECT(UNKB0210_B_LIST_START))),
"UNKB0210_B!"&amp;ADDRESS(ROW(INDIRECT(UNKB0210_B_LIST_START)),COLUMN(INDIRECT(UNKB0210_B_LIST_START)))&amp;":"&amp;ADDRESS(ROW(INDIRECT(UNKB0210_B_LIST_START)),COLUMN(INDIRECT(UNKB0210_B_LIST_START))+COLUMNS(UNKB0210_IF_COPY_B_LIST_CLEAR)-1),
"UNKB0210_B!"&amp;ADDRESS(UNKB0210_IF_ACTIVE_ROW+1,COLUMN(INDIRECT(UNKB0210_B_LIST_START)))&amp;":"&amp;ADDRESS(UNKB0210_IF_ACTIVE_ROW+1,COLUMN(INDIRECT(UNKB0210_B_LIST_START))+COLUMNS(UNKB0210_IF_COPY_B_LIST_CLEAR)-1))</f>
        <v>UNKB0210_B!$G$17:$Z$17</v>
      </c>
    </row>
    <row r="51" spans="2:4">
      <c r="B51" s="36" t="s">
        <v>135</v>
      </c>
      <c r="C51" s="37" t="s">
        <v>347</v>
      </c>
      <c r="D51" s="35" t="str">
        <f ca="1">IF(OR(UNKB0210_B_GYO_COUNT=0,UNKB0210_IF_ACTIVE_ROW&lt;ROW(INDIRECT(UNKB0210_B_LIST_START))),
"",
"UNKB0210_B!"&amp;ADDRESS(UNKB0210_IF_ACTIVE_ROW,COLUMN(INDIRECT(UNKB0210_B_LIST_START)))&amp;":"&amp;ADDRESS(UNKB0210_IF_ACTIVE_ROW,COLUMN(INDIRECT(UNKB0210_B_LIST_START))+COLUMNS(UNKB0210_IF_COPY_B_LIST_CLEAR)-1))</f>
        <v/>
      </c>
    </row>
    <row r="53" spans="2:4">
      <c r="B53" s="20" t="s">
        <v>136</v>
      </c>
      <c r="C53" s="37" t="s">
        <v>348</v>
      </c>
      <c r="D53" s="35" t="str">
        <f ca="1">"UNKB0210_B!"&amp;
ADDRESS(ROW(INDIRECT(UNKB0210_B_LIST_START))+UNKB0210_B_GYO_COUNT,COLUMN(UNKB0210_B_GYO))
&amp;":"&amp;ADDRESS(ROW(INDIRECT(UNKB0210_B_LIST_START))+UNKB0210_B_GYO_COUNT+UNKB0210_IF_MULTI_SELECT_TENKAI_KENSU-1,COLUMN(UNKB0210_B_GYO)+COLUMNS(UNKB0210_IF_COPY_B_LIST_CLEAR)-1)</f>
        <v>UNKB0210_B!$G$17:$Z$16</v>
      </c>
    </row>
  </sheetData>
  <sheetProtection sheet="1" objects="1" scenarios="1" selectLockedCells="1"/>
  <phoneticPr fontId="1"/>
  <pageMargins left="0.7" right="0.7" top="0.75" bottom="0.75" header="0.3" footer="0.3"/>
  <pageSetup paperSize="9" orientation="portrait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C69"/>
  <sheetViews>
    <sheetView topLeftCell="AY1" zoomScaleNormal="100" workbookViewId="0">
      <selection activeCell="BQ5" sqref="BQ5"/>
    </sheetView>
  </sheetViews>
  <sheetFormatPr defaultRowHeight="13.5"/>
  <cols>
    <col min="2" max="2" width="22.375" bestFit="1" customWidth="1"/>
    <col min="3" max="3" width="45.375" bestFit="1" customWidth="1"/>
    <col min="24" max="24" width="9" style="213"/>
    <col min="30" max="30" width="14" customWidth="1"/>
    <col min="33" max="33" width="29.875" bestFit="1" customWidth="1"/>
    <col min="34" max="44" width="4.875" customWidth="1"/>
    <col min="45" max="45" width="11" customWidth="1"/>
    <col min="46" max="46" width="4.875" customWidth="1"/>
    <col min="47" max="47" width="7.5" customWidth="1"/>
    <col min="48" max="48" width="23.125" bestFit="1" customWidth="1"/>
    <col min="49" max="49" width="4.875" customWidth="1"/>
    <col min="53" max="53" width="3.375" customWidth="1"/>
    <col min="54" max="56" width="10" hidden="1" customWidth="1"/>
    <col min="57" max="57" width="11.875" bestFit="1" customWidth="1"/>
    <col min="58" max="58" width="32.5" style="213" customWidth="1"/>
    <col min="59" max="59" width="11.125" bestFit="1" customWidth="1"/>
    <col min="60" max="60" width="6.5" bestFit="1" customWidth="1"/>
    <col min="61" max="61" width="6.75" customWidth="1"/>
    <col min="62" max="62" width="6.5" bestFit="1" customWidth="1"/>
    <col min="63" max="63" width="6.5" customWidth="1"/>
    <col min="64" max="64" width="8" bestFit="1" customWidth="1"/>
    <col min="65" max="65" width="11.125" bestFit="1" customWidth="1"/>
    <col min="66" max="66" width="12.5" style="210" customWidth="1"/>
    <col min="67" max="67" width="11.75" bestFit="1" customWidth="1"/>
    <col min="68" max="68" width="32.5" customWidth="1"/>
    <col min="69" max="70" width="11.875" bestFit="1" customWidth="1"/>
    <col min="71" max="71" width="25" customWidth="1"/>
    <col min="72" max="72" width="12.5" style="210" customWidth="1"/>
    <col min="76" max="76" width="13.5" customWidth="1"/>
    <col min="77" max="77" width="17.375" customWidth="1"/>
    <col min="81" max="81" width="23.875" customWidth="1"/>
    <col min="82" max="82" width="19.125" customWidth="1"/>
    <col min="95" max="95" width="12.375" bestFit="1" customWidth="1"/>
    <col min="96" max="97" width="9" style="210"/>
    <col min="103" max="103" width="10.125" bestFit="1" customWidth="1"/>
    <col min="135" max="135" width="29.25" customWidth="1"/>
    <col min="158" max="158" width="9" style="210"/>
  </cols>
  <sheetData>
    <row r="1" spans="1:159">
      <c r="A1" s="42" t="s">
        <v>137</v>
      </c>
      <c r="J1" s="5" t="s">
        <v>138</v>
      </c>
      <c r="AA1" t="s">
        <v>139</v>
      </c>
      <c r="AF1" s="8" t="s">
        <v>140</v>
      </c>
      <c r="AR1" t="s">
        <v>600</v>
      </c>
      <c r="BW1" s="42" t="s">
        <v>141</v>
      </c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EC1" s="5" t="s">
        <v>142</v>
      </c>
    </row>
    <row r="2" spans="1:159" ht="16.5">
      <c r="A2" s="42"/>
      <c r="B2" s="8"/>
      <c r="C2" s="8"/>
      <c r="D2" s="8"/>
      <c r="E2" s="8"/>
      <c r="F2" s="8"/>
      <c r="N2" t="s">
        <v>572</v>
      </c>
      <c r="AG2" s="8" t="s">
        <v>143</v>
      </c>
      <c r="AX2" s="8" t="s">
        <v>144</v>
      </c>
      <c r="AY2" s="8"/>
      <c r="AZ2" s="8"/>
      <c r="BA2" s="30" t="s">
        <v>116</v>
      </c>
      <c r="BB2" s="22" t="s">
        <v>79</v>
      </c>
      <c r="BC2" s="22" t="s">
        <v>432</v>
      </c>
      <c r="BD2" s="22" t="s">
        <v>529</v>
      </c>
      <c r="BE2" s="30" t="s">
        <v>64</v>
      </c>
      <c r="BF2" s="221" t="s">
        <v>65</v>
      </c>
      <c r="BG2" s="31" t="s">
        <v>66</v>
      </c>
      <c r="BH2" s="30" t="s">
        <v>67</v>
      </c>
      <c r="BI2" s="30" t="s">
        <v>70</v>
      </c>
      <c r="BJ2" s="31" t="s">
        <v>69</v>
      </c>
      <c r="BK2" s="30" t="s">
        <v>68</v>
      </c>
      <c r="BL2" s="30" t="s">
        <v>117</v>
      </c>
      <c r="BM2" s="30" t="s">
        <v>72</v>
      </c>
      <c r="BN2" s="30" t="s">
        <v>82</v>
      </c>
      <c r="BO2" s="30" t="s">
        <v>77</v>
      </c>
      <c r="BP2" s="30" t="s">
        <v>78</v>
      </c>
      <c r="BQ2" s="30" t="s">
        <v>79</v>
      </c>
      <c r="BR2" s="30" t="s">
        <v>80</v>
      </c>
      <c r="BS2" s="30" t="s">
        <v>38</v>
      </c>
      <c r="BT2" s="30" t="s">
        <v>81</v>
      </c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K2" t="s">
        <v>145</v>
      </c>
      <c r="CP2" t="s">
        <v>146</v>
      </c>
      <c r="DF2" t="s">
        <v>147</v>
      </c>
      <c r="EJ2" s="43" t="s">
        <v>358</v>
      </c>
      <c r="EU2" s="43" t="s">
        <v>486</v>
      </c>
      <c r="EV2" s="43" t="s">
        <v>487</v>
      </c>
      <c r="EX2" s="43" t="s">
        <v>594</v>
      </c>
    </row>
    <row r="3" spans="1:159" ht="16.5">
      <c r="A3" s="8"/>
      <c r="B3" s="8" t="s">
        <v>148</v>
      </c>
      <c r="C3" s="8" t="s">
        <v>359</v>
      </c>
      <c r="D3" s="9">
        <v>1</v>
      </c>
      <c r="E3" s="8" t="s">
        <v>149</v>
      </c>
      <c r="F3" s="8" t="s">
        <v>150</v>
      </c>
      <c r="K3" s="44" t="s">
        <v>151</v>
      </c>
      <c r="L3" s="44" t="s">
        <v>60</v>
      </c>
      <c r="N3" s="44" t="s">
        <v>151</v>
      </c>
      <c r="O3" s="44" t="s">
        <v>339</v>
      </c>
      <c r="Q3" s="44" t="s">
        <v>151</v>
      </c>
      <c r="R3" s="44" t="s">
        <v>991</v>
      </c>
      <c r="T3" s="44" t="s">
        <v>151</v>
      </c>
      <c r="U3" s="44" t="s">
        <v>992</v>
      </c>
      <c r="W3" s="44" t="s">
        <v>151</v>
      </c>
      <c r="X3" s="214" t="s">
        <v>984</v>
      </c>
      <c r="BW3" s="8"/>
      <c r="BX3" s="42" t="s">
        <v>152</v>
      </c>
      <c r="BY3" s="8"/>
      <c r="BZ3" s="8"/>
      <c r="CA3" s="8"/>
      <c r="CB3" s="8"/>
      <c r="CC3" s="20" t="s">
        <v>153</v>
      </c>
      <c r="CD3" s="20"/>
      <c r="CE3" s="8"/>
      <c r="CF3" s="8"/>
      <c r="CH3" t="s">
        <v>154</v>
      </c>
      <c r="CI3" s="8" t="s">
        <v>360</v>
      </c>
      <c r="CJ3" s="96" t="str">
        <f ca="1">IF(DR3&lt;&gt;"",ADDRESS(ROW(),COLUMN(UNKB0210_IF_SAVE_YOSAN_CD),4),"")</f>
        <v/>
      </c>
      <c r="CK3" s="96">
        <f>UNKB0210_IF_W_USER_ID</f>
        <v>0</v>
      </c>
      <c r="CL3" s="96">
        <f>UNKB0210_IF_W_SERIAL</f>
        <v>0</v>
      </c>
      <c r="CM3" s="96">
        <f>IF(UNKB0210_H_PAGE_NO=0,1,UNKB0210_H_PAGE_NO)</f>
        <v>1</v>
      </c>
      <c r="CN3" s="96">
        <f>ROW()-ROW(UNKB0210_IF_SAVE_W_ROW)</f>
        <v>-2</v>
      </c>
      <c r="CO3" s="96">
        <f>UNKB0210_IF_W_MODE</f>
        <v>0</v>
      </c>
      <c r="CP3" s="96" t="str">
        <f>IF(UNKB0210_H_SHIIRE_NO="","",UNKB0210_H_SHIIRE_NO)</f>
        <v/>
      </c>
      <c r="CQ3" s="97">
        <f ca="1">IF(UNKB0210_H_SHIIRE_DATE=0,"",UNKB0210_H_SHIIRE_DATE)</f>
        <v>42930</v>
      </c>
      <c r="CR3" s="96" t="str">
        <f ca="1">IF(UNKB0210_H_SHIIRE_KAMOKU_CD="","",UNKB0210_H_SHIIRE_KAMOKU_CD)</f>
        <v/>
      </c>
      <c r="CS3" s="96" t="str">
        <f ca="1">IF(UNKB0210_H_DENKU_CD="","",UNKB0210_H_DENKU_CD)</f>
        <v/>
      </c>
      <c r="CT3" s="96" t="str">
        <f>IF(UNKB0210_H_KOBAI_KBN=0,"",UNKB0210_H_KOBAI_KBN_CD)</f>
        <v/>
      </c>
      <c r="CU3" s="96" t="str">
        <f ca="1">IF(UNKB0210_H_KANJO_KAMOKU_CD="","",UNKB0210_H_KANJO_KAMOKU_CD)</f>
        <v/>
      </c>
      <c r="CV3" s="96" t="str">
        <f>IF(UNKB0210_H_NYURYOKUSHA_MEI=0,"",UNKB0210_H_NYURYOKUSHA_CD)</f>
        <v/>
      </c>
      <c r="CW3" s="97" t="str">
        <f>IF(UNKB0210_H_SHIHARAI_DATE=0,"",UNKB0210_H_SHIHARAI_DATE)</f>
        <v/>
      </c>
      <c r="CX3" s="96">
        <f>IF(UNKB0210_H_STS=0,1,UNKB0210_H_STS_CD)</f>
        <v>1</v>
      </c>
      <c r="CY3" s="96" t="str">
        <f>IF(UNKB0210_H_SHIIRESAKI_CD=0,"",UNKB0210_H_SHIIRESAKI_CD)</f>
        <v/>
      </c>
      <c r="CZ3" s="46">
        <f>UNKB0210_H_TAX_RATE</f>
        <v>0</v>
      </c>
      <c r="DA3" s="96">
        <f ca="1">UNKB0210_H_NUKI_TOTAL</f>
        <v>0</v>
      </c>
      <c r="DB3" s="96">
        <f>UNKB0210_H_TAX</f>
        <v>0</v>
      </c>
      <c r="DC3" s="96">
        <f>UNKB0210_H_KOMI_TOTAL</f>
        <v>0</v>
      </c>
      <c r="DD3" s="96" t="str">
        <f>IF(UNKB0210_H_SHOKAN_NO=0,"",UNKB0210_H_SHOKAN_NO)</f>
        <v/>
      </c>
      <c r="DE3" s="45" t="str">
        <f>IF(UNKB0210_H_SHOKAN_RENDO_DATE_TIME="","",UNKB0210_H_SHOKAN_RENDO_DATE_TIME)</f>
        <v/>
      </c>
      <c r="DF3" s="96">
        <f ca="1">OFFSET(UNKB0210_B_GYO,1+ROW()-ROW(UNKB0210_IF_SAVE_START),0)</f>
        <v>0</v>
      </c>
      <c r="DG3" s="96" t="str">
        <f ca="1">IF(OFFSET(UNKB0210_B_KOBAIHIN_CD,1+ROW()-ROW(UNKB0210_IF_SAVE_START),0)=0,"",
OFFSET(UNKB0210_B_KOBAIHIN_CD,1+ROW()-ROW(UNKB0210_IF_SAVE_START),0))</f>
        <v/>
      </c>
      <c r="DH3" s="96" t="str">
        <f ca="1">IF(OFFSET(UNKB0210_B_KOBAIHIN_MEI,1+ROW()-ROW(UNKB0210_IF_SAVE_START),0)=0,"",
OFFSET(UNKB0210_B_KOBAIHIN_MEI,1+ROW()-ROW(UNKB0210_IF_SAVE_START),0))</f>
        <v/>
      </c>
      <c r="DI3" s="96" t="str">
        <f ca="1">IF(OFFSET(UNKB0210_B_TANKA,1+ROW()-ROW(UNKB0210_IF_SAVE_START),0)="","",
OFFSET(UNKB0210_B_TANKA,1+ROW()-ROW(UNKB0210_IF_SAVE_START),0))</f>
        <v/>
      </c>
      <c r="DJ3" s="96" t="str">
        <f ca="1">IF(OFFSET(UNKB0210_B_IRISU,1+ROW()-ROW(UNKB0210_IF_SAVE_START),0)=0,"",
OFFSET(UNKB0210_B_IRISU,1+ROW()-ROW(UNKB0210_IF_SAVE_START),0))</f>
        <v/>
      </c>
      <c r="DK3" s="96" t="str">
        <f ca="1">IF(OFFSET(UNKB0210_B_IRISU_TANI,1+ROW()-ROW(UNKB0210_IF_SAVE_START),0)=0,"",
OFFSET(UNKB0210_B_IRISU_TANI,1+ROW()-ROW(UNKB0210_IF_SAVE_START),0))</f>
        <v/>
      </c>
      <c r="DL3" s="96" t="str">
        <f ca="1">IF(OFFSET(UNKB0210_B_SURYO,1+ROW()-ROW(UNKB0210_IF_SAVE_START),0)=0,"",
OFFSET(UNKB0210_B_SURYO,1+ROW()-ROW(UNKB0210_IF_SAVE_START),0))</f>
        <v/>
      </c>
      <c r="DM3" s="96" t="str">
        <f ca="1">IF(OFFSET(UNKB0210_B_BARA_TANI,1+ROW()-ROW(UNKB0210_IF_SAVE_START),0)=0,"",
OFFSET(UNKB0210_B_BARA_TANI,1+ROW()-ROW(UNKB0210_IF_SAVE_START),0))</f>
        <v/>
      </c>
      <c r="DN3" s="96" t="str">
        <f ca="1">IF(OFFSET(UNKB0210_B_SOSU,1+ROW()-ROW(UNKB0210_IF_SAVE_START),0)=0,"",
OFFSET(UNKB0210_B_SOSU,1+ROW()-ROW(UNKB0210_IF_SAVE_START),0))</f>
        <v/>
      </c>
      <c r="DO3" s="96" t="str">
        <f ca="1">IF(OFFSET(UNKB0210_B_TOTAL,1+ROW()-ROW(UNKB0210_IF_SAVE_START),0)=0,"",
OFFSET(UNKB0210_B_TOTAL,1+ROW()-ROW(UNKB0210_IF_SAVE_START),0))</f>
        <v/>
      </c>
      <c r="DP3" s="96" t="str">
        <f ca="1">IF(OFFSET(UNKB0210_B_MAKER_CD,1+ROW()-ROW(UNKB0210_IF_SAVE_START),0)=0,"",
OFFSET(UNKB0210_B_MAKER_CD,1+ROW()-ROW(UNKB0210_IF_SAVE_START),0))</f>
        <v/>
      </c>
      <c r="DQ3" s="96" t="str">
        <f ca="1">IF(OFFSET(UNKB0210_B_YOSAN_CD,1+ROW()-ROW(UNKB0210_IF_SAVE_START),0)=0,"",
OFFSET(UNKB0210_B_YOSAN_CD,1+ROW()-ROW(UNKB0210_IF_SAVE_START),0))</f>
        <v/>
      </c>
      <c r="DR3" s="96" t="str">
        <f ca="1">IF(OFFSET(UNKB0210_B_JURI_NO,1+ROW()-ROW(UNKB0210_IF_SAVE_START),0)=0,"",
OFFSET(UNKB0210_B_JURI_NO,1+ROW()-ROW(UNKB0210_IF_SAVE_START),0))</f>
        <v/>
      </c>
      <c r="DS3" s="96" t="str">
        <f ca="1">IF(OFFSET(UNKB0210_B_BIKO,1+ROW()-ROW(UNKB0210_IF_SAVE_START),0)=0,"",
OFFSET(UNKB0210_B_BIKO,1+ROW()-ROW(UNKB0210_IF_SAVE_START),0))</f>
        <v/>
      </c>
      <c r="DT3" s="96" t="str">
        <f ca="1">IF(OFFSET(UNKB0210_B_KOBAI_NO,1+ROW()-ROW(UNKB0210_IF_SAVE_START),0)=0,"",
OFFSET(UNKB0210_B_KOBAI_NO,1+ROW()-ROW(UNKB0210_IF_SAVE_START),0))</f>
        <v/>
      </c>
      <c r="DU3" s="96" t="str">
        <f ca="1">IF(OFFSET(UNKB0210_B_KOBAI_NO,1+ROW()-ROW(UNKB0210_IF_SAVE_START),0)=0,"",
OFFSET(UNKB0210_B_KOBAI_SEQ,1+ROW()-ROW(UNKB0210_IF_SAVE_START),0))</f>
        <v/>
      </c>
      <c r="DV3" s="96" t="b">
        <v>0</v>
      </c>
      <c r="DW3" s="96"/>
      <c r="DX3" s="96"/>
      <c r="DY3" s="96"/>
      <c r="DZ3" s="96"/>
      <c r="EA3" s="96"/>
      <c r="ED3" t="s">
        <v>155</v>
      </c>
      <c r="EE3" t="s">
        <v>361</v>
      </c>
      <c r="EF3" s="43"/>
      <c r="EJ3" s="30" t="s">
        <v>116</v>
      </c>
      <c r="EK3" s="22" t="s">
        <v>79</v>
      </c>
      <c r="EL3" s="22" t="s">
        <v>432</v>
      </c>
      <c r="EM3" s="22" t="s">
        <v>529</v>
      </c>
      <c r="EN3" s="31" t="s">
        <v>64</v>
      </c>
      <c r="EO3" s="32" t="s">
        <v>65</v>
      </c>
      <c r="EP3" s="31" t="s">
        <v>66</v>
      </c>
      <c r="EQ3" s="30" t="s">
        <v>67</v>
      </c>
      <c r="ER3" s="30" t="s">
        <v>70</v>
      </c>
      <c r="ES3" s="31" t="s">
        <v>69</v>
      </c>
      <c r="ET3" s="30" t="s">
        <v>68</v>
      </c>
      <c r="EU3" s="30" t="s">
        <v>117</v>
      </c>
      <c r="EV3" s="30" t="s">
        <v>72</v>
      </c>
      <c r="EW3" s="30" t="s">
        <v>77</v>
      </c>
      <c r="EX3" s="30" t="s">
        <v>78</v>
      </c>
      <c r="EY3" s="30" t="s">
        <v>79</v>
      </c>
      <c r="EZ3" s="30" t="s">
        <v>80</v>
      </c>
      <c r="FA3" s="30" t="s">
        <v>38</v>
      </c>
      <c r="FB3" s="30" t="s">
        <v>81</v>
      </c>
      <c r="FC3" s="30" t="s">
        <v>82</v>
      </c>
    </row>
    <row r="4" spans="1:159" ht="16.5">
      <c r="A4" s="8"/>
      <c r="B4" s="8" t="s">
        <v>463</v>
      </c>
      <c r="C4" s="8" t="s">
        <v>362</v>
      </c>
      <c r="D4" s="9"/>
      <c r="E4" s="8"/>
      <c r="F4" s="8"/>
      <c r="K4" s="44" t="s">
        <v>156</v>
      </c>
      <c r="L4" s="47">
        <v>5</v>
      </c>
      <c r="N4" s="44" t="s">
        <v>156</v>
      </c>
      <c r="O4" s="47">
        <v>3</v>
      </c>
      <c r="Q4" s="44" t="s">
        <v>156</v>
      </c>
      <c r="R4" s="47">
        <v>2</v>
      </c>
      <c r="T4" s="44" t="s">
        <v>156</v>
      </c>
      <c r="U4" s="47">
        <v>6</v>
      </c>
      <c r="W4" s="44" t="s">
        <v>156</v>
      </c>
      <c r="X4" s="216">
        <v>63</v>
      </c>
      <c r="AG4" t="s">
        <v>157</v>
      </c>
      <c r="AH4" s="128">
        <f ca="1">TODAY()</f>
        <v>42930</v>
      </c>
      <c r="AI4" s="14"/>
      <c r="AJ4" s="24" t="s">
        <v>107</v>
      </c>
      <c r="AK4" s="64"/>
      <c r="AL4" s="15"/>
      <c r="AM4" s="24" t="s">
        <v>1195</v>
      </c>
      <c r="AN4" s="239"/>
      <c r="AO4" s="14"/>
      <c r="AP4" s="14"/>
      <c r="AS4" t="s">
        <v>601</v>
      </c>
      <c r="AT4" t="s">
        <v>602</v>
      </c>
      <c r="AU4" s="23"/>
      <c r="AY4" t="s">
        <v>157</v>
      </c>
      <c r="AZ4" t="s">
        <v>158</v>
      </c>
      <c r="BA4" s="43" t="s">
        <v>367</v>
      </c>
      <c r="BL4" s="43" t="s">
        <v>479</v>
      </c>
      <c r="BM4" s="43" t="s">
        <v>480</v>
      </c>
      <c r="BP4" s="43" t="s">
        <v>591</v>
      </c>
      <c r="BW4" s="8"/>
      <c r="BX4" s="8" t="s">
        <v>159</v>
      </c>
      <c r="BY4" s="8" t="s">
        <v>363</v>
      </c>
      <c r="BZ4" s="9"/>
      <c r="CA4" s="8"/>
      <c r="CB4" s="8"/>
      <c r="CC4" s="51" t="s">
        <v>160</v>
      </c>
      <c r="CD4" s="51"/>
      <c r="CE4" s="8"/>
      <c r="CF4" s="8"/>
      <c r="CI4" t="s">
        <v>161</v>
      </c>
      <c r="CJ4" t="s">
        <v>364</v>
      </c>
      <c r="CK4" s="52" t="s">
        <v>162</v>
      </c>
      <c r="CL4" s="52" t="s">
        <v>163</v>
      </c>
      <c r="CM4" s="52" t="s">
        <v>164</v>
      </c>
      <c r="CN4" s="52" t="s">
        <v>165</v>
      </c>
      <c r="CO4" s="52" t="s">
        <v>166</v>
      </c>
      <c r="CP4" s="52" t="s">
        <v>509</v>
      </c>
      <c r="CQ4" s="52" t="s">
        <v>510</v>
      </c>
      <c r="CR4" s="52" t="s">
        <v>1015</v>
      </c>
      <c r="CS4" s="52" t="s">
        <v>1016</v>
      </c>
      <c r="CT4" s="52" t="s">
        <v>511</v>
      </c>
      <c r="CU4" s="52" t="s">
        <v>987</v>
      </c>
      <c r="CV4" s="52" t="s">
        <v>512</v>
      </c>
      <c r="CW4" s="52" t="s">
        <v>513</v>
      </c>
      <c r="CX4" s="52" t="s">
        <v>514</v>
      </c>
      <c r="CY4" s="52" t="s">
        <v>515</v>
      </c>
      <c r="CZ4" s="52" t="s">
        <v>168</v>
      </c>
      <c r="DA4" s="52" t="s">
        <v>169</v>
      </c>
      <c r="DB4" s="52" t="s">
        <v>170</v>
      </c>
      <c r="DC4" s="52" t="s">
        <v>171</v>
      </c>
      <c r="DD4" s="52" t="s">
        <v>516</v>
      </c>
      <c r="DE4" s="52" t="s">
        <v>517</v>
      </c>
      <c r="DF4" s="52" t="s">
        <v>172</v>
      </c>
      <c r="DG4" s="52" t="s">
        <v>518</v>
      </c>
      <c r="DH4" s="52" t="s">
        <v>519</v>
      </c>
      <c r="DI4" s="52" t="s">
        <v>520</v>
      </c>
      <c r="DJ4" s="52" t="s">
        <v>521</v>
      </c>
      <c r="DK4" s="52" t="s">
        <v>173</v>
      </c>
      <c r="DL4" s="52" t="s">
        <v>522</v>
      </c>
      <c r="DM4" s="52" t="s">
        <v>175</v>
      </c>
      <c r="DN4" s="52" t="s">
        <v>174</v>
      </c>
      <c r="DO4" s="52" t="s">
        <v>523</v>
      </c>
      <c r="DP4" s="52" t="s">
        <v>524</v>
      </c>
      <c r="DQ4" s="52" t="s">
        <v>525</v>
      </c>
      <c r="DR4" s="52" t="s">
        <v>167</v>
      </c>
      <c r="DS4" s="52" t="s">
        <v>526</v>
      </c>
      <c r="DT4" s="52" t="s">
        <v>527</v>
      </c>
      <c r="DU4" s="52" t="s">
        <v>528</v>
      </c>
      <c r="DV4" s="52" t="s">
        <v>176</v>
      </c>
      <c r="DW4" s="52" t="s">
        <v>177</v>
      </c>
      <c r="DX4" s="52" t="s">
        <v>178</v>
      </c>
      <c r="DY4" s="52" t="s">
        <v>179</v>
      </c>
      <c r="DZ4" s="52" t="s">
        <v>180</v>
      </c>
      <c r="EA4" s="52" t="s">
        <v>181</v>
      </c>
      <c r="EH4" t="s">
        <v>182</v>
      </c>
      <c r="EI4" t="s">
        <v>365</v>
      </c>
      <c r="EJ4" s="43"/>
    </row>
    <row r="5" spans="1:159" ht="16.5">
      <c r="A5" s="8"/>
      <c r="B5" s="8"/>
      <c r="C5" s="8"/>
      <c r="D5" s="8"/>
      <c r="K5" s="44" t="s">
        <v>472</v>
      </c>
      <c r="L5" s="44" t="s">
        <v>474</v>
      </c>
      <c r="N5" s="44" t="s">
        <v>473</v>
      </c>
      <c r="O5" s="44" t="s">
        <v>475</v>
      </c>
      <c r="Q5" s="44" t="s">
        <v>1000</v>
      </c>
      <c r="R5" s="44" t="s">
        <v>1001</v>
      </c>
      <c r="T5" s="44" t="s">
        <v>1002</v>
      </c>
      <c r="U5" s="44" t="s">
        <v>1003</v>
      </c>
      <c r="W5" s="44" t="s">
        <v>986</v>
      </c>
      <c r="X5" s="214" t="s">
        <v>985</v>
      </c>
      <c r="AB5" t="s">
        <v>118</v>
      </c>
      <c r="AC5" s="20" t="s">
        <v>535</v>
      </c>
      <c r="AD5" s="48">
        <f ca="1">TODAY()</f>
        <v>42930</v>
      </c>
      <c r="AG5" t="s">
        <v>366</v>
      </c>
      <c r="AH5" s="23"/>
      <c r="AI5" s="14"/>
      <c r="AJ5" s="24" t="s">
        <v>92</v>
      </c>
      <c r="AK5" s="208"/>
      <c r="AL5" s="14"/>
      <c r="AM5" s="24" t="s">
        <v>109</v>
      </c>
      <c r="AN5" s="208"/>
      <c r="AO5" s="14"/>
      <c r="AP5" s="14"/>
      <c r="AS5" t="s">
        <v>603</v>
      </c>
      <c r="AT5" t="s">
        <v>604</v>
      </c>
      <c r="AU5" s="43">
        <f>IF(UNKB0210_H_SHOKAN_NO="",2,1)</f>
        <v>2</v>
      </c>
      <c r="AV5" t="s">
        <v>605</v>
      </c>
      <c r="AZ5" t="s">
        <v>610</v>
      </c>
      <c r="BA5" s="26">
        <f ca="1">1+ROW()-ROW(INDIRECT(UNKB0210_B_LIST_START))</f>
        <v>-11</v>
      </c>
      <c r="BB5" s="26"/>
      <c r="BC5" s="26"/>
      <c r="BD5" s="26"/>
      <c r="BE5" s="49"/>
      <c r="BF5" s="222"/>
      <c r="BG5" s="54"/>
      <c r="BH5" s="56"/>
      <c r="BI5" s="55"/>
      <c r="BJ5" s="54"/>
      <c r="BK5" s="55"/>
      <c r="BL5" s="56">
        <f>IF(BH5=0,1,BH5)*BJ5</f>
        <v>0</v>
      </c>
      <c r="BM5" s="56">
        <f>IF(UNKB0210_H_SHIIRESAKI_HASU=1,ROUNDDOWN(BG5*BJ5,0),
IF(UNKB0210_H_SHIIRESAKI_HASU=2,ROUNDUP(BG5*BJ5,0),
ROUND(BG5*BJ5,0)))</f>
        <v>0</v>
      </c>
      <c r="BN5" s="23"/>
      <c r="BO5" s="49"/>
      <c r="BP5" s="75" t="str">
        <f>IF(BO5="","",BC5)</f>
        <v/>
      </c>
      <c r="BQ5" s="240"/>
      <c r="BR5" s="240"/>
      <c r="BS5" s="53"/>
      <c r="BT5" s="23"/>
      <c r="BW5" s="8"/>
      <c r="BX5" s="8" t="s">
        <v>183</v>
      </c>
      <c r="BY5" s="8" t="s">
        <v>368</v>
      </c>
      <c r="BZ5" s="58"/>
      <c r="CA5" s="8"/>
      <c r="CB5" s="8"/>
      <c r="CC5" s="25" t="s">
        <v>184</v>
      </c>
      <c r="CD5" s="25" t="s">
        <v>369</v>
      </c>
      <c r="CE5" s="8"/>
      <c r="CF5" s="8"/>
      <c r="CJ5" s="43" t="s">
        <v>185</v>
      </c>
      <c r="CK5" s="59" t="s">
        <v>488</v>
      </c>
      <c r="CL5" s="59" t="s">
        <v>186</v>
      </c>
      <c r="CM5" s="59" t="s">
        <v>489</v>
      </c>
      <c r="CN5" s="59" t="s">
        <v>187</v>
      </c>
      <c r="CO5" s="59" t="s">
        <v>188</v>
      </c>
      <c r="CP5" s="59" t="s">
        <v>490</v>
      </c>
      <c r="CQ5" s="59" t="s">
        <v>491</v>
      </c>
      <c r="CR5" s="59" t="s">
        <v>1014</v>
      </c>
      <c r="CS5" s="59" t="s">
        <v>992</v>
      </c>
      <c r="CT5" s="59" t="s">
        <v>337</v>
      </c>
      <c r="CU5" s="59" t="s">
        <v>980</v>
      </c>
      <c r="CV5" s="59" t="s">
        <v>492</v>
      </c>
      <c r="CW5" s="59" t="s">
        <v>493</v>
      </c>
      <c r="CX5" s="59" t="s">
        <v>494</v>
      </c>
      <c r="CY5" s="59" t="s">
        <v>495</v>
      </c>
      <c r="CZ5" s="59" t="s">
        <v>189</v>
      </c>
      <c r="DA5" s="59" t="s">
        <v>190</v>
      </c>
      <c r="DB5" s="59" t="s">
        <v>191</v>
      </c>
      <c r="DC5" s="59" t="s">
        <v>192</v>
      </c>
      <c r="DD5" s="59" t="s">
        <v>496</v>
      </c>
      <c r="DE5" s="59" t="s">
        <v>193</v>
      </c>
      <c r="DF5" s="59" t="s">
        <v>194</v>
      </c>
      <c r="DG5" s="59" t="s">
        <v>497</v>
      </c>
      <c r="DH5" s="59" t="s">
        <v>498</v>
      </c>
      <c r="DI5" s="60" t="s">
        <v>441</v>
      </c>
      <c r="DJ5" s="59" t="s">
        <v>499</v>
      </c>
      <c r="DK5" s="59" t="s">
        <v>195</v>
      </c>
      <c r="DL5" s="60" t="s">
        <v>500</v>
      </c>
      <c r="DM5" s="59" t="s">
        <v>196</v>
      </c>
      <c r="DN5" s="59" t="s">
        <v>501</v>
      </c>
      <c r="DO5" s="59" t="s">
        <v>502</v>
      </c>
      <c r="DP5" s="59" t="s">
        <v>503</v>
      </c>
      <c r="DQ5" s="59" t="s">
        <v>504</v>
      </c>
      <c r="DR5" s="59" t="s">
        <v>505</v>
      </c>
      <c r="DS5" s="59" t="s">
        <v>506</v>
      </c>
      <c r="DT5" s="59" t="s">
        <v>507</v>
      </c>
      <c r="DU5" s="59" t="s">
        <v>508</v>
      </c>
      <c r="DV5" s="59" t="s">
        <v>197</v>
      </c>
      <c r="DW5" s="59" t="s">
        <v>198</v>
      </c>
      <c r="DX5" s="59" t="s">
        <v>199</v>
      </c>
      <c r="DY5" s="59" t="s">
        <v>200</v>
      </c>
      <c r="DZ5" s="59" t="s">
        <v>201</v>
      </c>
      <c r="EA5" s="59" t="s">
        <v>202</v>
      </c>
      <c r="ED5" t="s">
        <v>203</v>
      </c>
      <c r="EE5" t="s">
        <v>370</v>
      </c>
      <c r="EF5" s="43">
        <f>IF(UNKB0210_IF_MULTI_SELECT_KENSU+UNKB0210_B_GYO_COUNT&gt;99,99-UNKB0210_B_GYO_COUNT,UNKB0210_IF_MULTI_SELECT_KENSU)</f>
        <v>0</v>
      </c>
    </row>
    <row r="6" spans="1:159" ht="16.5">
      <c r="A6" s="8"/>
      <c r="B6" s="8" t="s">
        <v>204</v>
      </c>
      <c r="C6" s="8" t="s">
        <v>371</v>
      </c>
      <c r="D6" s="9"/>
      <c r="E6" s="8" t="s">
        <v>149</v>
      </c>
      <c r="F6" s="8" t="s">
        <v>205</v>
      </c>
      <c r="K6" s="44" t="s">
        <v>206</v>
      </c>
      <c r="L6" s="44" t="s">
        <v>207</v>
      </c>
      <c r="N6" s="44" t="s">
        <v>206</v>
      </c>
      <c r="O6" s="44" t="s">
        <v>207</v>
      </c>
      <c r="Q6" s="44" t="s">
        <v>206</v>
      </c>
      <c r="R6" s="44" t="s">
        <v>207</v>
      </c>
      <c r="T6" s="44" t="s">
        <v>206</v>
      </c>
      <c r="U6" s="44" t="s">
        <v>207</v>
      </c>
      <c r="W6" s="44" t="s">
        <v>206</v>
      </c>
      <c r="X6" s="214" t="s">
        <v>207</v>
      </c>
      <c r="AH6" s="61"/>
      <c r="AI6" s="14"/>
      <c r="AJ6" s="14"/>
      <c r="AK6" s="14"/>
      <c r="AL6" s="14"/>
      <c r="AM6" s="14"/>
      <c r="AN6" s="14"/>
      <c r="AO6" s="14"/>
      <c r="AP6" s="14"/>
      <c r="BW6" s="8"/>
      <c r="BX6" s="8" t="s">
        <v>208</v>
      </c>
      <c r="BY6" s="8" t="s">
        <v>372</v>
      </c>
      <c r="BZ6" s="58">
        <v>0</v>
      </c>
      <c r="CA6" s="8"/>
      <c r="CB6" s="8"/>
      <c r="CC6" s="25" t="s">
        <v>209</v>
      </c>
      <c r="CD6" s="25" t="str">
        <f>ADDRESS(ROW(UNKB0210_IF_SAVE_CHECK_RESULT),COLUMN(UNKB0210_IF_SAVE_CHECK_RESULT))</f>
        <v>$CD$30</v>
      </c>
      <c r="CE6" s="8"/>
      <c r="CF6" s="8"/>
      <c r="CH6" t="s">
        <v>210</v>
      </c>
      <c r="CI6" s="8" t="s">
        <v>373</v>
      </c>
      <c r="CJ6" s="43"/>
      <c r="CK6" s="43"/>
      <c r="DG6" s="43" t="s">
        <v>211</v>
      </c>
      <c r="ED6" t="s">
        <v>212</v>
      </c>
      <c r="EE6" t="s">
        <v>374</v>
      </c>
      <c r="EF6" s="43">
        <f>IF(UNKB0210_IF_MULTI_SELECT_KENSU&gt;0,1,2)</f>
        <v>2</v>
      </c>
      <c r="EG6" t="s">
        <v>213</v>
      </c>
    </row>
    <row r="7" spans="1:159" ht="16.5">
      <c r="B7" s="8" t="s">
        <v>214</v>
      </c>
      <c r="C7" s="8" t="s">
        <v>375</v>
      </c>
      <c r="D7" s="9">
        <f>IF(AND(UNKB0210_H_PAGE_NO&gt;1,UNKB0210_H_PAGE_NO&gt;=UNKB0210_H_PAGE_TOTAL),1,2)</f>
        <v>2</v>
      </c>
      <c r="E7" s="8" t="s">
        <v>215</v>
      </c>
      <c r="K7" s="62" t="s">
        <v>536</v>
      </c>
      <c r="L7" s="63">
        <v>1</v>
      </c>
      <c r="N7" s="62" t="s">
        <v>216</v>
      </c>
      <c r="O7">
        <v>1</v>
      </c>
      <c r="Q7" s="62" t="s">
        <v>1010</v>
      </c>
      <c r="R7" s="63">
        <v>0</v>
      </c>
      <c r="T7" s="62" t="s">
        <v>1005</v>
      </c>
      <c r="U7" s="63">
        <v>0</v>
      </c>
      <c r="W7" s="62" t="s">
        <v>1027</v>
      </c>
      <c r="X7" s="215" t="s">
        <v>1028</v>
      </c>
      <c r="AH7" s="14"/>
      <c r="AI7" s="14"/>
      <c r="AJ7" s="14"/>
      <c r="AK7" s="14"/>
      <c r="AL7" s="14"/>
      <c r="AM7" s="14"/>
      <c r="AN7" s="14"/>
      <c r="AO7" s="14"/>
      <c r="AP7" s="14"/>
      <c r="AY7" t="s">
        <v>246</v>
      </c>
      <c r="AZ7" t="s">
        <v>158</v>
      </c>
      <c r="BW7" s="8"/>
      <c r="BX7" s="8" t="s">
        <v>217</v>
      </c>
      <c r="BY7" s="8" t="s">
        <v>376</v>
      </c>
      <c r="BZ7" s="9"/>
      <c r="CA7" s="8" t="s">
        <v>218</v>
      </c>
      <c r="CB7" s="8"/>
      <c r="CC7" s="51" t="s">
        <v>219</v>
      </c>
      <c r="CD7" s="51" t="s">
        <v>220</v>
      </c>
      <c r="CE7" s="8"/>
      <c r="CF7" s="8"/>
      <c r="ED7" t="s">
        <v>221</v>
      </c>
      <c r="EE7" t="s">
        <v>377</v>
      </c>
      <c r="EF7" s="43">
        <f>UNKB0210_B_GYO_COUNT+UNKB0210_IF_MULTI_SELECT_TENKAI_KENSU</f>
        <v>0</v>
      </c>
    </row>
    <row r="8" spans="1:159" ht="16.5">
      <c r="B8" s="8" t="s">
        <v>222</v>
      </c>
      <c r="C8" s="8" t="s">
        <v>378</v>
      </c>
      <c r="D8" s="43">
        <f>IF(UNKB0210_H_SHOKAN_NO="",2,1)</f>
        <v>2</v>
      </c>
      <c r="E8" s="8" t="s">
        <v>149</v>
      </c>
      <c r="F8" s="8" t="s">
        <v>205</v>
      </c>
      <c r="K8" s="63" t="s">
        <v>537</v>
      </c>
      <c r="L8">
        <v>2</v>
      </c>
      <c r="N8" s="63" t="s">
        <v>223</v>
      </c>
      <c r="O8">
        <v>2</v>
      </c>
      <c r="Q8" s="63" t="s">
        <v>1011</v>
      </c>
      <c r="R8">
        <v>1</v>
      </c>
      <c r="T8" s="63" t="s">
        <v>1006</v>
      </c>
      <c r="U8" s="210">
        <v>1</v>
      </c>
      <c r="W8" s="63" t="s">
        <v>1029</v>
      </c>
      <c r="X8" s="213" t="s">
        <v>1030</v>
      </c>
      <c r="AH8" s="207"/>
      <c r="AI8" s="250" t="str">
        <f>IF(UNKB0210_H_SHIIRESAKI_CD="","",UNKB0210_H_SHIIRESAKI_MEI)</f>
        <v/>
      </c>
      <c r="AJ8" s="251"/>
      <c r="AK8" s="252"/>
      <c r="AL8" s="24" t="s">
        <v>989</v>
      </c>
      <c r="AM8" s="217"/>
      <c r="AN8" s="14"/>
      <c r="AO8" s="24" t="s">
        <v>990</v>
      </c>
      <c r="AP8" s="212"/>
      <c r="AZ8" t="s">
        <v>390</v>
      </c>
      <c r="BA8" s="26">
        <f ca="1">1+ROW()-ROW(INDIRECT(UNKB0210_B_LIST_START))</f>
        <v>-8</v>
      </c>
      <c r="BB8" s="26"/>
      <c r="BC8" s="26"/>
      <c r="BD8" s="26"/>
      <c r="BE8" s="49"/>
      <c r="BF8" s="222"/>
      <c r="BG8" s="54"/>
      <c r="BH8" s="56"/>
      <c r="BI8" s="55"/>
      <c r="BJ8" s="54"/>
      <c r="BK8" s="55"/>
      <c r="BL8" s="56">
        <f>IF(BH8=0,1,BH8)*BJ8</f>
        <v>0</v>
      </c>
      <c r="BM8" s="56">
        <f>IF(UNKB0210_H_SHIIRESAKI_HASU=1,ROUNDDOWN(BG8*BJ8,0),
IF(UNKB0210_H_SHIIRESAKI_HASU=2,ROUNDUP(BG8*BJ8,0),
ROUND(BG8*BJ8,0)))</f>
        <v>0</v>
      </c>
      <c r="BN8" s="23"/>
      <c r="BO8" s="49"/>
      <c r="BP8" s="75" t="str">
        <f>IF(BO8="","",BC8)</f>
        <v/>
      </c>
      <c r="BQ8" s="240"/>
      <c r="BR8" s="240"/>
      <c r="BS8" s="53"/>
      <c r="BT8" s="23"/>
      <c r="BW8" s="8"/>
      <c r="BX8" s="8" t="s">
        <v>224</v>
      </c>
      <c r="BY8" s="8" t="s">
        <v>379</v>
      </c>
      <c r="BZ8" s="9"/>
      <c r="CA8" s="8" t="s">
        <v>225</v>
      </c>
      <c r="CB8" s="8"/>
      <c r="CC8" s="25" t="s">
        <v>34</v>
      </c>
      <c r="CD8" s="25" t="s">
        <v>380</v>
      </c>
      <c r="CE8" s="8"/>
      <c r="CF8" s="8"/>
      <c r="CH8" s="8"/>
    </row>
    <row r="9" spans="1:159" ht="16.5">
      <c r="K9" s="63" t="s">
        <v>43</v>
      </c>
      <c r="L9">
        <v>3</v>
      </c>
      <c r="N9" s="63" t="s">
        <v>226</v>
      </c>
      <c r="O9">
        <v>3</v>
      </c>
      <c r="Q9" s="63"/>
      <c r="T9" s="63" t="s">
        <v>1004</v>
      </c>
      <c r="U9" s="210">
        <v>2</v>
      </c>
      <c r="W9" s="63" t="s">
        <v>1031</v>
      </c>
      <c r="X9" s="213" t="s">
        <v>1032</v>
      </c>
      <c r="AH9" s="280"/>
      <c r="AI9" s="281"/>
      <c r="AJ9" s="281"/>
      <c r="AK9" s="282"/>
      <c r="AL9" s="24" t="s">
        <v>981</v>
      </c>
      <c r="AM9" s="289"/>
      <c r="AN9" s="290"/>
      <c r="AO9" s="14"/>
      <c r="AP9" s="14"/>
      <c r="BW9" s="8"/>
      <c r="BX9" s="8" t="s">
        <v>227</v>
      </c>
      <c r="BY9" s="8" t="s">
        <v>381</v>
      </c>
      <c r="BZ9" s="9"/>
      <c r="CA9" s="8" t="s">
        <v>225</v>
      </c>
      <c r="CB9" s="8"/>
      <c r="CC9" s="25" t="s">
        <v>228</v>
      </c>
      <c r="CD9" s="65" t="s">
        <v>1013</v>
      </c>
      <c r="CE9" s="8"/>
      <c r="CF9" s="8"/>
      <c r="CG9" s="8"/>
      <c r="CH9" s="8"/>
      <c r="ED9" t="s">
        <v>229</v>
      </c>
      <c r="EE9" t="s">
        <v>382</v>
      </c>
      <c r="EF9" s="43" t="str">
        <f>"UNKB0210_IF!"&amp;
ADDRESS(ROW(UNKB0210_IF_MULTI_SELECT_TENKAI_START),COLUMN(UNKB0210_IF_MULTI_SELECT_LIST_GYO))
&amp;":"&amp;ADDRESS(ROW(UNKB0210_IF_MULTI_SELECT_TENKAI_START)+UNKB0210_IF_MULTI_SELECT_TENKAI_KENSU-1,COLUMN(UNKB0210_IF_MULTI_SELECT_LIST_GYO)+COLUMNS(UNKB0210_IF_COPY_B_MEISAI_SHINKI)-1)</f>
        <v>UNKB0210_IF!$EJ$4:$FC$3</v>
      </c>
    </row>
    <row r="10" spans="1:159" ht="16.5">
      <c r="B10" s="8"/>
      <c r="C10" s="8"/>
      <c r="K10" s="63" t="s">
        <v>1158</v>
      </c>
      <c r="L10">
        <v>4</v>
      </c>
      <c r="Q10" s="63"/>
      <c r="T10" s="63" t="s">
        <v>1007</v>
      </c>
      <c r="U10" s="210">
        <v>3</v>
      </c>
      <c r="W10" s="63" t="s">
        <v>1033</v>
      </c>
      <c r="X10" s="213" t="s">
        <v>1034</v>
      </c>
      <c r="AH10" s="283"/>
      <c r="AI10" s="284"/>
      <c r="AJ10" s="284"/>
      <c r="AK10" s="285"/>
      <c r="AL10" s="14"/>
      <c r="AM10" s="14"/>
      <c r="AN10" s="14"/>
      <c r="AO10" s="14"/>
      <c r="AP10" s="14"/>
      <c r="AY10" t="s">
        <v>259</v>
      </c>
      <c r="AZ10" t="s">
        <v>158</v>
      </c>
      <c r="BW10" s="8"/>
      <c r="BX10" s="8"/>
      <c r="BY10" s="8"/>
      <c r="BZ10" s="8"/>
      <c r="CA10" s="8"/>
      <c r="CB10" s="8"/>
      <c r="CC10" s="25" t="s">
        <v>230</v>
      </c>
      <c r="CD10" s="65" t="s">
        <v>1012</v>
      </c>
      <c r="CE10" s="8"/>
      <c r="CF10" s="8"/>
      <c r="CH10" s="8"/>
      <c r="ED10" t="s">
        <v>231</v>
      </c>
      <c r="EE10" t="s">
        <v>383</v>
      </c>
      <c r="EF10" s="43" t="str">
        <f>"UNKB0210_IF!"&amp;
ADDRESS(ROW(UNKB0210_IF_MULTI_SELECT_TENKAI_START),COLUMN(UNKB0210_IF_MULTI_SELECT_LIST_GYO))
&amp;":"&amp;ADDRESS(ROW(UNKB0210_IF_MULTI_SELECT_TENKAI_START)+UNKB0210_IF_MULTI_SELECT_TENKAI_KENSU-1,COLUMN(UNKB0210_IF_MULTI_SELECT_LIST_GYO))</f>
        <v>UNKB0210_IF!$EJ$4:$EJ$3</v>
      </c>
    </row>
    <row r="11" spans="1:159" ht="16.5">
      <c r="B11" s="8"/>
      <c r="C11" s="8"/>
      <c r="K11" s="63" t="s">
        <v>45</v>
      </c>
      <c r="L11">
        <v>5</v>
      </c>
      <c r="Q11" s="63"/>
      <c r="T11" s="63" t="s">
        <v>1008</v>
      </c>
      <c r="U11" s="210">
        <v>5</v>
      </c>
      <c r="W11" s="63" t="s">
        <v>1035</v>
      </c>
      <c r="X11" s="213" t="s">
        <v>1036</v>
      </c>
      <c r="AH11" s="283"/>
      <c r="AI11" s="284"/>
      <c r="AJ11" s="284"/>
      <c r="AK11" s="285"/>
      <c r="AL11" s="14"/>
      <c r="AM11" s="27" t="s">
        <v>112</v>
      </c>
      <c r="AN11" s="27" t="s">
        <v>113</v>
      </c>
      <c r="AO11" s="27" t="s">
        <v>114</v>
      </c>
      <c r="AP11" s="27" t="s">
        <v>115</v>
      </c>
      <c r="AZ11" t="s">
        <v>394</v>
      </c>
      <c r="BA11" s="95">
        <f ca="1">1+ROW()-ROW(INDIRECT(UNKB0210_B_LIST_START))</f>
        <v>-5</v>
      </c>
      <c r="BB11" s="95"/>
      <c r="BC11" s="95"/>
      <c r="BD11" s="95"/>
      <c r="BE11" s="23"/>
      <c r="BF11" s="223"/>
      <c r="BG11" s="57"/>
      <c r="BH11" s="57"/>
      <c r="BI11" s="50"/>
      <c r="BJ11" s="57"/>
      <c r="BK11" s="50"/>
      <c r="BL11" s="56">
        <f>IF(BH11=0,1,BH11)*BJ11</f>
        <v>0</v>
      </c>
      <c r="BM11" s="57">
        <f>IF(UNKB0210_H_SHIIRESAKI_HASU=1,ROUNDDOWN(BG11*BJ11,0),
IF(UNKB0210_H_SHIIRESAKI_HASU=2,ROUNDUP(BG11*BJ11,0),
ROUND(BG11*BJ11,0)))</f>
        <v>0</v>
      </c>
      <c r="BN11" s="23"/>
      <c r="BO11" s="23"/>
      <c r="BP11" s="94" t="str">
        <f>IF(BO11="","",BC11)</f>
        <v/>
      </c>
      <c r="BQ11" s="23"/>
      <c r="BR11" s="23"/>
      <c r="BS11" s="94"/>
      <c r="BT11" s="23"/>
      <c r="BW11" s="8"/>
      <c r="BX11" s="42" t="s">
        <v>233</v>
      </c>
      <c r="BY11" s="8"/>
      <c r="BZ11" s="8"/>
      <c r="CA11" s="8"/>
      <c r="CB11" s="8"/>
      <c r="CC11" s="303" t="s">
        <v>234</v>
      </c>
      <c r="CD11" s="303"/>
      <c r="CE11" s="8"/>
      <c r="CF11" s="8"/>
      <c r="CH11" s="8"/>
      <c r="ED11" t="s">
        <v>238</v>
      </c>
      <c r="EE11" t="s">
        <v>386</v>
      </c>
      <c r="EF11" s="43" t="str">
        <f>"UNKB0210_IF!"&amp;
ADDRESS(ROW(UNKB0210_IF_MULTI_SELECT_TENKAI_START),COLUMN(UNKB0210_IF_MULTI_SELECT_LIST_SOSU))
&amp;":"&amp;ADDRESS(ROW(UNKB0210_IF_MULTI_SELECT_TENKAI_START)+UNKB0210_IF_MULTI_SELECT_TENKAI_KENSU-1,COLUMN(UNKB0210_IF_MULTI_SELECT_LIST_SOSU))</f>
        <v>UNKB0210_IF!$EU$4:$EU$3</v>
      </c>
    </row>
    <row r="12" spans="1:159" ht="16.5">
      <c r="T12" s="210" t="s">
        <v>1009</v>
      </c>
      <c r="U12" s="210">
        <v>6</v>
      </c>
      <c r="W12" t="s">
        <v>1037</v>
      </c>
      <c r="X12" s="213" t="s">
        <v>1038</v>
      </c>
      <c r="AH12" s="286"/>
      <c r="AI12" s="287"/>
      <c r="AJ12" s="287"/>
      <c r="AK12" s="288"/>
      <c r="AL12" s="14"/>
      <c r="AM12" s="28">
        <f>UNKB0210_H_TAX_RATE</f>
        <v>0</v>
      </c>
      <c r="AN12" s="67">
        <f ca="1">IF(UNKB0210_B_GYO_COUNT=0,0,
IF(UNKB0210_H_SHIIRESAKI_HASU=1,ROUNDDOWN(SUM(OFFSET(UNKB0210_B_TOTAL,1,0,UNKB0210_B_GYO_COUNT)),0),
IF(UNKB0210_H_SHIIRESAKI_HASU=2,ROUNDUP(SUM(OFFSET(UNKB0210_B_TOTAL,1,0,UNKB0210_B_GYO_COUNT)),0),
ROUND(SUM(OFFSET(UNKB0210_B_TOTAL,1,0,UNKB0210_B_GYO_COUNT)),0))))</f>
        <v>0</v>
      </c>
      <c r="AO12" s="67">
        <f>IF(UNKB0210_B_GYO_COUNT=0,0,ROUNDDOWN(UNKB0210_H_NUKI_TOTAL*UNKB0210_H_TAX_RATE,0))</f>
        <v>0</v>
      </c>
      <c r="AP12" s="67">
        <f>IF(UNKB0210_B_GYO_COUNT=0,0,UNKB0210_H_NUKI_TOTAL+UNKB0210_H_TAX)</f>
        <v>0</v>
      </c>
      <c r="BW12" s="8"/>
      <c r="BX12" t="s">
        <v>237</v>
      </c>
      <c r="BY12" s="8" t="s">
        <v>385</v>
      </c>
      <c r="BZ12" s="9" t="str">
        <f>"UNKB0210_IF!"&amp;ADDRESS(ROW(UNKB0210_IF_SAVE_COPY_START),COLUMN(UNKB0210_IF_SAVE_COPY_START))&amp;":"&amp;ADDRESS(ROW(UNKB0210_IF_SAVE_COPY_START)+IF(UNKB0210_IF_SAVE_KENSU=0,0,UNKB0210_IF_SAVE_KENSU-1),COLUMN(UNKB0210_IF_SAVE_COPY_START)+COLUMNS(UNKB0210_IF_SAVE_COPY_MOTO)-1)</f>
        <v>UNKB0210_IF!$CJ$6:$EA$6</v>
      </c>
      <c r="CA12" s="8"/>
      <c r="CB12" s="8"/>
      <c r="CC12" s="66" t="s">
        <v>34</v>
      </c>
      <c r="CD12" s="66" t="s">
        <v>369</v>
      </c>
      <c r="CE12" s="8"/>
      <c r="CF12" s="8"/>
      <c r="CH12" s="8"/>
      <c r="ED12" t="s">
        <v>460</v>
      </c>
      <c r="EE12" t="s">
        <v>593</v>
      </c>
      <c r="EF12" s="43" t="str">
        <f>"UNKB0210_IF!"&amp;
ADDRESS(ROW(UNKB0210_IF_MULTI_SELECT_TENKAI_START),COLUMN(UNKB0210_IF_MULTI_SELECT_LIST_TOTAL))
&amp;":"&amp;ADDRESS(ROW(UNKB0210_IF_MULTI_SELECT_TENKAI_START)+UNKB0210_IF_MULTI_SELECT_TENKAI_KENSU-1,COLUMN(UNKB0210_IF_MULTI_SELECT_LIST_TOTAL))</f>
        <v>UNKB0210_IF!$EV$4:$EV$3</v>
      </c>
    </row>
    <row r="13" spans="1:159" ht="16.5">
      <c r="W13" t="s">
        <v>1039</v>
      </c>
      <c r="X13" s="213" t="s">
        <v>1040</v>
      </c>
      <c r="AZ13" t="s">
        <v>264</v>
      </c>
      <c r="BW13" s="8"/>
      <c r="BX13" t="s">
        <v>239</v>
      </c>
      <c r="BY13" s="8" t="s">
        <v>387</v>
      </c>
      <c r="BZ13" s="9">
        <f>IF(UNKB0210_B_GYO_COUNT=0,1,UNKB0210_B_GYO_COUNT)</f>
        <v>1</v>
      </c>
      <c r="CA13" s="8"/>
      <c r="CB13" s="8"/>
      <c r="CC13" s="33" t="s">
        <v>240</v>
      </c>
      <c r="CD13" s="25" t="str">
        <f>ADDRESS(ROW(UNKB0210_IF_SAVE_CHECK_START),COLUMN(UNKB0210_IF_SAVE_CHECK_START))</f>
        <v>$DG$6</v>
      </c>
      <c r="CE13" s="8"/>
      <c r="CF13" s="8"/>
      <c r="CH13" s="8"/>
      <c r="ED13" t="s">
        <v>461</v>
      </c>
      <c r="EE13" t="s">
        <v>592</v>
      </c>
      <c r="EF13" s="43" t="str">
        <f>"UNKB0210_IF!"&amp;
ADDRESS(ROW(UNKB0210_IF_MULTI_SELECT_TENKAI_START),COLUMN(UNKB0210_IF_MULTI_SELECT_LIST_MAKER_MEI))
&amp;":"&amp;ADDRESS(ROW(UNKB0210_IF_MULTI_SELECT_TENKAI_START)+UNKB0210_IF_MULTI_SELECT_TENKAI_KENSU-1,COLUMN(UNKB0210_IF_MULTI_SELECT_LIST_MAKER_MEI))</f>
        <v>UNKB0210_IF!$EX$4:$EX$3</v>
      </c>
    </row>
    <row r="14" spans="1:159" ht="16.5">
      <c r="W14" t="s">
        <v>1041</v>
      </c>
      <c r="X14" s="213" t="s">
        <v>1042</v>
      </c>
      <c r="AY14" t="s">
        <v>266</v>
      </c>
      <c r="AZ14" t="s">
        <v>402</v>
      </c>
      <c r="BA14" s="72"/>
      <c r="BB14" s="72"/>
      <c r="BC14" s="72"/>
      <c r="BD14" s="72"/>
      <c r="BE14" s="72"/>
      <c r="BF14" s="224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W14" s="8"/>
      <c r="BX14" s="8"/>
      <c r="BY14" s="8"/>
      <c r="BZ14" s="8"/>
      <c r="CA14" s="8"/>
      <c r="CB14" s="8"/>
      <c r="CC14" s="33" t="s">
        <v>242</v>
      </c>
      <c r="CD14" s="33">
        <v>11</v>
      </c>
      <c r="CE14" s="8"/>
      <c r="CF14" s="8"/>
      <c r="CH14" s="8"/>
    </row>
    <row r="15" spans="1:159" ht="16.5">
      <c r="A15" s="42" t="s">
        <v>232</v>
      </c>
      <c r="B15" s="8"/>
      <c r="C15" s="8"/>
      <c r="D15" s="8"/>
      <c r="E15" s="8"/>
      <c r="W15" t="s">
        <v>1043</v>
      </c>
      <c r="X15" s="213" t="s">
        <v>1044</v>
      </c>
      <c r="AG15" t="s">
        <v>246</v>
      </c>
      <c r="AH15" s="128"/>
      <c r="AI15" s="14"/>
      <c r="AJ15" s="24" t="s">
        <v>107</v>
      </c>
      <c r="AK15" s="64"/>
      <c r="AL15" s="15"/>
      <c r="AM15" s="24" t="s">
        <v>1195</v>
      </c>
      <c r="AN15" s="239"/>
      <c r="AO15" s="14"/>
      <c r="AP15" s="14"/>
      <c r="BW15" s="8"/>
      <c r="BX15" s="8"/>
      <c r="BY15" s="8"/>
      <c r="BZ15" s="8"/>
      <c r="CA15" s="8"/>
      <c r="CB15" s="8"/>
      <c r="CC15" s="33" t="s">
        <v>243</v>
      </c>
      <c r="CD15" s="33">
        <f>UNKB0210_IF_SAVE_KENSU</f>
        <v>1</v>
      </c>
      <c r="CE15" s="8"/>
      <c r="CF15" s="8"/>
      <c r="CH15" s="8"/>
    </row>
    <row r="16" spans="1:159" ht="16.5">
      <c r="A16" s="8"/>
      <c r="B16" s="8" t="s">
        <v>235</v>
      </c>
      <c r="C16" s="8" t="s">
        <v>384</v>
      </c>
      <c r="D16" s="9">
        <v>0</v>
      </c>
      <c r="E16" s="8" t="s">
        <v>236</v>
      </c>
      <c r="W16" t="s">
        <v>1045</v>
      </c>
      <c r="X16" s="213" t="s">
        <v>1046</v>
      </c>
      <c r="AG16" t="s">
        <v>391</v>
      </c>
      <c r="AH16" s="23"/>
      <c r="AI16" s="14"/>
      <c r="AJ16" s="24" t="s">
        <v>92</v>
      </c>
      <c r="AK16" s="208"/>
      <c r="AL16" s="14"/>
      <c r="AM16" s="24" t="s">
        <v>109</v>
      </c>
      <c r="AN16" s="208"/>
      <c r="AO16" s="14"/>
      <c r="AP16" s="14"/>
      <c r="BW16" s="8"/>
      <c r="CA16" s="8"/>
      <c r="CC16" s="33" t="s">
        <v>247</v>
      </c>
      <c r="CD16" s="33" t="s">
        <v>1022</v>
      </c>
      <c r="CE16" s="8"/>
      <c r="CF16" s="8"/>
      <c r="CG16" s="8"/>
      <c r="CH16" s="8"/>
      <c r="ED16" t="s">
        <v>244</v>
      </c>
      <c r="EE16" t="s">
        <v>389</v>
      </c>
      <c r="EF16" s="43" t="str">
        <f>"UNKB0210_IF!"&amp;
ADDRESS(ROW(UNKB0210_IF_MULTI_SELECT_TENKAI_START),COLUMN(UNKB0210_IF_MULTI_SELECT_LIST_GYO))
&amp;":"&amp;ADDRESS(ROW(UNKB0210_IF_MULTI_SELECT_TENKAI_START)+UNKB0210_IF_MULTI_SELECT_TENKAI_KENSU-1,COLUMN(UNKB0210_IF_MULTI_SELECT_LIST_GYO)+COLUMNS(UNKB0210_IF_COPY_B_MEISAI_SHINKI)-1)</f>
        <v>UNKB0210_IF!$EJ$4:$FC$3</v>
      </c>
    </row>
    <row r="17" spans="1:86" ht="16.5">
      <c r="A17" s="8"/>
      <c r="B17" s="8" t="s">
        <v>464</v>
      </c>
      <c r="C17" s="8" t="s">
        <v>465</v>
      </c>
      <c r="D17" s="9">
        <v>0</v>
      </c>
      <c r="E17" s="8" t="s">
        <v>149</v>
      </c>
      <c r="F17" s="8" t="s">
        <v>1023</v>
      </c>
      <c r="W17" t="s">
        <v>1047</v>
      </c>
      <c r="X17" s="213" t="s">
        <v>1048</v>
      </c>
      <c r="AH17" s="61"/>
      <c r="AI17" s="14"/>
      <c r="AJ17" s="14"/>
      <c r="AK17" s="14"/>
      <c r="AL17" s="14"/>
      <c r="AM17" s="14"/>
      <c r="AN17" s="14"/>
      <c r="AO17" s="14"/>
      <c r="AP17" s="14"/>
      <c r="BW17" s="8"/>
      <c r="CC17" s="33" t="s">
        <v>248</v>
      </c>
      <c r="CD17" s="33" t="str">
        <f ca="1">func_文字列連結(OFFSET(UNKB0210_IF_SAVE_JOGAI_GYO,1,0,UNKB0210_IF_SAVE_KENSU),",")</f>
        <v/>
      </c>
      <c r="CE17" s="8"/>
      <c r="CF17" s="8"/>
      <c r="CG17" s="8"/>
      <c r="CH17" s="8"/>
    </row>
    <row r="18" spans="1:86" ht="16.5">
      <c r="B18" s="8" t="s">
        <v>241</v>
      </c>
      <c r="C18" s="8" t="s">
        <v>388</v>
      </c>
      <c r="D18" s="43"/>
      <c r="W18" t="s">
        <v>1049</v>
      </c>
      <c r="X18" s="213" t="s">
        <v>1050</v>
      </c>
      <c r="AH18" s="14"/>
      <c r="AI18" s="14"/>
      <c r="AJ18" s="14"/>
      <c r="AK18" s="14"/>
      <c r="AL18" s="14"/>
      <c r="AM18" s="14"/>
      <c r="AN18" s="14"/>
      <c r="AO18" s="14"/>
      <c r="AP18" s="14"/>
      <c r="BW18" s="8"/>
      <c r="CC18" s="33" t="s">
        <v>249</v>
      </c>
      <c r="CD18" s="33" t="str">
        <f>COLUMN(UNKB0210_IF_SAVE_KOBAIHIN_CD)&amp;","&amp;COLUMN(UNKB0210_IF_SAVE_KOBAIHIN_MEI)&amp;","&amp;COLUMN(UNKB0210_IF_SAVE_IRISU)&amp;","&amp;COLUMN(UNKB0210_IF_SAVE_IRISU_TANI)&amp;","&amp;COLUMN(UNKB0210_IF_SAVE_BARA_TANI)&amp;","&amp;COLUMN(UNKB0210_IF_SAVE_SOSU)&amp;","&amp;COLUMN(UNKB0210_IF_SAVE_TOTAL)&amp;","&amp;COLUMN(UNKB0210_IF_SAVE_MAKER_CD)</f>
        <v>111,112,114,115,117,118,119,120</v>
      </c>
      <c r="CE18" s="8"/>
      <c r="CF18" s="8"/>
      <c r="CG18" s="8"/>
      <c r="CH18" s="8"/>
    </row>
    <row r="19" spans="1:86" ht="16.5">
      <c r="W19" t="s">
        <v>1051</v>
      </c>
      <c r="X19" s="213" t="s">
        <v>1052</v>
      </c>
      <c r="AH19" s="207"/>
      <c r="AI19" s="250" t="str">
        <f>IF(UNKB0210_H_SHIIRESAKI_CD="","",UNKB0210_H_SHIIRESAKI_MEI)</f>
        <v/>
      </c>
      <c r="AJ19" s="251"/>
      <c r="AK19" s="252"/>
      <c r="AL19" s="24" t="s">
        <v>989</v>
      </c>
      <c r="AM19" s="217"/>
      <c r="AN19" s="14"/>
      <c r="AO19" s="24" t="s">
        <v>990</v>
      </c>
      <c r="AP19" s="212"/>
      <c r="BW19" s="8"/>
      <c r="CA19" s="8"/>
      <c r="CC19" s="33" t="s">
        <v>250</v>
      </c>
      <c r="CD19" s="33"/>
      <c r="CE19" s="8"/>
      <c r="CF19" s="8"/>
      <c r="CG19" s="8"/>
      <c r="CH19" s="8"/>
    </row>
    <row r="20" spans="1:86" ht="16.5">
      <c r="A20" t="s">
        <v>245</v>
      </c>
      <c r="W20" t="s">
        <v>1053</v>
      </c>
      <c r="X20" s="213" t="s">
        <v>1054</v>
      </c>
      <c r="AH20" s="280"/>
      <c r="AI20" s="281"/>
      <c r="AJ20" s="281"/>
      <c r="AK20" s="282"/>
      <c r="AL20" s="24" t="s">
        <v>981</v>
      </c>
      <c r="AM20" s="289"/>
      <c r="AN20" s="290"/>
      <c r="AO20" s="14"/>
      <c r="AP20" s="14"/>
      <c r="BW20" s="8"/>
      <c r="CA20" s="8"/>
      <c r="CC20" s="20" t="s">
        <v>251</v>
      </c>
      <c r="CD20" s="68"/>
    </row>
    <row r="21" spans="1:86" ht="16.5">
      <c r="B21" s="8" t="s">
        <v>466</v>
      </c>
      <c r="C21" s="8" t="s">
        <v>573</v>
      </c>
      <c r="D21" s="43">
        <f ca="1">IF(OR(UNKB0210_H_SHIIRE_DATE="",UNKB0210_H_SHIIRESAKI_CD=""),2,1)</f>
        <v>2</v>
      </c>
      <c r="E21" t="s">
        <v>467</v>
      </c>
      <c r="W21" t="s">
        <v>1055</v>
      </c>
      <c r="X21" s="213" t="s">
        <v>1056</v>
      </c>
      <c r="AH21" s="283"/>
      <c r="AI21" s="284"/>
      <c r="AJ21" s="284"/>
      <c r="AK21" s="285"/>
      <c r="AL21" s="14"/>
      <c r="AM21" s="14"/>
      <c r="AN21" s="14"/>
      <c r="AO21" s="14"/>
      <c r="AP21" s="14"/>
      <c r="BW21" s="8"/>
      <c r="CA21" s="8"/>
      <c r="CC21" s="69" t="s">
        <v>252</v>
      </c>
      <c r="CD21" s="70"/>
      <c r="CE21" s="8"/>
      <c r="CF21" s="8"/>
      <c r="CG21" s="8"/>
      <c r="CH21" s="8"/>
    </row>
    <row r="22" spans="1:86" ht="16.5">
      <c r="B22" s="8" t="s">
        <v>1026</v>
      </c>
      <c r="C22" s="8" t="s">
        <v>1025</v>
      </c>
      <c r="D22" s="43">
        <f>IF(UNKB0210_IF_KOBAI_MODE=1,2,1)</f>
        <v>1</v>
      </c>
      <c r="E22" t="s">
        <v>1024</v>
      </c>
      <c r="W22" t="s">
        <v>1057</v>
      </c>
      <c r="X22" s="213" t="s">
        <v>1058</v>
      </c>
      <c r="AH22" s="283"/>
      <c r="AI22" s="284"/>
      <c r="AJ22" s="284"/>
      <c r="AK22" s="285"/>
      <c r="AL22" s="14"/>
      <c r="AM22" s="27" t="s">
        <v>112</v>
      </c>
      <c r="AN22" s="27" t="s">
        <v>113</v>
      </c>
      <c r="AO22" s="27" t="s">
        <v>114</v>
      </c>
      <c r="AP22" s="27" t="s">
        <v>115</v>
      </c>
      <c r="BW22" s="8"/>
      <c r="CA22" t="s">
        <v>257</v>
      </c>
      <c r="CC22" s="69" t="s">
        <v>253</v>
      </c>
      <c r="CD22" s="70"/>
      <c r="CE22" s="8"/>
      <c r="CF22" s="8"/>
      <c r="CG22" s="8"/>
      <c r="CH22" s="8"/>
    </row>
    <row r="23" spans="1:86" ht="16.5">
      <c r="A23" s="210"/>
      <c r="B23" s="210"/>
      <c r="C23" s="210"/>
      <c r="D23" s="210"/>
      <c r="E23" s="210"/>
      <c r="F23" s="210"/>
      <c r="G23" s="210"/>
      <c r="H23" s="210"/>
      <c r="I23" s="210"/>
      <c r="J23" s="210"/>
      <c r="K23" s="210"/>
      <c r="W23" t="s">
        <v>1059</v>
      </c>
      <c r="X23" s="213" t="s">
        <v>1060</v>
      </c>
      <c r="AH23" s="286"/>
      <c r="AI23" s="287"/>
      <c r="AJ23" s="287"/>
      <c r="AK23" s="288"/>
      <c r="AL23" s="14"/>
      <c r="AM23" s="28">
        <f>UNKB0210_H_TAX_RATE</f>
        <v>0</v>
      </c>
      <c r="AN23" s="67">
        <f ca="1">IF(UNKB0210_B_GYO_COUNT=0,0,
IF(UNKB0210_H_SHIIRESAKI_HASU=1,ROUNDDOWN(SUM(OFFSET(UNKB0210_B_TOTAL,1,0,UNKB0210_B_GYO_COUNT)),0),
IF(UNKB0210_H_SHIIRESAKI_HASU=2,ROUNDUP(SUM(OFFSET(UNKB0210_B_TOTAL,1,0,UNKB0210_B_GYO_COUNT)),0),
ROUND(SUM(OFFSET(UNKB0210_B_TOTAL,1,0,UNKB0210_B_GYO_COUNT)),0))))</f>
        <v>0</v>
      </c>
      <c r="AO23" s="67">
        <f>IF(UNKB0210_B_GYO_COUNT=0,0,ROUNDDOWN(UNKB0210_H_NUKI_TOTAL*UNKB0210_H_TAX_RATE,0))</f>
        <v>0</v>
      </c>
      <c r="AP23" s="67">
        <f>IF(UNKB0210_B_GYO_COUNT=0,0,UNKB0210_H_NUKI_TOTAL+UNKB0210_H_TAX)</f>
        <v>0</v>
      </c>
      <c r="BW23" s="8"/>
      <c r="CA23" s="8"/>
      <c r="CC23" s="20" t="s">
        <v>254</v>
      </c>
      <c r="CD23" s="68"/>
      <c r="CE23" s="8"/>
      <c r="CF23" s="8"/>
      <c r="CG23" s="8"/>
      <c r="CH23" s="8"/>
    </row>
    <row r="24" spans="1:86">
      <c r="A24" s="210"/>
      <c r="B24" s="210"/>
      <c r="C24" s="210"/>
      <c r="D24" s="210"/>
      <c r="E24" s="210"/>
      <c r="F24" s="210"/>
      <c r="G24" s="210"/>
      <c r="H24" s="210"/>
      <c r="I24" s="210"/>
      <c r="J24" s="210"/>
      <c r="K24" s="210"/>
      <c r="W24" t="s">
        <v>1061</v>
      </c>
      <c r="X24" s="213" t="s">
        <v>1062</v>
      </c>
      <c r="BW24" s="8"/>
      <c r="CC24" s="8"/>
      <c r="CD24" s="8"/>
      <c r="CE24" s="8"/>
      <c r="CF24" s="8"/>
      <c r="CG24" s="8"/>
      <c r="CH24" s="8"/>
    </row>
    <row r="25" spans="1:86">
      <c r="A25" s="5" t="s">
        <v>269</v>
      </c>
      <c r="B25" s="8"/>
      <c r="C25" s="73"/>
      <c r="W25" t="s">
        <v>1063</v>
      </c>
      <c r="X25" s="213" t="s">
        <v>1064</v>
      </c>
      <c r="BW25" s="8"/>
      <c r="CC25" s="5" t="s">
        <v>255</v>
      </c>
      <c r="CF25" s="8"/>
      <c r="CG25" s="8"/>
      <c r="CH25" s="8"/>
    </row>
    <row r="26" spans="1:86" ht="16.5">
      <c r="B26" t="s">
        <v>270</v>
      </c>
      <c r="C26" s="8" t="s">
        <v>395</v>
      </c>
      <c r="D26" s="74"/>
      <c r="W26" t="s">
        <v>1065</v>
      </c>
      <c r="X26" s="213" t="s">
        <v>1066</v>
      </c>
      <c r="AG26" t="s">
        <v>259</v>
      </c>
      <c r="AH26" s="103"/>
      <c r="AI26" s="98"/>
      <c r="AJ26" s="99" t="s">
        <v>107</v>
      </c>
      <c r="AK26" s="50"/>
      <c r="AL26" s="100"/>
      <c r="AM26" s="99" t="s">
        <v>1195</v>
      </c>
      <c r="AN26" s="103"/>
      <c r="AO26" s="98"/>
      <c r="AP26" s="98"/>
      <c r="BW26" s="8"/>
      <c r="CC26" s="8" t="s">
        <v>256</v>
      </c>
      <c r="CD26" s="8" t="s">
        <v>392</v>
      </c>
      <c r="CE26" s="43">
        <f>IF(ISBLANK(UNKB0210_IF_SAVE_CHECK_RESULT)=TRUE,2,1)</f>
        <v>2</v>
      </c>
      <c r="CF26" t="s">
        <v>257</v>
      </c>
      <c r="CH26" s="8"/>
    </row>
    <row r="27" spans="1:86" ht="16.5">
      <c r="B27" t="s">
        <v>271</v>
      </c>
      <c r="C27" s="8" t="s">
        <v>396</v>
      </c>
      <c r="D27" s="74">
        <v>1</v>
      </c>
      <c r="W27" t="s">
        <v>1067</v>
      </c>
      <c r="X27" s="213" t="s">
        <v>1068</v>
      </c>
      <c r="AG27" t="s">
        <v>404</v>
      </c>
      <c r="AH27" s="23"/>
      <c r="AI27" s="98"/>
      <c r="AJ27" s="99" t="s">
        <v>92</v>
      </c>
      <c r="AK27" s="23"/>
      <c r="AL27" s="98"/>
      <c r="AM27" s="99" t="s">
        <v>109</v>
      </c>
      <c r="AN27" s="23"/>
      <c r="AO27" s="98"/>
      <c r="AP27" s="98"/>
      <c r="BW27" s="8"/>
      <c r="CC27" t="s">
        <v>258</v>
      </c>
      <c r="CD27" s="8" t="s">
        <v>393</v>
      </c>
      <c r="CE27" s="43" t="str">
        <f>"以下の項目が入力されていません。"&amp;
IF(UNKB0210_IF_SAVE_CHECK_RESULT&gt;=1,"
行番号："&amp;UNKB0210_IF_SAVE_CHECK_RESULT-ROW(UNKB0210_IF_SAVE_CHECK_START)+1,"")&amp;
"
項目名："&amp;UNKB0210_IF_SAVE_CHECK_ERROR_KOMOKU</f>
        <v>以下の項目が入力されていません。
項目名：</v>
      </c>
      <c r="CF27" s="8"/>
      <c r="CG27" s="8"/>
      <c r="CH27" s="8"/>
    </row>
    <row r="28" spans="1:86" ht="16.5">
      <c r="B28" t="s">
        <v>273</v>
      </c>
      <c r="C28" s="8" t="s">
        <v>397</v>
      </c>
      <c r="D28" s="74"/>
      <c r="W28" t="s">
        <v>1069</v>
      </c>
      <c r="X28" s="213" t="s">
        <v>1070</v>
      </c>
      <c r="AH28" s="50"/>
      <c r="AI28" s="98"/>
      <c r="AJ28" s="98"/>
      <c r="AK28" s="98"/>
      <c r="AL28" s="98"/>
      <c r="AM28" s="98"/>
      <c r="AN28" s="98"/>
      <c r="AO28" s="98"/>
      <c r="AP28" s="98"/>
      <c r="BW28" s="8"/>
      <c r="CC28" s="8"/>
      <c r="CD28" s="8"/>
      <c r="CE28" s="8"/>
      <c r="CF28" s="8"/>
      <c r="CG28" s="8"/>
      <c r="CH28" s="8"/>
    </row>
    <row r="29" spans="1:86" ht="16.5">
      <c r="C29" s="8"/>
      <c r="W29" t="s">
        <v>1071</v>
      </c>
      <c r="X29" s="213" t="s">
        <v>1072</v>
      </c>
      <c r="AH29" s="98"/>
      <c r="AI29" s="98"/>
      <c r="AJ29" s="98"/>
      <c r="AK29" s="98"/>
      <c r="AL29" s="98"/>
      <c r="AM29" s="98"/>
      <c r="AN29" s="98"/>
      <c r="AO29" s="98"/>
      <c r="AP29" s="98"/>
      <c r="BX29" s="8"/>
      <c r="BY29" s="8"/>
      <c r="CC29" s="8"/>
      <c r="CD29" s="8" t="s">
        <v>484</v>
      </c>
      <c r="CE29" s="8" t="s">
        <v>485</v>
      </c>
    </row>
    <row r="30" spans="1:86" ht="16.5">
      <c r="B30" t="s">
        <v>275</v>
      </c>
      <c r="C30" s="8" t="s">
        <v>398</v>
      </c>
      <c r="D30" s="74"/>
      <c r="W30" t="s">
        <v>1073</v>
      </c>
      <c r="X30" s="213" t="s">
        <v>1074</v>
      </c>
      <c r="AH30" s="104"/>
      <c r="AI30" s="291" t="str">
        <f>IF(UNKB0210_H_SHIIRESAKI_CD="","",UNKB0210_H_SHIIRESAKI_MEI)</f>
        <v/>
      </c>
      <c r="AJ30" s="292"/>
      <c r="AK30" s="293"/>
      <c r="AL30" s="24" t="s">
        <v>989</v>
      </c>
      <c r="AM30" s="218"/>
      <c r="AN30" s="98"/>
      <c r="AO30" s="99" t="s">
        <v>990</v>
      </c>
      <c r="AP30" s="23"/>
      <c r="BX30" s="8"/>
      <c r="BY30" s="8"/>
      <c r="CC30" t="s">
        <v>260</v>
      </c>
      <c r="CD30" s="43"/>
      <c r="CE30" s="9"/>
    </row>
    <row r="31" spans="1:86" ht="16.5">
      <c r="W31" t="s">
        <v>1075</v>
      </c>
      <c r="X31" s="213" t="s">
        <v>1076</v>
      </c>
      <c r="AH31" s="294"/>
      <c r="AI31" s="295"/>
      <c r="AJ31" s="295"/>
      <c r="AK31" s="296"/>
      <c r="AL31" s="24" t="s">
        <v>981</v>
      </c>
      <c r="AM31" s="304"/>
      <c r="AN31" s="305"/>
      <c r="AO31" s="98"/>
      <c r="AP31" s="98"/>
    </row>
    <row r="32" spans="1:86" ht="16.5">
      <c r="A32" s="5" t="s">
        <v>276</v>
      </c>
      <c r="C32" s="8"/>
      <c r="D32" s="73"/>
      <c r="E32" s="5" t="s">
        <v>277</v>
      </c>
      <c r="F32" s="5" t="s">
        <v>104</v>
      </c>
      <c r="G32" s="5" t="s">
        <v>278</v>
      </c>
      <c r="W32" t="s">
        <v>1077</v>
      </c>
      <c r="X32" s="213" t="s">
        <v>1078</v>
      </c>
      <c r="AH32" s="297"/>
      <c r="AI32" s="298"/>
      <c r="AJ32" s="298"/>
      <c r="AK32" s="299"/>
      <c r="AL32" s="98"/>
      <c r="AM32" s="98"/>
      <c r="AN32" s="98"/>
      <c r="AO32" s="98"/>
      <c r="AP32" s="98"/>
      <c r="BX32" s="5" t="s">
        <v>261</v>
      </c>
      <c r="BZ32" s="8"/>
    </row>
    <row r="33" spans="1:78" ht="16.5">
      <c r="B33" t="s">
        <v>279</v>
      </c>
      <c r="C33" s="8" t="s">
        <v>468</v>
      </c>
      <c r="D33" s="74" t="str">
        <f>IF(UNKB0210_IF_MODE=1,"-",IF(UNKB0210_IF_MODE=2,"修正キャンセル","修正"))</f>
        <v>修正</v>
      </c>
      <c r="E33" s="8" t="s">
        <v>280</v>
      </c>
      <c r="F33" t="s">
        <v>278</v>
      </c>
      <c r="G33" t="s">
        <v>104</v>
      </c>
      <c r="W33" t="s">
        <v>1079</v>
      </c>
      <c r="X33" s="213" t="s">
        <v>1080</v>
      </c>
      <c r="AH33" s="297"/>
      <c r="AI33" s="298"/>
      <c r="AJ33" s="298"/>
      <c r="AK33" s="299"/>
      <c r="AL33" s="98"/>
      <c r="AM33" s="27" t="s">
        <v>112</v>
      </c>
      <c r="AN33" s="27" t="s">
        <v>113</v>
      </c>
      <c r="AO33" s="27" t="s">
        <v>114</v>
      </c>
      <c r="AP33" s="27" t="s">
        <v>115</v>
      </c>
      <c r="BX33" s="8" t="s">
        <v>239</v>
      </c>
      <c r="BY33" s="8" t="s">
        <v>399</v>
      </c>
      <c r="BZ33" s="43"/>
    </row>
    <row r="34" spans="1:78" ht="16.5">
      <c r="A34" s="8"/>
      <c r="B34" s="8" t="s">
        <v>281</v>
      </c>
      <c r="C34" s="8" t="s">
        <v>469</v>
      </c>
      <c r="D34" s="74" t="str">
        <f>IF(UNKB0210_IF_MODE=1,"新規登録",IF(UNKB0210_IF_MODE=2,"保存","-"))</f>
        <v>-</v>
      </c>
      <c r="E34" s="8" t="s">
        <v>105</v>
      </c>
      <c r="F34" s="8" t="s">
        <v>282</v>
      </c>
      <c r="G34" s="8" t="s">
        <v>283</v>
      </c>
      <c r="J34" s="71"/>
      <c r="W34" t="s">
        <v>1081</v>
      </c>
      <c r="X34" s="213" t="s">
        <v>1082</v>
      </c>
      <c r="AH34" s="300"/>
      <c r="AI34" s="301"/>
      <c r="AJ34" s="301"/>
      <c r="AK34" s="302"/>
      <c r="AL34" s="98"/>
      <c r="AM34" s="101">
        <f>UNKB0210_H_TAX_RATE</f>
        <v>0</v>
      </c>
      <c r="AN34" s="102">
        <f ca="1">IF(UNKB0210_B_GYO_COUNT=0,0,
IF(UNKB0210_H_SHIIRESAKI_HASU=1,ROUNDDOWN(SUM(OFFSET(UNKB0210_B_TOTAL,1,0,UNKB0210_B_GYO_COUNT)),0),
IF(UNKB0210_H_SHIIRESAKI_HASU=2,ROUNDUP(SUM(OFFSET(UNKB0210_B_TOTAL,1,0,UNKB0210_B_GYO_COUNT)),0),
ROUND(SUM(OFFSET(UNKB0210_B_TOTAL,1,0,UNKB0210_B_GYO_COUNT)),0))))</f>
        <v>0</v>
      </c>
      <c r="AO34" s="102">
        <f>IF(UNKB0210_B_GYO_COUNT=0,0,ROUNDDOWN(UNKB0210_H_NUKI_TOTAL*UNKB0210_H_TAX_RATE,0))</f>
        <v>0</v>
      </c>
      <c r="AP34" s="102">
        <f>IF(UNKB0210_B_GYO_COUNT=0,0,UNKB0210_H_NUKI_TOTAL+UNKB0210_H_TAX)</f>
        <v>0</v>
      </c>
      <c r="BY34" s="8"/>
    </row>
    <row r="35" spans="1:78">
      <c r="J35" s="71"/>
      <c r="W35" t="s">
        <v>1083</v>
      </c>
      <c r="X35" s="213" t="s">
        <v>1084</v>
      </c>
      <c r="BX35" s="8" t="s">
        <v>463</v>
      </c>
      <c r="BY35" s="8" t="s">
        <v>599</v>
      </c>
      <c r="BZ35" s="9"/>
    </row>
    <row r="36" spans="1:78">
      <c r="W36" t="s">
        <v>1085</v>
      </c>
      <c r="X36" s="213" t="s">
        <v>1086</v>
      </c>
      <c r="BX36" t="s">
        <v>262</v>
      </c>
      <c r="BY36" s="8" t="s">
        <v>400</v>
      </c>
      <c r="BZ36" s="9"/>
    </row>
    <row r="37" spans="1:78">
      <c r="A37" s="42" t="s">
        <v>284</v>
      </c>
      <c r="B37" s="8"/>
      <c r="C37" s="8"/>
      <c r="D37" s="8"/>
      <c r="E37" s="5" t="s">
        <v>277</v>
      </c>
      <c r="F37" s="5" t="s">
        <v>104</v>
      </c>
      <c r="G37" s="5" t="s">
        <v>278</v>
      </c>
      <c r="H37" s="5" t="s">
        <v>464</v>
      </c>
      <c r="I37" s="5"/>
      <c r="W37" t="s">
        <v>1087</v>
      </c>
      <c r="X37" s="213" t="s">
        <v>1088</v>
      </c>
      <c r="BX37" t="s">
        <v>263</v>
      </c>
      <c r="BY37" s="8" t="s">
        <v>401</v>
      </c>
      <c r="BZ37" s="9"/>
    </row>
    <row r="38" spans="1:78">
      <c r="A38" s="42"/>
      <c r="B38" s="8" t="s">
        <v>285</v>
      </c>
      <c r="C38" s="8" t="s">
        <v>405</v>
      </c>
      <c r="D38" s="9">
        <f>IF(UNKB0210_IF_KOBAI_MODE=1,2,1)</f>
        <v>1</v>
      </c>
      <c r="E38" t="s">
        <v>286</v>
      </c>
      <c r="F38" t="s">
        <v>286</v>
      </c>
      <c r="G38" t="s">
        <v>286</v>
      </c>
      <c r="H38" t="s">
        <v>287</v>
      </c>
      <c r="I38" s="5"/>
      <c r="W38" t="s">
        <v>1089</v>
      </c>
      <c r="X38" s="213" t="s">
        <v>1090</v>
      </c>
      <c r="BX38" t="s">
        <v>265</v>
      </c>
      <c r="BY38" s="8" t="s">
        <v>403</v>
      </c>
      <c r="BZ38" s="9">
        <f>IF(UNKB0210_IF_SAVE_RESULT_CD=0,2,1)</f>
        <v>2</v>
      </c>
    </row>
    <row r="39" spans="1:78">
      <c r="A39" s="8"/>
      <c r="B39" s="8" t="s">
        <v>288</v>
      </c>
      <c r="C39" s="8" t="s">
        <v>407</v>
      </c>
      <c r="D39" s="9">
        <f>IF(UNKB0210_IF_MODE=1,2,IF(UNKB0210_IF_MODE=2,2,1))</f>
        <v>1</v>
      </c>
      <c r="E39" t="s">
        <v>289</v>
      </c>
      <c r="F39" t="s">
        <v>289</v>
      </c>
      <c r="G39" t="s">
        <v>290</v>
      </c>
      <c r="H39" t="s">
        <v>286</v>
      </c>
      <c r="W39" t="s">
        <v>1091</v>
      </c>
      <c r="X39" s="213" t="s">
        <v>1092</v>
      </c>
      <c r="BX39" t="s">
        <v>267</v>
      </c>
      <c r="BY39" s="8" t="s">
        <v>481</v>
      </c>
      <c r="BZ39" s="9" t="s">
        <v>268</v>
      </c>
    </row>
    <row r="40" spans="1:78">
      <c r="A40" s="8"/>
      <c r="B40" t="s">
        <v>279</v>
      </c>
      <c r="C40" s="8" t="s">
        <v>408</v>
      </c>
      <c r="D40" s="9">
        <f>IF(UNKB0210_IF_MODE=1,2,IF(UNKB0210_IF_MODE=2,1,1))</f>
        <v>1</v>
      </c>
      <c r="E40" t="s">
        <v>289</v>
      </c>
      <c r="F40" t="s">
        <v>290</v>
      </c>
      <c r="G40" t="s">
        <v>290</v>
      </c>
      <c r="H40" t="s">
        <v>286</v>
      </c>
      <c r="W40" t="s">
        <v>1093</v>
      </c>
      <c r="X40" s="213" t="s">
        <v>1094</v>
      </c>
    </row>
    <row r="41" spans="1:78">
      <c r="A41" s="8"/>
      <c r="B41" s="8" t="s">
        <v>291</v>
      </c>
      <c r="C41" s="8" t="s">
        <v>409</v>
      </c>
      <c r="D41" s="9">
        <f>IF(UNKB0210_IF_MODE=1,2,IF(UNKB0210_IF_MODE=2,1,2))</f>
        <v>2</v>
      </c>
      <c r="E41" t="s">
        <v>289</v>
      </c>
      <c r="F41" t="s">
        <v>290</v>
      </c>
      <c r="G41" t="s">
        <v>289</v>
      </c>
      <c r="H41" t="s">
        <v>286</v>
      </c>
      <c r="K41" s="71"/>
      <c r="W41" t="s">
        <v>1095</v>
      </c>
      <c r="X41" s="213" t="s">
        <v>1096</v>
      </c>
    </row>
    <row r="42" spans="1:78">
      <c r="A42" s="8"/>
      <c r="B42" s="8" t="s">
        <v>292</v>
      </c>
      <c r="C42" s="8" t="s">
        <v>410</v>
      </c>
      <c r="D42" s="9">
        <f>IF(UNKB0210_IF_KOBAI_MODE=1,1,2)</f>
        <v>2</v>
      </c>
      <c r="E42" t="s">
        <v>289</v>
      </c>
      <c r="F42" t="s">
        <v>289</v>
      </c>
      <c r="G42" t="s">
        <v>289</v>
      </c>
      <c r="H42" t="s">
        <v>290</v>
      </c>
      <c r="K42" s="71"/>
      <c r="W42" t="s">
        <v>1097</v>
      </c>
      <c r="X42" s="213" t="s">
        <v>1098</v>
      </c>
      <c r="BX42" t="s">
        <v>272</v>
      </c>
    </row>
    <row r="43" spans="1:78">
      <c r="A43" s="8"/>
      <c r="B43" s="8" t="s">
        <v>293</v>
      </c>
      <c r="C43" s="8" t="s">
        <v>411</v>
      </c>
      <c r="D43" s="9">
        <f>IF(UNKB0210_IF_MODE=1,1,IF(UNKB0210_IF_MODE=2,1,2))</f>
        <v>2</v>
      </c>
      <c r="E43" t="s">
        <v>290</v>
      </c>
      <c r="F43" t="s">
        <v>290</v>
      </c>
      <c r="G43" t="s">
        <v>289</v>
      </c>
      <c r="H43" t="s">
        <v>286</v>
      </c>
      <c r="W43" t="s">
        <v>1099</v>
      </c>
      <c r="X43" s="213" t="s">
        <v>1100</v>
      </c>
      <c r="BX43" t="s">
        <v>274</v>
      </c>
      <c r="BY43" t="s">
        <v>406</v>
      </c>
      <c r="BZ43" s="43"/>
    </row>
    <row r="44" spans="1:78">
      <c r="A44" s="8"/>
      <c r="B44" s="8" t="s">
        <v>281</v>
      </c>
      <c r="C44" s="8" t="s">
        <v>412</v>
      </c>
      <c r="D44" s="9">
        <f>IF(UNKB0210_IF_MODE=1,1,IF(UNKB0210_IF_MODE=2,1,2))</f>
        <v>2</v>
      </c>
      <c r="E44" t="s">
        <v>290</v>
      </c>
      <c r="F44" t="s">
        <v>290</v>
      </c>
      <c r="G44" t="s">
        <v>289</v>
      </c>
      <c r="H44" t="s">
        <v>286</v>
      </c>
      <c r="W44" t="s">
        <v>1101</v>
      </c>
      <c r="X44" s="213" t="s">
        <v>1102</v>
      </c>
      <c r="BX44" t="s">
        <v>483</v>
      </c>
      <c r="BY44" t="s">
        <v>482</v>
      </c>
      <c r="BZ44" s="43" t="str">
        <f ca="1">IF(UNKB0210_IF_SAVE_BAT_LOOP_CNT=0,"",
OFFSET(UNKB0210_IF_SAVE_RESULT_URIAGE_NO,0,UNKB0210_IF_SAVE_BAT_LOOP_CNT-1))</f>
        <v/>
      </c>
    </row>
    <row r="45" spans="1:78">
      <c r="A45" s="8"/>
      <c r="B45" s="8" t="s">
        <v>294</v>
      </c>
      <c r="C45" s="8" t="s">
        <v>413</v>
      </c>
      <c r="D45" s="9">
        <f>IF(UNKB0210_IF_MODE=1,1,IF(UNKB0210_IF_MODE=2,1,2))</f>
        <v>2</v>
      </c>
      <c r="E45" t="s">
        <v>290</v>
      </c>
      <c r="F45" t="s">
        <v>290</v>
      </c>
      <c r="G45" t="s">
        <v>289</v>
      </c>
      <c r="H45" t="s">
        <v>286</v>
      </c>
      <c r="W45" t="s">
        <v>1103</v>
      </c>
      <c r="X45" s="213" t="s">
        <v>1104</v>
      </c>
    </row>
    <row r="46" spans="1:78">
      <c r="A46" s="8"/>
      <c r="B46" s="8" t="s">
        <v>295</v>
      </c>
      <c r="C46" s="8" t="s">
        <v>414</v>
      </c>
      <c r="D46" s="9">
        <f>IF(UNKB0210_IF_MODE=1,1,IF(UNKB0210_IF_MODE=2,1,2))</f>
        <v>2</v>
      </c>
      <c r="E46" t="s">
        <v>290</v>
      </c>
      <c r="F46" t="s">
        <v>290</v>
      </c>
      <c r="G46" t="s">
        <v>289</v>
      </c>
      <c r="H46" t="s">
        <v>280</v>
      </c>
      <c r="W46" t="s">
        <v>1105</v>
      </c>
      <c r="X46" s="213" t="s">
        <v>1106</v>
      </c>
    </row>
    <row r="47" spans="1:78">
      <c r="A47" s="8"/>
      <c r="B47" s="8" t="s">
        <v>296</v>
      </c>
      <c r="C47" s="8" t="s">
        <v>564</v>
      </c>
      <c r="D47" s="9">
        <f>IF(AND(UNKB0210_IF_KOBAI_MODE=1,UNKB0210_H_PAGE_NO&gt;1),1,2)</f>
        <v>2</v>
      </c>
      <c r="E47" t="s">
        <v>289</v>
      </c>
      <c r="F47" t="s">
        <v>289</v>
      </c>
      <c r="G47" t="s">
        <v>289</v>
      </c>
      <c r="H47" s="71" t="s">
        <v>297</v>
      </c>
      <c r="W47" t="s">
        <v>1107</v>
      </c>
      <c r="X47" s="213" t="s">
        <v>1108</v>
      </c>
    </row>
    <row r="48" spans="1:78">
      <c r="A48" s="8"/>
      <c r="B48" s="8" t="s">
        <v>298</v>
      </c>
      <c r="C48" s="8" t="s">
        <v>563</v>
      </c>
      <c r="D48" s="9">
        <f>IF(AND(UNKB0210_IF_KOBAI_MODE=1,UNKB0210_H_PAGE_NO&lt;UNKB0210_H_PAGE_TOTAL),1,2)</f>
        <v>2</v>
      </c>
      <c r="E48" t="s">
        <v>289</v>
      </c>
      <c r="F48" t="s">
        <v>289</v>
      </c>
      <c r="G48" t="s">
        <v>289</v>
      </c>
      <c r="H48" s="71" t="s">
        <v>299</v>
      </c>
      <c r="W48" t="s">
        <v>1109</v>
      </c>
      <c r="X48" s="213" t="s">
        <v>1110</v>
      </c>
    </row>
    <row r="49" spans="1:24">
      <c r="A49" s="8"/>
      <c r="B49" s="8" t="s">
        <v>300</v>
      </c>
      <c r="C49" s="8" t="s">
        <v>562</v>
      </c>
      <c r="D49" s="9">
        <f>IF(UNKB0210_IF_KOBAI_MODE=1,1,2)</f>
        <v>2</v>
      </c>
      <c r="E49" t="s">
        <v>289</v>
      </c>
      <c r="F49" t="s">
        <v>289</v>
      </c>
      <c r="G49" t="s">
        <v>289</v>
      </c>
      <c r="H49" t="s">
        <v>290</v>
      </c>
      <c r="I49" s="71"/>
      <c r="W49" t="s">
        <v>1111</v>
      </c>
      <c r="X49" s="213" t="s">
        <v>1112</v>
      </c>
    </row>
    <row r="50" spans="1:24">
      <c r="A50" s="8"/>
      <c r="B50" s="8" t="s">
        <v>302</v>
      </c>
      <c r="C50" s="8" t="s">
        <v>415</v>
      </c>
      <c r="D50" s="9">
        <f>IF(UNKB0210_IF_MODE=1,2,IF(UNKB0210_IF_MODE=2,2,1))</f>
        <v>1</v>
      </c>
      <c r="E50" t="s">
        <v>289</v>
      </c>
      <c r="F50" t="s">
        <v>289</v>
      </c>
      <c r="G50" t="s">
        <v>290</v>
      </c>
      <c r="H50" t="s">
        <v>301</v>
      </c>
      <c r="I50" s="71"/>
      <c r="W50" t="s">
        <v>1113</v>
      </c>
      <c r="X50" s="213" t="s">
        <v>1114</v>
      </c>
    </row>
    <row r="51" spans="1:24">
      <c r="A51" s="8"/>
      <c r="W51" t="s">
        <v>1115</v>
      </c>
      <c r="X51" s="213" t="s">
        <v>1116</v>
      </c>
    </row>
    <row r="52" spans="1:24">
      <c r="A52" s="5" t="s">
        <v>303</v>
      </c>
      <c r="W52" t="s">
        <v>1117</v>
      </c>
      <c r="X52" s="213" t="s">
        <v>1118</v>
      </c>
    </row>
    <row r="53" spans="1:24">
      <c r="B53" t="s">
        <v>304</v>
      </c>
      <c r="C53" s="8" t="s">
        <v>470</v>
      </c>
      <c r="D53" s="43">
        <f>IF(UNKB0210_IF_ACTIVE_ROW&lt;=ROW(UNKB0210_B_GYO),1,0)</f>
        <v>1</v>
      </c>
      <c r="E53" s="76" t="s">
        <v>305</v>
      </c>
      <c r="F53" s="76" t="s">
        <v>306</v>
      </c>
      <c r="W53" t="s">
        <v>1119</v>
      </c>
      <c r="X53" s="213" t="s">
        <v>1120</v>
      </c>
    </row>
    <row r="54" spans="1:24">
      <c r="B54" s="8"/>
      <c r="W54" t="s">
        <v>1121</v>
      </c>
      <c r="X54" s="213" t="s">
        <v>1122</v>
      </c>
    </row>
    <row r="55" spans="1:24">
      <c r="A55" s="5" t="s">
        <v>307</v>
      </c>
      <c r="W55" t="s">
        <v>1123</v>
      </c>
      <c r="X55" s="213" t="s">
        <v>1124</v>
      </c>
    </row>
    <row r="56" spans="1:24">
      <c r="B56" t="s">
        <v>308</v>
      </c>
      <c r="C56" s="8" t="s">
        <v>471</v>
      </c>
      <c r="D56" s="43" t="str">
        <f ca="1">"仕入入力画面_"&amp;UNKB0210_IF_REF_NO&amp;"_"&amp;TEXT(NOW(),"YYYYMMDD")&amp;"_"&amp;TEXT(NOW(),"hhmmss")</f>
        <v>仕入入力画面__20170714_174053</v>
      </c>
      <c r="W56" t="s">
        <v>1125</v>
      </c>
      <c r="X56" s="213" t="s">
        <v>1126</v>
      </c>
    </row>
    <row r="57" spans="1:24">
      <c r="W57" t="s">
        <v>1127</v>
      </c>
      <c r="X57" s="213" t="s">
        <v>1128</v>
      </c>
    </row>
    <row r="58" spans="1:24">
      <c r="W58" t="s">
        <v>1129</v>
      </c>
      <c r="X58" s="213" t="s">
        <v>1130</v>
      </c>
    </row>
    <row r="59" spans="1:24">
      <c r="W59" t="s">
        <v>1131</v>
      </c>
      <c r="X59" s="213" t="s">
        <v>1132</v>
      </c>
    </row>
    <row r="60" spans="1:24">
      <c r="W60" t="s">
        <v>1133</v>
      </c>
      <c r="X60" s="213" t="s">
        <v>1134</v>
      </c>
    </row>
    <row r="61" spans="1:24">
      <c r="W61" t="s">
        <v>1135</v>
      </c>
      <c r="X61" s="213" t="s">
        <v>1136</v>
      </c>
    </row>
    <row r="62" spans="1:24">
      <c r="W62" t="s">
        <v>1137</v>
      </c>
      <c r="X62" s="213" t="s">
        <v>1138</v>
      </c>
    </row>
    <row r="63" spans="1:24">
      <c r="W63" t="s">
        <v>1139</v>
      </c>
      <c r="X63" s="213" t="s">
        <v>1140</v>
      </c>
    </row>
    <row r="64" spans="1:24">
      <c r="W64" t="s">
        <v>1141</v>
      </c>
      <c r="X64" s="213" t="s">
        <v>1142</v>
      </c>
    </row>
    <row r="65" spans="23:24">
      <c r="W65" t="s">
        <v>1143</v>
      </c>
      <c r="X65" s="213" t="s">
        <v>1144</v>
      </c>
    </row>
    <row r="66" spans="23:24">
      <c r="W66" t="s">
        <v>1145</v>
      </c>
      <c r="X66" s="213" t="s">
        <v>1146</v>
      </c>
    </row>
    <row r="67" spans="23:24">
      <c r="W67" t="s">
        <v>1147</v>
      </c>
      <c r="X67" s="213" t="s">
        <v>1148</v>
      </c>
    </row>
    <row r="68" spans="23:24">
      <c r="W68" t="s">
        <v>1149</v>
      </c>
      <c r="X68" s="213" t="s">
        <v>1150</v>
      </c>
    </row>
    <row r="69" spans="23:24">
      <c r="W69" t="s">
        <v>1151</v>
      </c>
      <c r="X69" s="213" t="s">
        <v>1152</v>
      </c>
    </row>
  </sheetData>
  <mergeCells count="10">
    <mergeCell ref="AI8:AK8"/>
    <mergeCell ref="AH9:AK12"/>
    <mergeCell ref="AI30:AK30"/>
    <mergeCell ref="AH31:AK34"/>
    <mergeCell ref="CC11:CD11"/>
    <mergeCell ref="AI19:AK19"/>
    <mergeCell ref="AH20:AK23"/>
    <mergeCell ref="AM9:AN9"/>
    <mergeCell ref="AM20:AN20"/>
    <mergeCell ref="AM31:AN31"/>
  </mergeCells>
  <phoneticPr fontId="1"/>
  <conditionalFormatting sqref="BJ8">
    <cfRule type="expression" dxfId="33" priority="27">
      <formula>INDIRECT(ADDRESS(ROW(),COLUMN(UNMT0020_B_ROW_KBN)))&lt;&gt;2</formula>
    </cfRule>
  </conditionalFormatting>
  <conditionalFormatting sqref="BJ8">
    <cfRule type="expression" dxfId="32" priority="28">
      <formula>INDIRECT(ADDRESS(ROW(),COLUMN()))=TRUNC(INDIRECT(ADDRESS(ROW(),COLUMN())))</formula>
    </cfRule>
  </conditionalFormatting>
  <conditionalFormatting sqref="BG8">
    <cfRule type="expression" dxfId="31" priority="31">
      <formula>INDIRECT(ADDRESS(ROW(),COLUMN(UNMT0020_B_ROW_KBN)))&lt;&gt;2</formula>
    </cfRule>
  </conditionalFormatting>
  <conditionalFormatting sqref="BG8">
    <cfRule type="expression" dxfId="30" priority="32">
      <formula>INDIRECT(ADDRESS(ROW(),COLUMN()))=TRUNC(INDIRECT(ADDRESS(ROW(),COLUMN())))</formula>
    </cfRule>
  </conditionalFormatting>
  <conditionalFormatting sqref="BM5">
    <cfRule type="expression" dxfId="29" priority="33">
      <formula>INDIRECT(ADDRESS(ROW(),COLUMN(UNMT0020_B_ROW_KBN)))&lt;&gt;2</formula>
    </cfRule>
  </conditionalFormatting>
  <conditionalFormatting sqref="BM5">
    <cfRule type="expression" dxfId="28" priority="34">
      <formula>INDIRECT(ADDRESS(ROW(),COLUMN()))=TRUNC(INDIRECT(ADDRESS(ROW(),COLUMN())))</formula>
    </cfRule>
  </conditionalFormatting>
  <conditionalFormatting sqref="BH5">
    <cfRule type="expression" dxfId="27" priority="39">
      <formula>INDIRECT(ADDRESS(ROW(),COLUMN(UNMT0020_B_ROW_KBN)))&lt;&gt;2</formula>
    </cfRule>
  </conditionalFormatting>
  <conditionalFormatting sqref="BH5">
    <cfRule type="expression" dxfId="26" priority="40">
      <formula>INDIRECT(ADDRESS(ROW(),COLUMN()))=TRUNC(INDIRECT(ADDRESS(ROW(),COLUMN())))</formula>
    </cfRule>
  </conditionalFormatting>
  <conditionalFormatting sqref="BG5">
    <cfRule type="expression" dxfId="25" priority="41">
      <formula>INDIRECT(ADDRESS(ROW(),COLUMN(UNMT0020_B_ROW_KBN)))&lt;&gt;2</formula>
    </cfRule>
  </conditionalFormatting>
  <conditionalFormatting sqref="BG5">
    <cfRule type="expression" dxfId="24" priority="42">
      <formula>INDIRECT(ADDRESS(ROW(),COLUMN()))=TRUNC(INDIRECT(ADDRESS(ROW(),COLUMN())))</formula>
    </cfRule>
  </conditionalFormatting>
  <conditionalFormatting sqref="BJ5">
    <cfRule type="expression" dxfId="23" priority="37">
      <formula>INDIRECT(ADDRESS(ROW(),COLUMN(UNMT0020_B_ROW_KBN)))&lt;&gt;2</formula>
    </cfRule>
  </conditionalFormatting>
  <conditionalFormatting sqref="BJ5">
    <cfRule type="expression" dxfId="22" priority="38">
      <formula>INDIRECT(ADDRESS(ROW(),COLUMN()))=TRUNC(INDIRECT(ADDRESS(ROW(),COLUMN())))</formula>
    </cfRule>
  </conditionalFormatting>
  <conditionalFormatting sqref="BL5">
    <cfRule type="expression" dxfId="21" priority="35">
      <formula>INDIRECT(ADDRESS(ROW(),COLUMN(UNMT0020_B_ROW_KBN)))&lt;&gt;2</formula>
    </cfRule>
  </conditionalFormatting>
  <conditionalFormatting sqref="BL5">
    <cfRule type="expression" dxfId="20" priority="36">
      <formula>INDIRECT(ADDRESS(ROW(),COLUMN()))=TRUNC(INDIRECT(ADDRESS(ROW(),COLUMN())))</formula>
    </cfRule>
  </conditionalFormatting>
  <conditionalFormatting sqref="BM8">
    <cfRule type="expression" dxfId="19" priority="23">
      <formula>INDIRECT(ADDRESS(ROW(),COLUMN(UNMT0020_B_ROW_KBN)))&lt;&gt;2</formula>
    </cfRule>
  </conditionalFormatting>
  <conditionalFormatting sqref="BH8">
    <cfRule type="expression" dxfId="18" priority="29">
      <formula>INDIRECT(ADDRESS(ROW(),COLUMN(UNMT0020_B_ROW_KBN)))&lt;&gt;2</formula>
    </cfRule>
  </conditionalFormatting>
  <conditionalFormatting sqref="BH8">
    <cfRule type="expression" dxfId="17" priority="30">
      <formula>INDIRECT(ADDRESS(ROW(),COLUMN()))=TRUNC(INDIRECT(ADDRESS(ROW(),COLUMN())))</formula>
    </cfRule>
  </conditionalFormatting>
  <conditionalFormatting sqref="BM8">
    <cfRule type="expression" dxfId="16" priority="24">
      <formula>INDIRECT(ADDRESS(ROW(),COLUMN()))=TRUNC(INDIRECT(ADDRESS(ROW(),COLUMN())))</formula>
    </cfRule>
  </conditionalFormatting>
  <conditionalFormatting sqref="BM11">
    <cfRule type="expression" dxfId="15" priority="13">
      <formula>INDIRECT(ADDRESS(ROW(),COLUMN(UNMT0020_B_ROW_KBN)))&lt;&gt;2</formula>
    </cfRule>
  </conditionalFormatting>
  <conditionalFormatting sqref="BG11">
    <cfRule type="expression" dxfId="14" priority="21">
      <formula>INDIRECT(ADDRESS(ROW(),COLUMN(UNMT0020_B_ROW_KBN)))&lt;&gt;2</formula>
    </cfRule>
  </conditionalFormatting>
  <conditionalFormatting sqref="BG11">
    <cfRule type="expression" dxfId="13" priority="22">
      <formula>INDIRECT(ADDRESS(ROW(),COLUMN()))=TRUNC(INDIRECT(ADDRESS(ROW(),COLUMN())))</formula>
    </cfRule>
  </conditionalFormatting>
  <conditionalFormatting sqref="BH11">
    <cfRule type="expression" dxfId="12" priority="19">
      <formula>INDIRECT(ADDRESS(ROW(),COLUMN(UNMT0020_B_ROW_KBN)))&lt;&gt;2</formula>
    </cfRule>
  </conditionalFormatting>
  <conditionalFormatting sqref="BH11">
    <cfRule type="expression" dxfId="11" priority="20">
      <formula>INDIRECT(ADDRESS(ROW(),COLUMN()))=TRUNC(INDIRECT(ADDRESS(ROW(),COLUMN())))</formula>
    </cfRule>
  </conditionalFormatting>
  <conditionalFormatting sqref="BJ11">
    <cfRule type="expression" dxfId="10" priority="17">
      <formula>INDIRECT(ADDRESS(ROW(),COLUMN(UNMT0020_B_ROW_KBN)))&lt;&gt;2</formula>
    </cfRule>
  </conditionalFormatting>
  <conditionalFormatting sqref="BJ11">
    <cfRule type="expression" dxfId="9" priority="18">
      <formula>INDIRECT(ADDRESS(ROW(),COLUMN()))=TRUNC(INDIRECT(ADDRESS(ROW(),COLUMN())))</formula>
    </cfRule>
  </conditionalFormatting>
  <conditionalFormatting sqref="BM11">
    <cfRule type="expression" dxfId="8" priority="14">
      <formula>INDIRECT(ADDRESS(ROW(),COLUMN()))=TRUNC(INDIRECT(ADDRESS(ROW(),COLUMN())))</formula>
    </cfRule>
  </conditionalFormatting>
  <conditionalFormatting sqref="BQ5">
    <cfRule type="expression" dxfId="7" priority="12">
      <formula>BR5&lt;&gt;""</formula>
    </cfRule>
  </conditionalFormatting>
  <conditionalFormatting sqref="BR5">
    <cfRule type="expression" dxfId="6" priority="11">
      <formula>BQ5&lt;&gt;""</formula>
    </cfRule>
  </conditionalFormatting>
  <conditionalFormatting sqref="BL8">
    <cfRule type="expression" dxfId="5" priority="7">
      <formula>INDIRECT(ADDRESS(ROW(),COLUMN(UNMT0020_B_ROW_KBN)))&lt;&gt;2</formula>
    </cfRule>
  </conditionalFormatting>
  <conditionalFormatting sqref="BL8">
    <cfRule type="expression" dxfId="4" priority="8">
      <formula>INDIRECT(ADDRESS(ROW(),COLUMN()))=TRUNC(INDIRECT(ADDRESS(ROW(),COLUMN())))</formula>
    </cfRule>
  </conditionalFormatting>
  <conditionalFormatting sqref="BL11">
    <cfRule type="expression" dxfId="3" priority="5">
      <formula>INDIRECT(ADDRESS(ROW(),COLUMN(UNMT0020_B_ROW_KBN)))&lt;&gt;2</formula>
    </cfRule>
  </conditionalFormatting>
  <conditionalFormatting sqref="BL11">
    <cfRule type="expression" dxfId="2" priority="6">
      <formula>INDIRECT(ADDRESS(ROW(),COLUMN()))=TRUNC(INDIRECT(ADDRESS(ROW(),COLUMN())))</formula>
    </cfRule>
  </conditionalFormatting>
  <conditionalFormatting sqref="BQ8">
    <cfRule type="expression" dxfId="1" priority="2">
      <formula>BR8&lt;&gt;""</formula>
    </cfRule>
  </conditionalFormatting>
  <conditionalFormatting sqref="BR8">
    <cfRule type="expression" dxfId="0" priority="1">
      <formula>BQ8&lt;&gt;""</formula>
    </cfRule>
  </conditionalFormatting>
  <dataValidations count="12">
    <dataValidation type="custom" allowBlank="1" showInputMessage="1" showErrorMessage="1" sqref="BS5 BS8 BS11">
      <formula1>LENB(BS5)&lt;=50</formula1>
    </dataValidation>
    <dataValidation type="custom" allowBlank="1" showInputMessage="1" showErrorMessage="1" sqref="BG5 BG8 BG11">
      <formula1>AND(NOT(ISERROR(INT(BG5))),ROUND(BG5,2)=BG5,AND(BG5&lt;10000000,BG5&gt;-10000000))</formula1>
    </dataValidation>
    <dataValidation type="custom" allowBlank="1" showInputMessage="1" showErrorMessage="1" sqref="BI8 BK5 BK8 BI5 BK11 BI11">
      <formula1>LENB(BI5)&lt;=10</formula1>
    </dataValidation>
    <dataValidation type="custom" allowBlank="1" showInputMessage="1" showErrorMessage="1" sqref="BJ11 BJ8 BJ5">
      <formula1>AND(NOT(ISERROR(INT(BJ5))),ROUND(BJ5,2)=BJ5,AND(BJ5&lt;100000,BJ5&gt;-100000))</formula1>
    </dataValidation>
    <dataValidation type="custom" allowBlank="1" showInputMessage="1" showErrorMessage="1" sqref="BF5 BF11 BF8">
      <formula1>LEN(BF5)&lt;=50</formula1>
    </dataValidation>
    <dataValidation type="list" allowBlank="1" showInputMessage="1" showErrorMessage="1" sqref="AK4 AK15 AK26">
      <formula1>UNKB0210_IF_LIST_KOBAI_KBN</formula1>
    </dataValidation>
    <dataValidation type="list" allowBlank="1" showInputMessage="1" showErrorMessage="1" sqref="AM20 AM9 AM31">
      <formula1>UNKB0210_IF_LIST_KANJO_KAMOKU</formula1>
    </dataValidation>
    <dataValidation type="list" allowBlank="1" showInputMessage="1" showErrorMessage="1" sqref="AP8 AP19 AP30">
      <formula1>UNKB0210_IF_LIST_DENKU</formula1>
    </dataValidation>
    <dataValidation type="list" allowBlank="1" showInputMessage="1" showErrorMessage="1" sqref="AM8 AM19 AM30">
      <formula1>UNKB0210_IF_LIST_SHIIRE_KAMOKU</formula1>
    </dataValidation>
    <dataValidation type="date" allowBlank="1" showInputMessage="1" showErrorMessage="1" sqref="AN4 AN15">
      <formula1>36526</formula1>
      <formula2>73415</formula2>
    </dataValidation>
    <dataValidation type="list" allowBlank="1" showDropDown="1" showInputMessage="1" showErrorMessage="1" sqref="BQ5 BQ8">
      <formula1>UNKB_YOSAN_CD_IF_LIST</formula1>
    </dataValidation>
    <dataValidation type="list" allowBlank="1" showDropDown="1" showInputMessage="1" showErrorMessage="1" sqref="BR5 BR8">
      <formula1>UNKB_JURI_NO_IF_LIST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B1:H70"/>
  <sheetViews>
    <sheetView topLeftCell="A24" zoomScale="70" zoomScaleNormal="70" workbookViewId="0">
      <selection activeCell="F59" sqref="F59"/>
    </sheetView>
  </sheetViews>
  <sheetFormatPr defaultRowHeight="13.5"/>
  <cols>
    <col min="2" max="2" width="3.5" customWidth="1"/>
    <col min="3" max="3" width="3.125" customWidth="1"/>
    <col min="4" max="4" width="25.125" bestFit="1" customWidth="1"/>
    <col min="5" max="5" width="4.375" customWidth="1"/>
    <col min="6" max="6" width="82.5" bestFit="1" customWidth="1"/>
    <col min="8" max="8" width="40.375" bestFit="1" customWidth="1"/>
  </cols>
  <sheetData>
    <row r="1" spans="2:8" ht="18.75">
      <c r="D1" s="77" t="s">
        <v>309</v>
      </c>
      <c r="E1" s="77"/>
      <c r="F1" s="78">
        <f>UNKB0210_IF_W_USER_ID</f>
        <v>0</v>
      </c>
      <c r="G1" s="79"/>
      <c r="H1" s="80" t="s">
        <v>530</v>
      </c>
    </row>
    <row r="2" spans="2:8" ht="18.75">
      <c r="D2" s="77" t="s">
        <v>310</v>
      </c>
      <c r="E2" s="77"/>
      <c r="F2" s="78">
        <f>UNKB0210_IF_W_SERIAL</f>
        <v>0</v>
      </c>
      <c r="G2" s="79"/>
      <c r="H2" s="80" t="s">
        <v>416</v>
      </c>
    </row>
    <row r="3" spans="2:8" ht="18.75">
      <c r="D3" s="77" t="s">
        <v>311</v>
      </c>
      <c r="E3" s="77"/>
      <c r="F3" s="78">
        <f>UNKB0210_H_PAGE_NO</f>
        <v>0</v>
      </c>
      <c r="G3" s="79"/>
      <c r="H3" s="80" t="s">
        <v>417</v>
      </c>
    </row>
    <row r="4" spans="2:8" ht="18.75">
      <c r="D4" s="77" t="s">
        <v>312</v>
      </c>
      <c r="E4" s="77"/>
      <c r="F4" s="78">
        <f>UNKB0210_IF_REF_NO</f>
        <v>0</v>
      </c>
      <c r="G4" s="79"/>
      <c r="H4" s="80" t="s">
        <v>418</v>
      </c>
    </row>
    <row r="5" spans="2:8" ht="18.75">
      <c r="D5" s="77" t="s">
        <v>542</v>
      </c>
      <c r="E5" s="77"/>
      <c r="F5" s="105">
        <f ca="1">UNKB0210_H_SHIIRE_DATE</f>
        <v>42930</v>
      </c>
      <c r="G5" s="79"/>
      <c r="H5" s="80" t="s">
        <v>543</v>
      </c>
    </row>
    <row r="6" spans="2:8" ht="18.75">
      <c r="D6" s="77" t="s">
        <v>538</v>
      </c>
      <c r="E6" s="77"/>
      <c r="F6" s="78">
        <v>1</v>
      </c>
      <c r="G6" s="79"/>
      <c r="H6" s="80" t="s">
        <v>540</v>
      </c>
    </row>
    <row r="7" spans="2:8" ht="18.75">
      <c r="D7" s="77" t="s">
        <v>539</v>
      </c>
      <c r="E7" s="77"/>
      <c r="F7" s="78">
        <v>25</v>
      </c>
      <c r="G7" s="79"/>
      <c r="H7" s="80" t="s">
        <v>541</v>
      </c>
    </row>
    <row r="11" spans="2:8" ht="18.75">
      <c r="B11" s="308" t="s">
        <v>313</v>
      </c>
      <c r="C11" s="308"/>
      <c r="D11" s="308"/>
      <c r="E11" s="81"/>
      <c r="F11" s="82"/>
      <c r="G11" s="82"/>
      <c r="H11" s="83" t="s">
        <v>314</v>
      </c>
    </row>
    <row r="12" spans="2:8" ht="18" customHeight="1">
      <c r="B12" s="84"/>
      <c r="C12" s="309" t="s">
        <v>315</v>
      </c>
      <c r="D12" s="310"/>
      <c r="E12" s="85"/>
      <c r="F12" s="80" t="str">
        <f>VLOOKUP(UNKB0210_IF_W_MODE,UNKB0210_SQL_PROC_SEARCH_AREA,2)</f>
        <v>EXEC SP_SAVE_T_SHIIRE '0' ,'0' ,0 ,0 ,'0'</v>
      </c>
      <c r="G12" s="79"/>
      <c r="H12" s="80" t="s">
        <v>419</v>
      </c>
    </row>
    <row r="13" spans="2:8" ht="18" customHeight="1">
      <c r="B13" s="84"/>
      <c r="C13" s="86"/>
      <c r="D13" s="77" t="s">
        <v>316</v>
      </c>
      <c r="E13" s="87">
        <v>0</v>
      </c>
      <c r="F13" s="88" t="str">
        <f>"EXEC SP_SAVE_T_SHIIRE '"&amp;UNKB0210_SQL_USER_ID&amp;"' ,'"&amp;UNKB0210_SQL_SERIAL&amp;"' ,0 ,0 ,'"&amp;UNKB0210_SQL_REF_NO&amp;"'"</f>
        <v>EXEC SP_SAVE_T_SHIIRE '0' ,'0' ,0 ,0 ,'0'</v>
      </c>
      <c r="G13" s="79"/>
      <c r="H13" s="80" t="s">
        <v>278</v>
      </c>
    </row>
    <row r="14" spans="2:8" ht="18" customHeight="1">
      <c r="B14" s="84"/>
      <c r="C14" s="86"/>
      <c r="D14" s="77" t="s">
        <v>317</v>
      </c>
      <c r="E14" s="87">
        <v>1</v>
      </c>
      <c r="F14" s="88" t="str">
        <f>"EXEC SP_SAVE_T_SHIIRE '"&amp;UNKB0210_SQL_USER_ID&amp;"' ,'"&amp;UNKB0210_SQL_SERIAL&amp;"' ,1 ,"&amp;UNKB0210_SQL_PAGE&amp;" ,'0'"</f>
        <v>EXEC SP_SAVE_T_SHIIRE '0' ,'0' ,1 ,0 ,'0'</v>
      </c>
      <c r="G14" s="79"/>
      <c r="H14" s="80" t="s">
        <v>278</v>
      </c>
    </row>
    <row r="15" spans="2:8" ht="18" customHeight="1">
      <c r="B15" s="84"/>
      <c r="C15" s="86"/>
      <c r="D15" s="77" t="s">
        <v>318</v>
      </c>
      <c r="E15" s="87">
        <v>2</v>
      </c>
      <c r="F15" s="88" t="str">
        <f>"EXEC SP_SAVE_T_SHIIRE '"&amp;UNKB0210_SQL_USER_ID&amp;"' ,'"&amp;UNKB0210_SQL_SERIAL&amp;"' ,2 ,"&amp;UNKB0210_SQL_PAGE&amp;" ,'"&amp;UNKB0210_SQL_REF_NO&amp;"'"</f>
        <v>EXEC SP_SAVE_T_SHIIRE '0' ,'0' ,2 ,0 ,'0'</v>
      </c>
      <c r="G15" s="79"/>
      <c r="H15" s="80" t="s">
        <v>278</v>
      </c>
    </row>
    <row r="16" spans="2:8" ht="18" customHeight="1">
      <c r="B16" s="84"/>
      <c r="C16" s="86"/>
      <c r="D16" s="77" t="s">
        <v>319</v>
      </c>
      <c r="E16" s="87">
        <v>3</v>
      </c>
      <c r="F16" s="88" t="str">
        <f>"EXEC SP_SAVE_T_SHIIRE '"&amp;UNKB0210_SQL_USER_ID&amp;"' ,'"&amp;UNKB0210_SQL_SERIAL&amp;"' ,3 ,0 ,'"&amp;UNKB0210_SQL_REF_NO&amp;"'"</f>
        <v>EXEC SP_SAVE_T_SHIIRE '0' ,'0' ,3 ,0 ,'0'</v>
      </c>
      <c r="G16" s="79"/>
      <c r="H16" s="80" t="s">
        <v>278</v>
      </c>
    </row>
    <row r="17" spans="2:8" ht="18" customHeight="1">
      <c r="B17" s="84"/>
      <c r="C17" s="86"/>
      <c r="D17" s="77" t="s">
        <v>560</v>
      </c>
      <c r="E17" s="87">
        <v>4</v>
      </c>
      <c r="F17" s="88" t="str">
        <f>"EXEC SP_SAVE_T_SHIIRE '"&amp;UNKB0210_SQL_USER_ID&amp;"' ,'"&amp;UNKB0210_SQL_SERIAL&amp;"' ,4 ,0 ,'0'"</f>
        <v>EXEC SP_SAVE_T_SHIIRE '0' ,'0' ,4 ,0 ,'0'</v>
      </c>
      <c r="G17" s="79"/>
      <c r="H17" s="80" t="s">
        <v>278</v>
      </c>
    </row>
    <row r="18" spans="2:8" ht="18" customHeight="1">
      <c r="B18" s="84"/>
      <c r="C18" s="86"/>
      <c r="D18" s="77" t="s">
        <v>561</v>
      </c>
      <c r="E18" s="87">
        <v>5</v>
      </c>
      <c r="F18" s="88" t="str">
        <f>"EXEC SP_SAVE_T_SHIIRE '"&amp;UNKB0210_SQL_USER_ID&amp;"' ,'"&amp;UNKB0210_SQL_SERIAL&amp;"' ,5 ,0 ,'"&amp;UNKB0210_SQL_REF_NO&amp;"'"</f>
        <v>EXEC SP_SAVE_T_SHIIRE '0' ,'0' ,5 ,0 ,'0'</v>
      </c>
      <c r="G18" s="79"/>
      <c r="H18" s="80" t="s">
        <v>278</v>
      </c>
    </row>
    <row r="19" spans="2:8" ht="18" customHeight="1">
      <c r="B19" s="84"/>
      <c r="C19" s="86"/>
      <c r="D19" s="77" t="s">
        <v>320</v>
      </c>
      <c r="E19" s="87">
        <v>6</v>
      </c>
      <c r="F19" s="88" t="str">
        <f>"EXEC SP_SAVE_T_SHIIRE '"&amp;UNKB0210_SQL_USER_ID&amp;"' ,'"&amp;UNKB0210_SQL_SERIAL&amp;"' ,6 ,0 ,'"&amp;UNKB0210_SQL_REF_NO&amp;"'"</f>
        <v>EXEC SP_SAVE_T_SHIIRE '0' ,'0' ,6 ,0 ,'0'</v>
      </c>
      <c r="G19" s="79"/>
      <c r="H19" s="80" t="s">
        <v>278</v>
      </c>
    </row>
    <row r="20" spans="2:8" ht="18" customHeight="1">
      <c r="B20" s="91"/>
      <c r="C20" s="92"/>
      <c r="D20" s="77" t="s">
        <v>321</v>
      </c>
      <c r="E20" s="87">
        <v>99</v>
      </c>
      <c r="F20" s="88" t="str">
        <f>"EXEC SP_SAVE_T_SHIIRE '"&amp;UNKB0210_SQL_USER_ID&amp;"' ,'"&amp;UNKB0210_SQL_SERIAL&amp;"' ,99 ,0 ,'0'"</f>
        <v>EXEC SP_SAVE_T_SHIIRE '0' ,'0' ,99 ,0 ,'0'</v>
      </c>
      <c r="G20" s="79"/>
      <c r="H20" s="80" t="s">
        <v>278</v>
      </c>
    </row>
    <row r="21" spans="2:8">
      <c r="E21" t="s">
        <v>420</v>
      </c>
    </row>
    <row r="24" spans="2:8" ht="18.75">
      <c r="B24" s="308" t="s">
        <v>322</v>
      </c>
      <c r="C24" s="308"/>
      <c r="D24" s="308"/>
      <c r="E24" s="81"/>
      <c r="F24" s="82"/>
      <c r="G24" s="82"/>
      <c r="H24" s="83" t="s">
        <v>314</v>
      </c>
    </row>
    <row r="25" spans="2:8" ht="17.25" customHeight="1">
      <c r="B25" s="84"/>
      <c r="C25" s="309" t="s">
        <v>315</v>
      </c>
      <c r="D25" s="310"/>
      <c r="E25" s="85"/>
      <c r="F25" s="79" t="str">
        <f>F26&amp;F27</f>
        <v>SELECT W_SHIIRE.SHIIRE_NO                   AS SHIIRE_NO
      ,W_SHIIRE.SHIIRE_DATE                 AS SHIIRE_DATE
      ,J_SHIIRE_KAMOKU.DATA_1               AS SHIIRE_KAMOKU
      ,J_DENKU.DATA_1                       AS DENKU
      ,W_SHIIRE.KOBAI_KBN                   AS KOBAI_KBN
      ,J_KOBAI_KBN.DATA_1                   AS KOBAI_KBN_MEI
      ,J_KANJO_KAMOKU.DATA_1                AS KANJO_KAMOKU
      ,W_SHIIRE.SHIIRE_NYURYOKUSHA_CD       AS NYURYOKUSHA_CD
      ,J_NYURYOKUSHA.SHIMEI                 AS NYURYOKUSHA_MEI
      ,W_SHIIRE.SHIHARAI_DATE               AS SHIHARAI_DATE
      ,W_SHIIRE.SHIIRE_STS                  AS SHIIRE_STS
      ,J_STS.DATA_1                         AS SHIIRE_STS_MEI
      ,W_SHIIRE.SHIIRE_CD                   AS SHIIRE_CD
      ,J_SHIIRESAKI.AITE_MEI                AS SHIIRE_MEI
      ,J_SHIIRESAKI.SHIIRE_CHUKI            AS SHIIRE_CHUKI
      ,W_SHIIRE.SHOKAN_NO                   AS SHOKAN_NO
      ,W_SHIIRE.SHOKAN_LINK_DATETIME        AS SHOKAN_LINK_DATETIME
      ,J_SHIIRESAKI.SHIIRE_HASU_KBN         AS SHIIRE_HASU_KBN
  FROM W_SHIIRE
  LEFT JOIN
       M_MEISHO_B AS J_KOBAI_KBN
    ON J_KOBAI_KBN.MEISHO_KBN = 'K021'
   AND J_KOBAI_KBN.MEISHO_CD  = W_SHIIRE.KOBAI_KBN
  LEFT JOIN
       M_MEISHO_B AS J_STS
    ON J_STS.MEISHO_KBN = 'S006'
   AND J_STS.MEISHO_CD  = W_SHIIRE.SHIIRE_STS
  LEFT JOIN
       M_SHAIN AS J_NYURYOKUSHA
    ON J_NYURYOKUSHA.SHAIN_CD = W_SHIIRE.SHIIRE_NYURYOKUSHA_CD
  LEFT JOIN
       M_AITESAKI AS J_SHIIRESAKI
    ON J_SHIIRESAKI.AITE_CD = W_SHIIRE.SHIIRE_CD
  LEFT JOIN
       M_MEISHO_B AS J_SHIIRE_KAMOKU
    ON J_SHIIRE_KAMOKU.MEISHO_KBN = 'K034'
   AND J_SHIIRE_KAMOKU.MEISHO_CD  = W_SHIIRE.SHIIRE_KAMOKU
  LEFT JOIN
       M_MEISHO_B AS J_DENKU
    ON J_DENKU.MEISHO_KBN = 'K035'
   AND J_DENKU.MEISHO_CD  = W_SHIIRE.DENKU
  LEFT JOIN
       M_MEISHO_B AS J_KANJO_KAMOKU
    ON J_KANJO_KAMOKU.MEISHO_KBN = 'K036'
   AND J_KANJO_KAMOKU.MEISHO_CD  = W_SHIIRE.KANJO_KAMOKU
 WHERE W_SHIIRE.W_USER_ID = '0'
   AND W_SHIIRE.W_SERIAL  = '0'
   AND W_SHIIRE.W_PAGE    = 0
   AND W_SHIIRE.W_ROW     = 1</v>
      </c>
      <c r="G25" s="79"/>
      <c r="H25" s="80" t="s">
        <v>421</v>
      </c>
    </row>
    <row r="26" spans="2:8" ht="17.25" customHeight="1">
      <c r="B26" s="84"/>
      <c r="C26" s="86"/>
      <c r="D26" s="77" t="s">
        <v>323</v>
      </c>
      <c r="E26" s="77"/>
      <c r="F26" s="79" t="s">
        <v>993</v>
      </c>
      <c r="G26" s="79"/>
      <c r="H26" s="80" t="s">
        <v>278</v>
      </c>
    </row>
    <row r="27" spans="2:8" ht="17.25" customHeight="1">
      <c r="B27" s="84"/>
      <c r="C27" s="86"/>
      <c r="D27" s="77" t="s">
        <v>324</v>
      </c>
      <c r="E27" s="77"/>
      <c r="F27" s="79" t="str">
        <f>" WHERE W_SHIIRE.W_USER_ID = '"&amp;UNKB0210_SQL_USER_ID&amp;"'
   AND W_SHIIRE.W_SERIAL  = '"&amp;UNKB0210_SQL_SERIAL&amp;"'
   AND W_SHIIRE.W_PAGE    = "&amp;UNKB0210_SQL_PAGE&amp;"
   AND W_SHIIRE.W_ROW     = 1"</f>
        <v xml:space="preserve"> WHERE W_SHIIRE.W_USER_ID = '0'
   AND W_SHIIRE.W_SERIAL  = '0'
   AND W_SHIIRE.W_PAGE    = 0
   AND W_SHIIRE.W_ROW     = 1</v>
      </c>
      <c r="G27" s="79"/>
      <c r="H27" s="80" t="s">
        <v>278</v>
      </c>
    </row>
    <row r="28" spans="2:8" ht="18.75">
      <c r="B28" s="311" t="s">
        <v>325</v>
      </c>
      <c r="C28" s="312"/>
      <c r="D28" s="313"/>
      <c r="E28" s="89"/>
      <c r="F28" s="82"/>
      <c r="G28" s="82"/>
      <c r="H28" s="83" t="s">
        <v>314</v>
      </c>
    </row>
    <row r="29" spans="2:8" ht="17.25" customHeight="1">
      <c r="B29" s="84"/>
      <c r="C29" s="309" t="s">
        <v>315</v>
      </c>
      <c r="D29" s="310"/>
      <c r="E29" s="85"/>
      <c r="F29" s="79" t="str">
        <f>F30&amp;F31</f>
        <v>SELECT W_SHIIRE.GYO_NO          AS SHIIRE_NO
      ,J_YOSAN.YOSAN_MEI        AS YOSAN_MEI
      ,J_MAKER.AITE_MEI         AS MAKER_MEI
      ,W_SHIIRE.KOBAI_SEQ       AS KOBAI_SEQ
      ,W_SHIIRE.KOBAIHIN_CD     AS KOBAIHIN_CD
      ,W_SHIIRE.KOBAIHIN_MEI    AS KOBAIHIN_MEI
      ,W_SHIIRE.TANKA           AS TANKA
      ,W_SHIIRE.IRISU           AS IRISU
      ,W_SHIIRE.BARA_TANI       AS BARA_TANI
      ,W_SHIIRE.SURYO           AS SURYO
      ,W_SHIIRE.IRISU_TANI      AS IRISU_TANI
      ,W_SHIIRE.SOSU            AS SOSU
      ,W_SHIIRE.TOTAL           AS TOTAL
      ,J_KOBAI.IRAI_NO          AS IRAI_NO
      ,W_SHIIRE.MAKER_CD        AS MAKER_CD
      ,NULL                     AS MAKER_MEI_DISP
      ,W_SHIIRE.YOSAN_CD        AS YOSAN_CD
      ,W_SHIIRE.JURI_NO         AS JURI_NO
      ,W_SHIIRE.BIKO            AS BIKO
      ,W_SHIIRE.KOBAI_NO        AS KOBAI_NO
  FROM W_SHIIRE
  LEFT JOIN
       M_YOSAN AS J_YOSAN
    ON J_YOSAN.YOSAN_CD  = W_SHIIRE.YOSAN_CD
  LEFT JOIN
       M_AITESAKI AS J_MAKER
    ON J_MAKER.AITE_CD = W_SHIIRE.MAKER_CD
  LEFT JOIN
       V_KOBAI_LIST AS J_KOBAI
    ON J_KOBAI.KOBAI_NO = W_SHIIRE.KOBAI_NO
   AND J_KOBAI.KOBAI_SEQ = W_SHIIRE.KOBAI_SEQ
 WHERE W_SHIIRE.W_USER_ID = '0'
   AND W_SHIIRE.W_SERIAL  = '0'
   AND W_SHIIRE.W_PAGE    = 0</v>
      </c>
      <c r="G29" s="79"/>
      <c r="H29" s="80" t="s">
        <v>422</v>
      </c>
    </row>
    <row r="30" spans="2:8" ht="17.25" customHeight="1">
      <c r="B30" s="84"/>
      <c r="C30" s="86"/>
      <c r="D30" s="77" t="s">
        <v>323</v>
      </c>
      <c r="E30" s="77"/>
      <c r="F30" s="79" t="s">
        <v>1168</v>
      </c>
      <c r="G30" s="79"/>
      <c r="H30" s="80" t="s">
        <v>278</v>
      </c>
    </row>
    <row r="31" spans="2:8" ht="17.25" customHeight="1">
      <c r="B31" s="84"/>
      <c r="C31" s="86"/>
      <c r="D31" s="77" t="s">
        <v>324</v>
      </c>
      <c r="E31" s="77"/>
      <c r="F31" s="79" t="str">
        <f>" WHERE W_SHIIRE.W_USER_ID = '"&amp;UNKB0210_SQL_USER_ID&amp;"'
   AND W_SHIIRE.W_SERIAL  = '"&amp;UNKB0210_SQL_SERIAL&amp;"'
   AND W_SHIIRE.W_PAGE    = "&amp;UNKB0210_SQL_PAGE</f>
        <v xml:space="preserve"> WHERE W_SHIIRE.W_USER_ID = '0'
   AND W_SHIIRE.W_SERIAL  = '0'
   AND W_SHIIRE.W_PAGE    = 0</v>
      </c>
      <c r="G31" s="79"/>
      <c r="H31" s="80" t="s">
        <v>278</v>
      </c>
    </row>
    <row r="32" spans="2:8" ht="17.25" customHeight="1">
      <c r="B32" s="311" t="s">
        <v>326</v>
      </c>
      <c r="C32" s="312"/>
      <c r="D32" s="313"/>
      <c r="E32" s="89"/>
      <c r="F32" s="82"/>
      <c r="G32" s="82"/>
      <c r="H32" s="83" t="s">
        <v>314</v>
      </c>
    </row>
    <row r="33" spans="2:8" ht="17.25" customHeight="1">
      <c r="B33" s="84"/>
      <c r="C33" s="309" t="s">
        <v>315</v>
      </c>
      <c r="D33" s="310"/>
      <c r="E33" s="85"/>
      <c r="F33" s="79" t="str">
        <f>F34&amp;F35</f>
        <v>SELECT *
  FROM W_SHIIRE
 WHERE W_SHIIRE.W_USER_ID = '0'
   AND W_SHIIRE.W_SERIAL  = '0'
   AND W_SHIIRE.W_PAGE    = 0</v>
      </c>
      <c r="G33" s="79"/>
      <c r="H33" s="80" t="s">
        <v>423</v>
      </c>
    </row>
    <row r="34" spans="2:8" ht="17.25" customHeight="1">
      <c r="B34" s="84"/>
      <c r="C34" s="86"/>
      <c r="D34" s="77" t="s">
        <v>323</v>
      </c>
      <c r="E34" s="77"/>
      <c r="F34" s="79" t="s">
        <v>606</v>
      </c>
      <c r="G34" s="79"/>
      <c r="H34" s="80" t="s">
        <v>278</v>
      </c>
    </row>
    <row r="35" spans="2:8" ht="17.25" customHeight="1">
      <c r="B35" s="84"/>
      <c r="C35" s="86"/>
      <c r="D35" s="77" t="s">
        <v>324</v>
      </c>
      <c r="E35" s="77"/>
      <c r="F35" s="79" t="str">
        <f>" WHERE W_SHIIRE.W_USER_ID = '"&amp;UNKB0210_SQL_USER_ID&amp;"'
   AND W_SHIIRE.W_SERIAL  = '"&amp;UNKB0210_SQL_SERIAL&amp;"'
   AND W_SHIIRE.W_PAGE    = "&amp;UNKB0210_SQL_PAGE</f>
        <v xml:space="preserve"> WHERE W_SHIIRE.W_USER_ID = '0'
   AND W_SHIIRE.W_SERIAL  = '0'
   AND W_SHIIRE.W_PAGE    = 0</v>
      </c>
      <c r="G35" s="79"/>
      <c r="H35" s="80" t="s">
        <v>278</v>
      </c>
    </row>
    <row r="36" spans="2:8" ht="17.25" customHeight="1">
      <c r="B36" s="311" t="s">
        <v>327</v>
      </c>
      <c r="C36" s="312"/>
      <c r="D36" s="313"/>
      <c r="E36" s="89"/>
      <c r="F36" s="82"/>
      <c r="G36" s="82"/>
      <c r="H36" s="83" t="s">
        <v>314</v>
      </c>
    </row>
    <row r="37" spans="2:8" ht="17.25" customHeight="1">
      <c r="B37" s="84"/>
      <c r="C37" s="309" t="s">
        <v>315</v>
      </c>
      <c r="D37" s="310"/>
      <c r="E37" s="85"/>
      <c r="F37" s="79" t="str">
        <f>F38&amp;F39</f>
        <v xml:space="preserve">SELECT ISNULL(MAX(W_SHIIRE.W_PAGE),0) AS MAX_PAGE
  FROM W_SHIIRE
 WHERE W_SHIIRE.W_USER_ID = '0'
   AND W_SHIIRE.W_SERIAL  = '0'
</v>
      </c>
      <c r="G37" s="79"/>
      <c r="H37" s="80" t="s">
        <v>424</v>
      </c>
    </row>
    <row r="38" spans="2:8" ht="17.25" customHeight="1">
      <c r="B38" s="84"/>
      <c r="C38" s="86"/>
      <c r="D38" s="77" t="s">
        <v>323</v>
      </c>
      <c r="E38" s="77"/>
      <c r="F38" s="79" t="s">
        <v>595</v>
      </c>
      <c r="G38" s="79"/>
      <c r="H38" s="80" t="s">
        <v>278</v>
      </c>
    </row>
    <row r="39" spans="2:8" ht="17.25" customHeight="1">
      <c r="B39" s="84"/>
      <c r="C39" s="86"/>
      <c r="D39" s="77" t="s">
        <v>324</v>
      </c>
      <c r="E39" s="77"/>
      <c r="F39" s="79" t="str">
        <f>" WHERE W_SHIIRE.W_USER_ID = '"&amp;UNKB0210_SQL_USER_ID&amp;"'
   AND W_SHIIRE.W_SERIAL  = '"&amp;UNKB0210_SQL_SERIAL&amp;"'
"</f>
        <v xml:space="preserve"> WHERE W_SHIIRE.W_USER_ID = '0'
   AND W_SHIIRE.W_SERIAL  = '0'
</v>
      </c>
      <c r="G39" s="79"/>
      <c r="H39" s="80" t="s">
        <v>278</v>
      </c>
    </row>
    <row r="41" spans="2:8" ht="18.75">
      <c r="B41" s="311" t="s">
        <v>328</v>
      </c>
      <c r="C41" s="312"/>
      <c r="D41" s="313"/>
      <c r="E41" s="81"/>
      <c r="F41" s="82"/>
      <c r="G41" s="82"/>
      <c r="H41" s="83" t="s">
        <v>314</v>
      </c>
    </row>
    <row r="42" spans="2:8" ht="18.75" customHeight="1">
      <c r="B42" s="84"/>
      <c r="C42" s="306" t="s">
        <v>60</v>
      </c>
      <c r="D42" s="307"/>
      <c r="E42" s="85"/>
      <c r="F42" s="79" t="s">
        <v>1156</v>
      </c>
      <c r="G42" s="79"/>
      <c r="H42" s="80" t="s">
        <v>531</v>
      </c>
    </row>
    <row r="43" spans="2:8" ht="18.75" customHeight="1">
      <c r="B43" s="84"/>
      <c r="C43" s="314" t="s">
        <v>329</v>
      </c>
      <c r="D43" s="315"/>
      <c r="E43" s="109"/>
      <c r="F43" s="110" t="s">
        <v>1157</v>
      </c>
      <c r="G43" s="110"/>
      <c r="H43" s="111" t="s">
        <v>532</v>
      </c>
    </row>
    <row r="44" spans="2:8" ht="18.75" customHeight="1">
      <c r="B44" s="84"/>
      <c r="C44" s="306" t="s">
        <v>991</v>
      </c>
      <c r="D44" s="307"/>
      <c r="E44" s="209"/>
      <c r="F44" s="79" t="s">
        <v>1155</v>
      </c>
      <c r="G44" s="79"/>
      <c r="H44" s="80" t="s">
        <v>994</v>
      </c>
    </row>
    <row r="45" spans="2:8" ht="18.75" customHeight="1">
      <c r="B45" s="84"/>
      <c r="C45" s="306" t="s">
        <v>992</v>
      </c>
      <c r="D45" s="307"/>
      <c r="E45" s="209"/>
      <c r="F45" s="79" t="s">
        <v>1154</v>
      </c>
      <c r="G45" s="79"/>
      <c r="H45" s="80" t="s">
        <v>995</v>
      </c>
    </row>
    <row r="46" spans="2:8" ht="18.75" customHeight="1">
      <c r="B46" s="84"/>
      <c r="C46" s="306" t="s">
        <v>984</v>
      </c>
      <c r="D46" s="307"/>
      <c r="E46" s="206"/>
      <c r="F46" s="79" t="s">
        <v>1153</v>
      </c>
      <c r="G46" s="79"/>
      <c r="H46" s="80" t="s">
        <v>988</v>
      </c>
    </row>
    <row r="48" spans="2:8" ht="18.75">
      <c r="B48" s="308" t="s">
        <v>575</v>
      </c>
      <c r="C48" s="308"/>
      <c r="D48" s="308"/>
      <c r="E48" s="117"/>
      <c r="F48" s="82"/>
      <c r="G48" s="82"/>
      <c r="H48" s="83" t="s">
        <v>314</v>
      </c>
    </row>
    <row r="49" spans="2:8" ht="15" customHeight="1">
      <c r="B49" s="84"/>
      <c r="C49" s="309" t="s">
        <v>585</v>
      </c>
      <c r="D49" s="310"/>
      <c r="E49" s="116"/>
      <c r="F49" s="79" t="str">
        <f ca="1">F50&amp;$F$53&amp;$F$60</f>
        <v>SELECT M_SHOHIN.SHOHIN_CD               AS 購買品CD
      ,M_SHOHIN.SHOHIN_MEI              AS 購買品名
      ,M_SHOHIN.SHIIRE_IRISU            AS 仕入入数
      ,M_SHOHIN.SHIIRE_IRISU_TANI       AS 仕入入数単位
      ,M_SHOHIN.SHIIRE_TANKA            AS 仕入単価
      ,M_SHOHIN.BAIKA                   AS 売価
      ,CASE M_SHOHIN.DOKU_FLG
       WHEN 'True' THEN '×'
       ELSE NULL
       END                              AS 毒
      ,CASE M_SHOHIN.CHOSEI_SHIYAKU_FLG
       WHEN 'True' THEN '×'
       ELSE NULL
       END                              AS 試薬
      ,J_STATUS.DATA_1                  AS ステータス
      ,M_SHOHIN.BIKO                    AS 備考
      ,M_SHOHIN.TEIKA                   AS 定価
      ,M_SHOHIN.BARA_TANI               AS バラ単位
      ,M_SHOHIN.SHIIRE_CD               AS 仕入先CD
      ,J_SHIIRE.AITE_MEI                AS 仕入先名
      ,M_SHOHIN.MAKER_CD                AS メーカーCD
      ,J_MAKER.AITE_MEI                 AS メーカー名
      ,M_SHOHIN.SHIKIICHI               AS 閾値
      ,M_SHOHIN.HYOJUN_NOKI             AS 標準納期
      ,M_SHOHIN.HOKANBASHO_KBN          AS 保管場所区分
      ,J_HOKAN_BASHO.DATA_1             AS 保管場所名
  FROM M_SHOHIN
  LEFT JOIN M_AITESAKI        AS J_SHIIRE
    ON M_SHOHIN.SHIIRE_CD = J_SHIIRE.AITE_CD
  LEFT JOIN M_AITESAKI        AS J_MAKER
    ON M_SHOHIN.MAKER_CD = J_MAKER.AITE_CD
  LEFT JOIN M_MEISHO_B          AS J_STATUS
    ON M_SHOHIN.SHOHIN_STS = J_STATUS.MEISHO_CD
   AND J_STATUS.MEISHO_KBN = 'S001'
  LEFT JOIN M_MEISHO_B          AS J_HOKAN_BASHO
    ON M_SHOHIN.HOKANBASHO_KBN = J_HOKAN_BASHO.MEISHO_CD
   AND J_HOKAN_BASHO.MEISHO_KBN = 'M002'
 WHERE M_SHOHIN.SHOHIN_STS = '1'
  AND M_SHOHIN.MISHIYO_FLG  = 'False'
  AND M_SHOHIN.SHOHIN_BUNRUI IN ('2000')
   AND M_SHOHIN.KOBAIHIN_FLG  = 'True' ORDER BY SHOHIN_CD ASC</v>
      </c>
      <c r="G49" s="79"/>
      <c r="H49" s="80" t="s">
        <v>586</v>
      </c>
    </row>
    <row r="50" spans="2:8" ht="18.75" customHeight="1">
      <c r="B50" s="84"/>
      <c r="C50" s="86"/>
      <c r="D50" s="77" t="s">
        <v>576</v>
      </c>
      <c r="E50" s="77"/>
      <c r="F50" s="79" t="s">
        <v>1160</v>
      </c>
      <c r="G50" s="79"/>
      <c r="H50" s="80" t="s">
        <v>278</v>
      </c>
    </row>
    <row r="51" spans="2:8" ht="17.25" customHeight="1">
      <c r="B51" s="84"/>
      <c r="C51" s="309" t="s">
        <v>589</v>
      </c>
      <c r="D51" s="310"/>
      <c r="E51" s="77"/>
      <c r="F51" s="79" t="str">
        <f ca="1">F52&amp;$F$53&amp;$F$60</f>
        <v>SELECT NULL                         AS 行
      ,NULL                         AS 予算コード
      ,J_MAKER.AITE_MEI             AS メーカー名
      ,NULL                         AS 参照元購買申請SEQ
      ,M_SHOHIN.SHOHIN_CD           AS 購買品CD
      ,M_SHOHIN.SHOHIN_MEI          AS 購買品名
      ,M_SHOHIN.SHIIRE_TANKA        AS 仕入単価
      ,M_SHOHIN.SHIIRE_IRISU        AS 仕入入数
      ,M_SHOHIN.BARA_TANI           AS バラ単位
      ,NULL                         AS 数量
      ,M_SHOHIN.SHIIRE_IRISU_TANI   AS 仕入入数単位
      ,NULL                         AS 注文総数
      ,NULL                         AS 合計金額
      ,M_SHOHIN.MAKER_CD            AS メーカーCD
      ,NULL                         AS メーカー名表示用
      ,NULL                         AS 予算コード名
      ,NULL                         AS '受理No.'
      ,NULL                         AS 仕入備考
      ,NULL                         AS '参照元購買申請No.'
      ,M_SHOHIN.HOKANBASHO_KBN      AS 保管場所区分
      ,J_HOKAN_BASHO.DATA_1         AS 保管場所
      ,J_SHIIRE.AITE_MEI            AS 仕入先名
      ,J_SHIIRE.SHIIRE_HASU_KBN     AS 仕入先端数処理区分
      ,M_SHOHIN.SHIKIICHI           AS 閾値
      ,M_SHOHIN.HYOJUN_NOKI         AS 標準納期
      ,M_SHOHIN.SHOHIN_BUNRUI       AS 商品分類区分
      ,J_KOBAIHIN_KBN.DATA_2        AS 購買品区分
      ,M_SHOHIN.SHIIRE_CD           AS 仕入先CD
      ,M_SHOHIN.BAIKA               AS 売価
      ,M_SHOHIN.BIKO                AS 備考
      ,CASE M_SHOHIN.DOKU_FLG
       WHEN 'True' THEN '×'
       ELSE NULL
       END                          AS 毒
      ,CASE M_SHOHIN.CHOSEI_SHIYAKU_FLG
       WHEN 'True' THEN '×'
       ELSE NULL
       END                          AS 試薬
      ,M_SHOHIN.TEIKA               AS 定価
  FROM M_SHOHIN
  LEFT JOIN
       M_AITESAKI AS J_SHIIRE
    ON J_SHIIRE.AITE_CD = M_SHOHIN.SHIIRE_CD
  LEFT JOIN
       M_AITESAKI AS J_MAKER
    ON J_MAKER.AITE_CD = M_SHOHIN.MAKER_CD
  LEFT JOIN
       M_MEISHO_B AS J_KOBAIHIN_KBN
    ON J_KOBAIHIN_KBN.MEISHO_KBN = 'K025'
   AND J_KOBAIHIN_KBN.MEISHO_CD  = M_SHOHIN.SHOHIN_BUNRUI
  LEFT JOIN
       M_MEISHO_B AS J_HOKAN_BASHO
    ON J_KOBAIHIN_KBN.MEISHO_KBN = 'M002'
   AND J_KOBAIHIN_KBN.MEISHO_CD  = M_SHOHIN.HOKANBASHO_KBN
 WHERE M_SHOHIN.SHOHIN_STS = '1'
  AND M_SHOHIN.MISHIYO_FLG  = 'False'
  AND M_SHOHIN.SHOHIN_BUNRUI IN ('2000')
   AND M_SHOHIN.KOBAIHIN_FLG  = 'True' ORDER BY SHOHIN_CD ASC</v>
      </c>
      <c r="G51" s="79"/>
      <c r="H51" s="80" t="s">
        <v>590</v>
      </c>
    </row>
    <row r="52" spans="2:8" ht="18.75" customHeight="1">
      <c r="B52" s="84"/>
      <c r="C52" s="86"/>
      <c r="D52" s="77" t="s">
        <v>576</v>
      </c>
      <c r="E52" s="77"/>
      <c r="F52" s="79" t="s">
        <v>1161</v>
      </c>
      <c r="G52" s="79"/>
      <c r="H52" s="80" t="s">
        <v>278</v>
      </c>
    </row>
    <row r="53" spans="2:8" ht="18.75" customHeight="1" thickBot="1">
      <c r="B53" s="84"/>
      <c r="C53" s="309" t="s">
        <v>577</v>
      </c>
      <c r="D53" s="310"/>
      <c r="E53" s="120"/>
      <c r="F53" s="121" t="str">
        <f ca="1">VLOOKUP(UNKB0210_H_KOBAI_KBN_CD,UNKB0210_SQL_KOBAIHIN_SEARCH_VLOOKUP_AREA,2,FALSE)</f>
        <v xml:space="preserve">  AND M_SHOHIN.SHOHIN_BUNRUI IN ('2000')
   AND M_SHOHIN.KOBAIHIN_FLG  = 'True'</v>
      </c>
      <c r="G53" s="79"/>
      <c r="H53" s="80" t="s">
        <v>278</v>
      </c>
    </row>
    <row r="54" spans="2:8" ht="19.5" customHeight="1">
      <c r="B54" s="84"/>
      <c r="C54" s="86"/>
      <c r="D54" s="118" t="s">
        <v>578</v>
      </c>
      <c r="E54" s="122">
        <v>1</v>
      </c>
      <c r="F54" s="123" t="s">
        <v>1162</v>
      </c>
      <c r="G54" s="119"/>
      <c r="H54" s="80" t="s">
        <v>278</v>
      </c>
    </row>
    <row r="55" spans="2:8" ht="19.5" customHeight="1">
      <c r="B55" s="84"/>
      <c r="C55" s="86"/>
      <c r="D55" s="118" t="s">
        <v>579</v>
      </c>
      <c r="E55" s="124">
        <v>2</v>
      </c>
      <c r="F55" s="125" t="s">
        <v>1163</v>
      </c>
      <c r="G55" s="119"/>
      <c r="H55" s="80" t="s">
        <v>278</v>
      </c>
    </row>
    <row r="56" spans="2:8" ht="19.5" customHeight="1">
      <c r="B56" s="84"/>
      <c r="C56" s="86"/>
      <c r="D56" s="118" t="s">
        <v>580</v>
      </c>
      <c r="E56" s="124">
        <v>3</v>
      </c>
      <c r="F56" s="125" t="s">
        <v>1164</v>
      </c>
      <c r="G56" s="119"/>
      <c r="H56" s="80" t="s">
        <v>278</v>
      </c>
    </row>
    <row r="57" spans="2:8" ht="19.5" customHeight="1">
      <c r="B57" s="84"/>
      <c r="C57" s="86"/>
      <c r="D57" s="118" t="s">
        <v>581</v>
      </c>
      <c r="E57" s="124">
        <v>4</v>
      </c>
      <c r="F57" s="125" t="s">
        <v>1164</v>
      </c>
      <c r="G57" s="119"/>
      <c r="H57" s="80" t="s">
        <v>278</v>
      </c>
    </row>
    <row r="58" spans="2:8" ht="19.5" customHeight="1" thickBot="1">
      <c r="B58" s="84"/>
      <c r="C58" s="86"/>
      <c r="D58" s="118" t="s">
        <v>582</v>
      </c>
      <c r="E58" s="126">
        <v>5</v>
      </c>
      <c r="F58" s="127" t="s">
        <v>1165</v>
      </c>
      <c r="G58" s="119"/>
      <c r="H58" s="80" t="s">
        <v>278</v>
      </c>
    </row>
    <row r="59" spans="2:8" ht="19.5" customHeight="1">
      <c r="B59" s="84"/>
      <c r="C59" s="225"/>
      <c r="D59" s="226" t="s">
        <v>587</v>
      </c>
      <c r="E59" s="227" t="s">
        <v>588</v>
      </c>
      <c r="F59" s="228" t="str">
        <f>IF(UNKB0210_H_SHIIRESAKI_CD="","","
  AND (    J_SHIIRE.AITE_CD         = '"&amp;UNKB0210_H_SHIIRESAKI_CD&amp;"'
        OR ISNULL(M_SHOHIN.SHIIRE_CD,'') = ''
      )
")</f>
        <v/>
      </c>
      <c r="G59" s="229"/>
      <c r="H59" s="230" t="s">
        <v>278</v>
      </c>
    </row>
    <row r="60" spans="2:8" ht="18.75" customHeight="1">
      <c r="B60" s="91"/>
      <c r="C60" s="306" t="s">
        <v>583</v>
      </c>
      <c r="D60" s="307"/>
      <c r="E60" s="77"/>
      <c r="F60" s="79" t="s">
        <v>584</v>
      </c>
      <c r="G60" s="79"/>
      <c r="H60" s="80" t="s">
        <v>278</v>
      </c>
    </row>
    <row r="62" spans="2:8" ht="18.75">
      <c r="B62" s="311" t="s">
        <v>330</v>
      </c>
      <c r="C62" s="312"/>
      <c r="D62" s="313"/>
      <c r="E62" s="81"/>
      <c r="F62" s="82"/>
      <c r="G62" s="82"/>
      <c r="H62" s="83" t="s">
        <v>314</v>
      </c>
    </row>
    <row r="63" spans="2:8" ht="18.75" customHeight="1">
      <c r="B63" s="84"/>
      <c r="C63" s="309" t="s">
        <v>331</v>
      </c>
      <c r="D63" s="310"/>
      <c r="E63" s="85"/>
      <c r="F63" s="79" t="str">
        <f>"SELECT SHAIN_CD
      ,SHIMEI
  FROM M_SHAIN
 WHERE M_SHAIN.SHAIN_CD = '"&amp;UNKB0210_SQL_USER_ID&amp;"'
"</f>
        <v xml:space="preserve">SELECT SHAIN_CD
      ,SHIMEI
  FROM M_SHAIN
 WHERE M_SHAIN.SHAIN_CD = '0'
</v>
      </c>
      <c r="G63" s="79"/>
      <c r="H63" s="80" t="s">
        <v>425</v>
      </c>
    </row>
    <row r="64" spans="2:8" ht="18.75" customHeight="1">
      <c r="B64" s="84"/>
      <c r="C64" s="306" t="s">
        <v>61</v>
      </c>
      <c r="D64" s="307"/>
      <c r="E64" s="90"/>
      <c r="F64" s="79" t="s">
        <v>1021</v>
      </c>
      <c r="G64" s="79"/>
      <c r="H64" s="80" t="s">
        <v>426</v>
      </c>
    </row>
    <row r="65" spans="2:8" s="210" customFormat="1" ht="18.75" customHeight="1">
      <c r="B65" s="84"/>
      <c r="C65" s="306" t="s">
        <v>991</v>
      </c>
      <c r="D65" s="307"/>
      <c r="E65" s="211"/>
      <c r="F65" s="79" t="s">
        <v>1019</v>
      </c>
      <c r="G65" s="79"/>
      <c r="H65" s="80" t="s">
        <v>1017</v>
      </c>
    </row>
    <row r="66" spans="2:8" s="210" customFormat="1" ht="18.75" customHeight="1">
      <c r="B66" s="84"/>
      <c r="C66" s="306" t="s">
        <v>992</v>
      </c>
      <c r="D66" s="307"/>
      <c r="E66" s="211"/>
      <c r="F66" s="79" t="s">
        <v>1020</v>
      </c>
      <c r="G66" s="79"/>
      <c r="H66" s="80" t="s">
        <v>1018</v>
      </c>
    </row>
    <row r="67" spans="2:8" ht="18.75" customHeight="1">
      <c r="B67" s="91"/>
      <c r="C67" s="314" t="s">
        <v>329</v>
      </c>
      <c r="D67" s="315"/>
      <c r="E67" s="109"/>
      <c r="F67" s="110" t="s">
        <v>332</v>
      </c>
      <c r="G67" s="110"/>
      <c r="H67" s="111" t="s">
        <v>427</v>
      </c>
    </row>
    <row r="69" spans="2:8" ht="18.75">
      <c r="B69" s="308" t="s">
        <v>333</v>
      </c>
      <c r="C69" s="308"/>
      <c r="D69" s="308"/>
      <c r="E69" s="81"/>
      <c r="F69" s="82"/>
      <c r="G69" s="82"/>
      <c r="H69" s="83" t="s">
        <v>314</v>
      </c>
    </row>
    <row r="70" spans="2:8" ht="19.5" customHeight="1">
      <c r="B70" s="91"/>
      <c r="C70" s="306" t="s">
        <v>533</v>
      </c>
      <c r="D70" s="307"/>
      <c r="E70" s="90"/>
      <c r="F70" s="79" t="str">
        <f ca="1">"SELECT CASE
       WHEN ISNULL(SHIHARAIHOHO_KBN,0) = 0
            THEN '"&amp;TEXT(UNKB0210_H_SHIIRE_DATE,"YYYY/MM/DD")&amp;"'
       WHEN SHIHARAIHOHO_KBN = 31
            THEN DATEADD(MONTH,"&amp;UNKB0210_SQL_SHIHARAI_MONTH&amp;",'"&amp;TEXT(YEAR(UNKB0210_SQL_SHIIRE_DATE)&amp;"/"&amp;MONTH(UNKB0210_SQL_SHIIRE_DATE)&amp;"/"&amp;UNKB0210_SQL_SHIHARAI_DAY,"YYYY/MM/DD")&amp;"')
       ELSE
            CASE
              WHEN "&amp;DAY(UNKB0210_H_SHIIRE_DATE)&amp;" &gt; SHIHARAIHOHO_KBN
                   THEN DATEADD(MONTH,"&amp;UNKB0210_SQL_SHIHARAI_MONTH+1&amp;",'"&amp;TEXT(YEAR(UNKB0210_SQL_SHIIRE_DATE)&amp;"/"&amp;MONTH(UNKB0210_SQL_SHIIRE_DATE)&amp;"/"&amp;UNKB0210_SQL_SHIHARAI_DAY,"YYYY/MM/DD")&amp;"')
              ELSE
                   DATEADD(MONTH,"&amp;UNKB0210_SQL_SHIHARAI_MONTH&amp;",'"&amp;TEXT(YEAR(UNKB0210_SQL_SHIIRE_DATE)&amp;"/"&amp;MONTH(UNKB0210_SQL_SHIIRE_DATE)&amp;"/"&amp;UNKB0210_SQL_SHIHARAI_DAY,"YYYY/MM/DD")&amp;"')
            END
       END AS 支払予定日
  FROM M_AITESAKI
 WHERE M_AITESAKI.AITE_CD = '"&amp;UNKB0210_H_SHIIRESAKI_CD&amp;"'"</f>
        <v>SELECT CASE
       WHEN ISNULL(SHIHARAIHOHO_KBN,0) = 0
            THEN '2017/07/14'
       WHEN SHIHARAIHOHO_KBN = 31
            THEN DATEADD(MONTH,1,'2017/07/25')
       ELSE
            CASE
              WHEN 14 &gt; SHIHARAIHOHO_KBN
                   THEN DATEADD(MONTH,2,'2017/07/25')
              ELSE
                   DATEADD(MONTH,1,'2017/07/25')
            END
       END AS 支払予定日
  FROM M_AITESAKI
 WHERE M_AITESAKI.AITE_CD = ''</v>
      </c>
      <c r="G70" s="79"/>
      <c r="H70" s="80" t="s">
        <v>534</v>
      </c>
    </row>
  </sheetData>
  <mergeCells count="29">
    <mergeCell ref="C70:D70"/>
    <mergeCell ref="B41:D41"/>
    <mergeCell ref="C42:D42"/>
    <mergeCell ref="C43:D43"/>
    <mergeCell ref="B62:D62"/>
    <mergeCell ref="C63:D63"/>
    <mergeCell ref="C64:D64"/>
    <mergeCell ref="C67:D67"/>
    <mergeCell ref="B69:D69"/>
    <mergeCell ref="B48:D48"/>
    <mergeCell ref="C49:D49"/>
    <mergeCell ref="C51:D51"/>
    <mergeCell ref="C53:D53"/>
    <mergeCell ref="C60:D60"/>
    <mergeCell ref="C46:D46"/>
    <mergeCell ref="C44:D44"/>
    <mergeCell ref="C65:D65"/>
    <mergeCell ref="C66:D66"/>
    <mergeCell ref="C45:D45"/>
    <mergeCell ref="B11:D11"/>
    <mergeCell ref="C12:D12"/>
    <mergeCell ref="B24:D24"/>
    <mergeCell ref="C25:D25"/>
    <mergeCell ref="B28:D28"/>
    <mergeCell ref="C29:D29"/>
    <mergeCell ref="B32:D32"/>
    <mergeCell ref="C33:D33"/>
    <mergeCell ref="B36:D36"/>
    <mergeCell ref="C37:D37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70C0"/>
  </sheetPr>
  <dimension ref="A2:D26"/>
  <sheetViews>
    <sheetView zoomScale="85" zoomScaleNormal="85" workbookViewId="0">
      <selection activeCell="H25" sqref="H25"/>
    </sheetView>
  </sheetViews>
  <sheetFormatPr defaultRowHeight="20.25" customHeight="1"/>
  <cols>
    <col min="1" max="1" width="15.75" customWidth="1"/>
    <col min="2" max="2" width="18.375" customWidth="1"/>
    <col min="3" max="3" width="36" customWidth="1"/>
    <col min="4" max="4" width="90.5" customWidth="1"/>
  </cols>
  <sheetData>
    <row r="2" spans="1:4" ht="20.25" customHeight="1">
      <c r="B2" s="1" t="s">
        <v>0</v>
      </c>
      <c r="C2" s="2" t="s">
        <v>566</v>
      </c>
      <c r="D2" s="3" t="s">
        <v>1</v>
      </c>
    </row>
    <row r="3" spans="1:4" ht="20.25" customHeight="1">
      <c r="B3" s="4" t="s">
        <v>2</v>
      </c>
      <c r="C3" s="2" t="s">
        <v>565</v>
      </c>
      <c r="D3" s="3" t="str">
        <f ca="1">IF(UNKB0210_H_SHIIRE_DATE="",
"SELECT CASE
       WHEN M_CONTROL.TAX_1_DATE &gt; M_CONTROL.TAX_2_DATE THEN
            CASE
            WHEN M_CONTROL.TAX_1_DATE &gt; CONVERT(VARCHAR(10), GETDATE(),111) THEN"&amp;"
                 M_CONTROL.TAX_2
            ELSE
                 M_CONTROL.TAX_1
            END"&amp;"
       ELSE
            CASE
            WHEN M_CONTROL.TAX_2_DATE &gt; CONVERT(VARCHAR(10), GETDATE(),111) THEN"&amp;"
                 M_CONTROL.TAX_1
            ELSE
                 M_CONTROL.TAX_2
            END
       END
  FROM M_CONTROL
 WHERE M_CONTROL.CTRL_KEY = 1",
"SELECT CASE
       WHEN M_CONTROL.TAX_1_DATE &gt; M_CONTROL.TAX_2_DATE THEN
            CASE
            WHEN M_CONTROL.TAX_1_DATE &gt; CONVERT(VARCHAR(10), '"&amp;TEXT(UNKB0210_H_SHIIRE_DATE,"YYYY/MM/DD")&amp;"',111) THEN
                 M_CONTROL.TAX_2
            ELSE
                 M_CONTROL.TAX_1
            END"&amp;"
       ELSE
            CASE
            WHEN M_CONTROL.TAX_2_DATE &gt; CONVERT(VARCHAR(10), '"&amp;TEXT(UNKB0210_H_SHIIRE_DATE,"YYYY/MM/DD")&amp;"',111) THEN
                 M_CONTROL.TAX_1
            ELSE
                 M_CONTROL.TAX_2
            END
       END
  FROM M_CONTROL
 WHERE M_CONTROL.CTRL_KEY = 1")</f>
        <v>SELECT CASE
       WHEN M_CONTROL.TAX_1_DATE &gt; M_CONTROL.TAX_2_DATE THEN
            CASE
            WHEN M_CONTROL.TAX_1_DATE &gt; CONVERT(VARCHAR(10), '2017/07/14',111) THEN
                 M_CONTROL.TAX_2
            ELSE
                 M_CONTROL.TAX_1
            END
       ELSE
            CASE
            WHEN M_CONTROL.TAX_2_DATE &gt; CONVERT(VARCHAR(10), '2017/07/14',111) THEN
                 M_CONTROL.TAX_1
            ELSE
                 M_CONTROL.TAX_2
            END
       END
  FROM M_CONTROL
 WHERE M_CONTROL.CTRL_KEY = 1</v>
      </c>
    </row>
    <row r="6" spans="1:4" ht="20.25" customHeight="1">
      <c r="A6" s="5" t="s">
        <v>3</v>
      </c>
      <c r="B6" s="6"/>
    </row>
    <row r="7" spans="1:4" ht="20.25" customHeight="1">
      <c r="A7" s="5"/>
      <c r="B7" s="6"/>
    </row>
    <row r="8" spans="1:4" ht="20.25" customHeight="1">
      <c r="A8" s="5"/>
      <c r="B8" s="1" t="s">
        <v>4</v>
      </c>
      <c r="C8" s="2" t="s">
        <v>567</v>
      </c>
      <c r="D8" s="3" t="s">
        <v>5</v>
      </c>
    </row>
    <row r="9" spans="1:4" ht="20.25" customHeight="1">
      <c r="B9" s="2" t="s">
        <v>6</v>
      </c>
      <c r="C9" s="2" t="s">
        <v>568</v>
      </c>
      <c r="D9" s="3" t="s">
        <v>7</v>
      </c>
    </row>
    <row r="10" spans="1:4" ht="20.25" customHeight="1">
      <c r="B10" t="s">
        <v>8</v>
      </c>
      <c r="C10" s="1" t="s">
        <v>9</v>
      </c>
      <c r="D10" s="7" t="s">
        <v>10</v>
      </c>
    </row>
    <row r="11" spans="1:4" ht="20.25" customHeight="1">
      <c r="B11" t="s">
        <v>11</v>
      </c>
      <c r="C11" s="1" t="s">
        <v>569</v>
      </c>
      <c r="D11" s="7" t="s">
        <v>972</v>
      </c>
    </row>
    <row r="12" spans="1:4" ht="20.25" customHeight="1">
      <c r="B12" t="s">
        <v>12</v>
      </c>
      <c r="C12" s="1" t="s">
        <v>570</v>
      </c>
      <c r="D12" s="7" t="s">
        <v>973</v>
      </c>
    </row>
    <row r="13" spans="1:4" ht="20.25" customHeight="1">
      <c r="B13" t="s">
        <v>13</v>
      </c>
      <c r="C13" s="1" t="s">
        <v>14</v>
      </c>
      <c r="D13" s="7" t="s">
        <v>974</v>
      </c>
    </row>
    <row r="15" spans="1:4" ht="20.25" customHeight="1">
      <c r="B15" s="1" t="s">
        <v>15</v>
      </c>
      <c r="C15" s="2" t="s">
        <v>16</v>
      </c>
      <c r="D15" s="3" t="s">
        <v>1190</v>
      </c>
    </row>
    <row r="16" spans="1:4" ht="20.25" customHeight="1">
      <c r="A16" s="4"/>
      <c r="B16" s="1" t="s">
        <v>17</v>
      </c>
      <c r="C16" s="2" t="s">
        <v>18</v>
      </c>
      <c r="D16" s="7" t="s">
        <v>975</v>
      </c>
    </row>
    <row r="17" spans="2:4" ht="20.25" customHeight="1">
      <c r="B17" t="s">
        <v>19</v>
      </c>
      <c r="C17" s="2" t="s">
        <v>20</v>
      </c>
      <c r="D17" s="7" t="s">
        <v>21</v>
      </c>
    </row>
    <row r="18" spans="2:4" ht="20.25" customHeight="1">
      <c r="B18" s="1" t="s">
        <v>571</v>
      </c>
      <c r="C18" s="2" t="s">
        <v>574</v>
      </c>
      <c r="D18" s="7" t="s">
        <v>976</v>
      </c>
    </row>
    <row r="19" spans="2:4" ht="20.25" customHeight="1">
      <c r="B19" s="1" t="s">
        <v>22</v>
      </c>
      <c r="C19" s="2" t="s">
        <v>23</v>
      </c>
      <c r="D19" s="7" t="s">
        <v>977</v>
      </c>
    </row>
    <row r="21" spans="2:4" ht="20.25" customHeight="1">
      <c r="B21" s="2" t="s">
        <v>24</v>
      </c>
      <c r="C21" s="2" t="s">
        <v>25</v>
      </c>
      <c r="D21" s="3" t="s">
        <v>26</v>
      </c>
    </row>
    <row r="23" spans="2:4" ht="20.25" customHeight="1">
      <c r="B23" t="s">
        <v>957</v>
      </c>
      <c r="C23" s="2" t="s">
        <v>958</v>
      </c>
      <c r="D23" s="3" t="s">
        <v>956</v>
      </c>
    </row>
    <row r="26" spans="2:4" ht="20.25" customHeight="1">
      <c r="B26" t="s">
        <v>27</v>
      </c>
      <c r="C26" s="2" t="s">
        <v>28</v>
      </c>
      <c r="D26" s="7" t="s">
        <v>978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tectLock">
                <anchor moveWithCells="1">
                  <from>
                    <xdr:col>5</xdr:col>
                    <xdr:colOff>95250</xdr:colOff>
                    <xdr:row>1</xdr:row>
                    <xdr:rowOff>19050</xdr:rowOff>
                  </from>
                  <to>
                    <xdr:col>6</xdr:col>
                    <xdr:colOff>228600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Unlock">
                <anchor moveWithCells="1">
                  <from>
                    <xdr:col>6</xdr:col>
                    <xdr:colOff>295275</xdr:colOff>
                    <xdr:row>1</xdr:row>
                    <xdr:rowOff>19050</xdr:rowOff>
                  </from>
                  <to>
                    <xdr:col>7</xdr:col>
                    <xdr:colOff>447675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70C0"/>
  </sheetPr>
  <dimension ref="B2:F7"/>
  <sheetViews>
    <sheetView topLeftCell="D1" zoomScale="115" zoomScaleNormal="115" workbookViewId="0">
      <selection activeCell="D2" sqref="D2"/>
    </sheetView>
  </sheetViews>
  <sheetFormatPr defaultRowHeight="13.5"/>
  <cols>
    <col min="1" max="1" width="9" style="8"/>
    <col min="2" max="2" width="30.125" style="8" bestFit="1" customWidth="1"/>
    <col min="3" max="3" width="31.5" style="8" bestFit="1" customWidth="1"/>
    <col min="4" max="6" width="15.75" style="8" customWidth="1"/>
    <col min="7" max="16384" width="9" style="8"/>
  </cols>
  <sheetData>
    <row r="2" spans="2:6">
      <c r="B2" s="8" t="s">
        <v>29</v>
      </c>
      <c r="C2" s="8" t="s">
        <v>607</v>
      </c>
      <c r="D2" s="9">
        <f ca="1">IF(ISERROR(VLOOKUP(LEFT(UNKB_COMMON_ACTIVE_SHEET_NAME,8),UNKB_COMMON_CHANGE_CHECK_AREA,3,FALSE))=FALSE,
IF(VLOOKUP(LEFT(UNKB_COMMON_ACTIVE_SHEET_NAME,8),UNKB_COMMON_CHANGE_CHECK_AREA,3,FALSE)&lt;&gt;0,1,2),2)</f>
        <v>2</v>
      </c>
      <c r="E2" s="8" t="s">
        <v>30</v>
      </c>
      <c r="F2" s="8" t="s">
        <v>31</v>
      </c>
    </row>
    <row r="3" spans="2:6">
      <c r="E3" s="8" t="s">
        <v>32</v>
      </c>
    </row>
    <row r="4" spans="2:6">
      <c r="B4" s="8" t="s">
        <v>33</v>
      </c>
      <c r="C4" s="8" t="s">
        <v>608</v>
      </c>
      <c r="D4" s="9" t="s">
        <v>334</v>
      </c>
    </row>
    <row r="6" spans="2:6">
      <c r="D6" s="5" t="s">
        <v>34</v>
      </c>
      <c r="E6" s="5" t="s">
        <v>35</v>
      </c>
      <c r="F6" s="5" t="s">
        <v>36</v>
      </c>
    </row>
    <row r="7" spans="2:6">
      <c r="B7" t="s">
        <v>37</v>
      </c>
      <c r="C7" s="8" t="s">
        <v>609</v>
      </c>
      <c r="D7" s="10" t="s">
        <v>335</v>
      </c>
      <c r="E7" s="11" t="s">
        <v>336</v>
      </c>
      <c r="F7" s="12">
        <f ca="1">INDIRECT(E7)</f>
        <v>0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workbookViewId="0">
      <selection activeCell="G16" sqref="G16"/>
    </sheetView>
  </sheetViews>
  <sheetFormatPr defaultRowHeight="13.5"/>
  <cols>
    <col min="1" max="2" width="9" style="210"/>
    <col min="3" max="3" width="26.875" style="210" customWidth="1"/>
    <col min="4" max="16384" width="9" style="210"/>
  </cols>
  <sheetData>
    <row r="1" spans="1:3">
      <c r="A1" s="5" t="s">
        <v>1217</v>
      </c>
    </row>
    <row r="3" spans="1:3">
      <c r="B3" s="44" t="s">
        <v>151</v>
      </c>
      <c r="C3" s="44" t="s">
        <v>79</v>
      </c>
    </row>
    <row r="4" spans="1:3">
      <c r="B4" s="44" t="s">
        <v>156</v>
      </c>
      <c r="C4" s="47">
        <v>5</v>
      </c>
    </row>
    <row r="5" spans="1:3">
      <c r="B5" s="44" t="s">
        <v>1205</v>
      </c>
      <c r="C5" s="44" t="s">
        <v>1206</v>
      </c>
    </row>
    <row r="6" spans="1:3">
      <c r="B6" s="44" t="s">
        <v>1207</v>
      </c>
      <c r="C6" s="44" t="s">
        <v>556</v>
      </c>
    </row>
    <row r="7" spans="1:3">
      <c r="B7" s="241">
        <v>1</v>
      </c>
      <c r="C7" s="63" t="s">
        <v>1208</v>
      </c>
    </row>
    <row r="8" spans="1:3">
      <c r="B8" s="63" t="s">
        <v>1209</v>
      </c>
      <c r="C8" s="63" t="s">
        <v>1210</v>
      </c>
    </row>
    <row r="9" spans="1:3">
      <c r="B9" s="63" t="s">
        <v>1211</v>
      </c>
      <c r="C9" s="63" t="s">
        <v>1212</v>
      </c>
    </row>
    <row r="10" spans="1:3">
      <c r="B10" s="63" t="s">
        <v>1213</v>
      </c>
      <c r="C10" s="63" t="s">
        <v>1214</v>
      </c>
    </row>
    <row r="11" spans="1:3">
      <c r="B11" s="63" t="s">
        <v>1215</v>
      </c>
      <c r="C11" s="63" t="s">
        <v>1216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workbookViewId="0">
      <selection activeCell="B7" sqref="B7"/>
    </sheetView>
  </sheetViews>
  <sheetFormatPr defaultRowHeight="13.5"/>
  <cols>
    <col min="1" max="2" width="9" style="210"/>
    <col min="3" max="3" width="26.875" style="210" customWidth="1"/>
    <col min="4" max="16384" width="9" style="210"/>
  </cols>
  <sheetData>
    <row r="1" spans="1:3">
      <c r="A1" s="5" t="s">
        <v>1217</v>
      </c>
    </row>
    <row r="3" spans="1:3">
      <c r="B3" s="44" t="s">
        <v>151</v>
      </c>
      <c r="C3" s="44" t="s">
        <v>80</v>
      </c>
    </row>
    <row r="4" spans="1:3">
      <c r="B4" s="44" t="s">
        <v>156</v>
      </c>
      <c r="C4" s="47">
        <v>5</v>
      </c>
    </row>
    <row r="5" spans="1:3">
      <c r="B5" s="44" t="s">
        <v>1197</v>
      </c>
      <c r="C5" s="44" t="s">
        <v>1198</v>
      </c>
    </row>
    <row r="6" spans="1:3">
      <c r="B6" s="44" t="s">
        <v>1199</v>
      </c>
      <c r="C6" s="44"/>
    </row>
    <row r="7" spans="1:3">
      <c r="B7" s="241" t="s">
        <v>1200</v>
      </c>
      <c r="C7" s="63"/>
    </row>
    <row r="8" spans="1:3">
      <c r="B8" s="63" t="s">
        <v>1201</v>
      </c>
    </row>
    <row r="9" spans="1:3">
      <c r="B9" s="63" t="s">
        <v>1202</v>
      </c>
      <c r="C9" s="63"/>
    </row>
    <row r="10" spans="1:3">
      <c r="B10" s="63" t="s">
        <v>1203</v>
      </c>
      <c r="C10" s="63"/>
    </row>
    <row r="11" spans="1:3">
      <c r="B11" s="63" t="s">
        <v>1204</v>
      </c>
      <c r="C11" s="63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2"/>
  <sheetViews>
    <sheetView workbookViewId="0">
      <selection activeCell="F27" sqref="F27"/>
    </sheetView>
  </sheetViews>
  <sheetFormatPr defaultRowHeight="13.5"/>
  <cols>
    <col min="1" max="1" width="3.375" customWidth="1"/>
    <col min="2" max="11" width="11.75" customWidth="1"/>
    <col min="12" max="12" width="3.625" customWidth="1"/>
  </cols>
  <sheetData>
    <row r="1" spans="1:12" ht="19.5">
      <c r="A1" s="13" t="s">
        <v>611</v>
      </c>
      <c r="B1" s="13"/>
      <c r="C1" s="13" t="s">
        <v>612</v>
      </c>
      <c r="D1" s="13"/>
      <c r="E1" s="13" t="s">
        <v>613</v>
      </c>
      <c r="F1" s="13"/>
      <c r="G1" s="13"/>
      <c r="H1" s="13"/>
      <c r="I1" s="13"/>
      <c r="J1" s="13"/>
      <c r="K1" s="13"/>
      <c r="L1" s="13"/>
    </row>
    <row r="2" spans="1:12" ht="16.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ht="16.5">
      <c r="A3" s="14"/>
      <c r="B3" s="24" t="s">
        <v>614</v>
      </c>
      <c r="C3" s="128">
        <v>42545</v>
      </c>
      <c r="D3" s="14"/>
      <c r="E3" s="24" t="s">
        <v>615</v>
      </c>
      <c r="F3" s="64"/>
      <c r="G3" s="15"/>
      <c r="H3" s="24" t="s">
        <v>616</v>
      </c>
      <c r="I3" s="128"/>
      <c r="J3" s="14"/>
      <c r="K3" s="14"/>
      <c r="L3" s="14"/>
    </row>
    <row r="4" spans="1:12" ht="16.5">
      <c r="A4" s="14"/>
      <c r="B4" s="15" t="s">
        <v>617</v>
      </c>
      <c r="C4" s="23"/>
      <c r="D4" s="14"/>
      <c r="E4" s="24" t="s">
        <v>618</v>
      </c>
      <c r="F4" s="49"/>
      <c r="G4" s="14"/>
      <c r="H4" s="24" t="s">
        <v>619</v>
      </c>
      <c r="I4" s="49"/>
      <c r="J4" s="14"/>
      <c r="K4" s="14"/>
      <c r="L4" s="14"/>
    </row>
    <row r="5" spans="1:12" ht="16.5">
      <c r="A5" s="14"/>
      <c r="B5" s="15" t="s">
        <v>620</v>
      </c>
      <c r="C5" s="61"/>
      <c r="D5" s="14"/>
      <c r="E5" s="14"/>
      <c r="F5" s="14"/>
      <c r="G5" s="14"/>
      <c r="H5" s="14"/>
      <c r="I5" s="14"/>
      <c r="J5" s="14"/>
      <c r="K5" s="14"/>
      <c r="L5" s="14"/>
    </row>
    <row r="6" spans="1:12" ht="16.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ht="16.5">
      <c r="A7" s="14"/>
      <c r="B7" s="24" t="s">
        <v>621</v>
      </c>
      <c r="C7" s="129"/>
      <c r="D7" s="250" t="s">
        <v>613</v>
      </c>
      <c r="E7" s="251"/>
      <c r="F7" s="252"/>
      <c r="G7" s="14"/>
      <c r="H7" s="14"/>
      <c r="I7" s="14"/>
      <c r="J7" s="14"/>
      <c r="K7" s="14"/>
      <c r="L7" s="14"/>
    </row>
    <row r="8" spans="1:12" ht="16.5">
      <c r="A8" s="14"/>
      <c r="B8" s="15" t="s">
        <v>622</v>
      </c>
      <c r="C8" s="280"/>
      <c r="D8" s="281"/>
      <c r="E8" s="281"/>
      <c r="F8" s="282"/>
      <c r="G8" s="14"/>
      <c r="H8" s="14"/>
      <c r="I8" s="14"/>
      <c r="J8" s="14"/>
      <c r="K8" s="14"/>
      <c r="L8" s="14"/>
    </row>
    <row r="9" spans="1:12" ht="16.5">
      <c r="A9" s="14"/>
      <c r="B9" s="14"/>
      <c r="C9" s="283"/>
      <c r="D9" s="284"/>
      <c r="E9" s="284"/>
      <c r="F9" s="285"/>
      <c r="G9" s="14"/>
      <c r="H9" s="14"/>
      <c r="I9" s="14"/>
      <c r="J9" s="14"/>
      <c r="K9" s="14"/>
      <c r="L9" s="14"/>
    </row>
    <row r="10" spans="1:12" ht="16.5">
      <c r="A10" s="14"/>
      <c r="B10" s="14"/>
      <c r="C10" s="283"/>
      <c r="D10" s="284"/>
      <c r="E10" s="284"/>
      <c r="F10" s="285"/>
      <c r="G10" s="14"/>
      <c r="H10" s="27" t="s">
        <v>189</v>
      </c>
      <c r="I10" s="27" t="s">
        <v>190</v>
      </c>
      <c r="J10" s="27" t="s">
        <v>191</v>
      </c>
      <c r="K10" s="27" t="s">
        <v>192</v>
      </c>
      <c r="L10" s="14"/>
    </row>
    <row r="11" spans="1:12" ht="16.5">
      <c r="A11" s="14"/>
      <c r="B11" s="14"/>
      <c r="C11" s="286"/>
      <c r="D11" s="287"/>
      <c r="E11" s="287"/>
      <c r="F11" s="288"/>
      <c r="G11" s="14"/>
      <c r="H11" s="28">
        <v>0</v>
      </c>
      <c r="I11" s="67">
        <v>0</v>
      </c>
      <c r="J11" s="67">
        <v>0</v>
      </c>
      <c r="K11" s="67">
        <v>0</v>
      </c>
      <c r="L11" s="14"/>
    </row>
    <row r="12" spans="1:12" ht="16.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</sheetData>
  <mergeCells count="2">
    <mergeCell ref="D7:F7"/>
    <mergeCell ref="C8:F11"/>
  </mergeCells>
  <phoneticPr fontId="1"/>
  <dataValidations count="1">
    <dataValidation type="list" allowBlank="1" showInputMessage="1" showErrorMessage="1" sqref="F3">
      <formula1>UNKB0210_IF_LIST_KOBAI_KBN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"/>
  <sheetViews>
    <sheetView workbookViewId="0">
      <selection activeCell="F19" sqref="F19"/>
    </sheetView>
  </sheetViews>
  <sheetFormatPr defaultRowHeight="13.5"/>
  <cols>
    <col min="1" max="1" width="3.375" customWidth="1"/>
    <col min="2" max="2" width="11.875" customWidth="1"/>
    <col min="3" max="3" width="32.5" customWidth="1"/>
    <col min="4" max="4" width="11.125" customWidth="1"/>
    <col min="5" max="7" width="6.5" customWidth="1"/>
    <col min="8" max="8" width="6.75" customWidth="1"/>
    <col min="9" max="9" width="8" customWidth="1"/>
    <col min="10" max="10" width="11.125" customWidth="1"/>
    <col min="11" max="11" width="11.75" customWidth="1"/>
    <col min="12" max="12" width="32.5" customWidth="1"/>
    <col min="13" max="13" width="11.875" customWidth="1"/>
    <col min="14" max="14" width="11.875" bestFit="1" customWidth="1"/>
    <col min="15" max="15" width="25" customWidth="1"/>
    <col min="16" max="16" width="12.5" customWidth="1"/>
  </cols>
  <sheetData>
    <row r="1" spans="1:16" ht="16.5">
      <c r="A1" s="30" t="s">
        <v>623</v>
      </c>
      <c r="B1" s="31" t="s">
        <v>497</v>
      </c>
      <c r="C1" s="106" t="s">
        <v>498</v>
      </c>
      <c r="D1" s="107" t="s">
        <v>441</v>
      </c>
      <c r="E1" s="30" t="s">
        <v>499</v>
      </c>
      <c r="F1" s="30" t="s">
        <v>195</v>
      </c>
      <c r="G1" s="31" t="s">
        <v>500</v>
      </c>
      <c r="H1" s="30" t="s">
        <v>196</v>
      </c>
      <c r="I1" s="30" t="s">
        <v>624</v>
      </c>
      <c r="J1" s="30" t="s">
        <v>502</v>
      </c>
      <c r="K1" s="30" t="s">
        <v>503</v>
      </c>
      <c r="L1" s="30" t="s">
        <v>625</v>
      </c>
      <c r="M1" s="30" t="s">
        <v>504</v>
      </c>
      <c r="N1" s="30" t="s">
        <v>505</v>
      </c>
      <c r="O1" s="30" t="s">
        <v>506</v>
      </c>
      <c r="P1" s="30" t="s">
        <v>626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542</vt:i4>
      </vt:variant>
    </vt:vector>
  </HeadingPairs>
  <TitlesOfParts>
    <vt:vector size="560" baseType="lpstr">
      <vt:lpstr>UNKB0190_H</vt:lpstr>
      <vt:lpstr>UNKB0190_B</vt:lpstr>
      <vt:lpstr>UNKB0190_IF</vt:lpstr>
      <vt:lpstr>UNKB0190_SQL</vt:lpstr>
      <vt:lpstr>UNKB0200_H</vt:lpstr>
      <vt:lpstr>UNKB0200_B</vt:lpstr>
      <vt:lpstr>UNKB0200_IF</vt:lpstr>
      <vt:lpstr>UNKB0200_SQL</vt:lpstr>
      <vt:lpstr>UNKB0210_H</vt:lpstr>
      <vt:lpstr>UNKB0210_B</vt:lpstr>
      <vt:lpstr>UNKB0210_IF</vt:lpstr>
      <vt:lpstr>UNKB0210_SQL</vt:lpstr>
      <vt:lpstr>UNKB_COMMON_SQL</vt:lpstr>
      <vt:lpstr>UNKB_COMMON</vt:lpstr>
      <vt:lpstr>UNKB_YOSAN_CD_IF</vt:lpstr>
      <vt:lpstr>UNKB_JURI_NO_IF</vt:lpstr>
      <vt:lpstr>Excel_Save_H</vt:lpstr>
      <vt:lpstr>Excel_Save_B</vt:lpstr>
      <vt:lpstr>UNKB0190_H!Print_Area</vt:lpstr>
      <vt:lpstr>UNKB0200_H!Print_Area</vt:lpstr>
      <vt:lpstr>UNKB0210_H!Print_Area</vt:lpstr>
      <vt:lpstr>UNKB_COMMON_ACTIVE_SHEET_NAME</vt:lpstr>
      <vt:lpstr>UNKB_COMMON_CHANGE_CHECK</vt:lpstr>
      <vt:lpstr>UNKB_COMMON_CHANGE_CHECK_AREA</vt:lpstr>
      <vt:lpstr>UNKB_COMMON_SQL_BUSHO_SEARCH</vt:lpstr>
      <vt:lpstr>UNKB_COMMON_SQL_IRAI_NO_SEARCH</vt:lpstr>
      <vt:lpstr>UNKB_COMMON_SQL_JURI_NO_SEARCH</vt:lpstr>
      <vt:lpstr>UNKB_COMMON_SQL_KOBAI_KBN_SEARCH</vt:lpstr>
      <vt:lpstr>UNKB_COMMON_SQL_KOBAI_NO_SEARCH</vt:lpstr>
      <vt:lpstr>UNKB_COMMON_SQL_KOBAIHIN_SEARCH</vt:lpstr>
      <vt:lpstr>UNKB_COMMON_SQL_MAKER_SEARCH</vt:lpstr>
      <vt:lpstr>UNKB_COMMON_SQL_NYUSHUKKO_NO_SEARCH</vt:lpstr>
      <vt:lpstr>UNKB_COMMON_SQL_SELECT_CTRL_HYOJI_GYO_SU</vt:lpstr>
      <vt:lpstr>UNKB_COMMON_SQL_SELECT_TAX_RATE</vt:lpstr>
      <vt:lpstr>UNKB_COMMON_SQL_SHAIN_SEARCH</vt:lpstr>
      <vt:lpstr>UNKB_COMMON_SQL_SHIIRE_NO_SEARCH</vt:lpstr>
      <vt:lpstr>UNKB_COMMON_SQL_SHIIRE_STS_SEARCH</vt:lpstr>
      <vt:lpstr>UNKB_COMMON_SQL_SHIIRESAKI_SEARCH</vt:lpstr>
      <vt:lpstr>UNKB_COMMON_SQL_YOSAN_SEARCH</vt:lpstr>
      <vt:lpstr>UNKB_JURI_NO_IF_KENSU</vt:lpstr>
      <vt:lpstr>UNKB_JURI_NO_IF_START</vt:lpstr>
      <vt:lpstr>UNKB_YOSAN_CD_IF_KENSU</vt:lpstr>
      <vt:lpstr>UNKB_YOSAN_CD_IF_START</vt:lpstr>
      <vt:lpstr>UNKB0190_B_ALL_KENSU</vt:lpstr>
      <vt:lpstr>UNKB0190_B_ALL_PAGE_SU</vt:lpstr>
      <vt:lpstr>UNKB0190_B_BACK_PAGE</vt:lpstr>
      <vt:lpstr>UNKB0190_B_BACK_PAGE_NO</vt:lpstr>
      <vt:lpstr>UNKB0190_B_BARA_TANI</vt:lpstr>
      <vt:lpstr>UNKB0190_B_BIKO</vt:lpstr>
      <vt:lpstr>UNKB0190_B_CHUMON_NO</vt:lpstr>
      <vt:lpstr>UNKB0190_B_CHUMON_SOSU</vt:lpstr>
      <vt:lpstr>UNKB0190_B_FREEWD</vt:lpstr>
      <vt:lpstr>UNKB0190_B_GOKEI_KINGAKU</vt:lpstr>
      <vt:lpstr>UNKB0190_B_HIDE_COLUMN</vt:lpstr>
      <vt:lpstr>UNKB0190_B_HIDE_ROW</vt:lpstr>
      <vt:lpstr>UNKB0190_B_HOKAN_BASHO</vt:lpstr>
      <vt:lpstr>UNKB0190_B_HYOJI_KENSU</vt:lpstr>
      <vt:lpstr>UNKB0190_B_HYOUJI_GYO_SU</vt:lpstr>
      <vt:lpstr>UNKB0190_B_IRAI_NO</vt:lpstr>
      <vt:lpstr>UNKB0190_B_IRISU</vt:lpstr>
      <vt:lpstr>UNKB0190_B_IRISU_TANI</vt:lpstr>
      <vt:lpstr>UNKB0190_B_JURI_NO</vt:lpstr>
      <vt:lpstr>UNKB0190_B_KENSHU_DATE</vt:lpstr>
      <vt:lpstr>UNKB0190_B_KOBAI_KBN</vt:lpstr>
      <vt:lpstr>UNKB0190_B_KOBAI_KBN_MEI</vt:lpstr>
      <vt:lpstr>UNKB0190_B_KOBAI_STS</vt:lpstr>
      <vt:lpstr>UNKB0190_B_KOBAI_STS_MEI</vt:lpstr>
      <vt:lpstr>UNKB0190_B_KOBAIHIN_CD</vt:lpstr>
      <vt:lpstr>UNKB0190_B_KOBAIHIN_MEI</vt:lpstr>
      <vt:lpstr>UNKB0190_B_KOBAISHINSEI_NO</vt:lpstr>
      <vt:lpstr>UNKB0190_B_LIST_CLEAR</vt:lpstr>
      <vt:lpstr>UNKB0190_B_LIST_COPY_FLG</vt:lpstr>
      <vt:lpstr>UNKB0190_B_LIST_COPY_SAKI</vt:lpstr>
      <vt:lpstr>UNKB0190_B_LIST_END</vt:lpstr>
      <vt:lpstr>UNKB0190_B_LIST_START</vt:lpstr>
      <vt:lpstr>UNKB0190_B_MAKER_CD</vt:lpstr>
      <vt:lpstr>UNKB0190_B_MAKER_MEI</vt:lpstr>
      <vt:lpstr>UNKB0190_B_NEXT_PAGE</vt:lpstr>
      <vt:lpstr>UNKB0190_B_NEXT_PAGE_NO</vt:lpstr>
      <vt:lpstr>UNKB0190_B_PAGE_NO</vt:lpstr>
      <vt:lpstr>UNKB0190_B_ROW</vt:lpstr>
      <vt:lpstr>UNKB0190_B_SAVE_START</vt:lpstr>
      <vt:lpstr>UNKB0190_B_SCROLL_LOCK</vt:lpstr>
      <vt:lpstr>UNKB0190_B_SELECT_FLG</vt:lpstr>
      <vt:lpstr>UNKB0190_B_SELECT_FLG_COPY_SAKI</vt:lpstr>
      <vt:lpstr>UNKB0190_B_SEQ</vt:lpstr>
      <vt:lpstr>UNKB0190_B_SHIIRE_KEIJO</vt:lpstr>
      <vt:lpstr>UNKB0190_B_SHIIRESAKI_CD</vt:lpstr>
      <vt:lpstr>UNKB0190_B_SHIIRESAKI_MEI</vt:lpstr>
      <vt:lpstr>UNKB0190_B_SHINSEI_DATE</vt:lpstr>
      <vt:lpstr>UNKB0190_B_SHINSEISHA_CD</vt:lpstr>
      <vt:lpstr>UNKB0190_B_SHINSEISHA_MEI</vt:lpstr>
      <vt:lpstr>UNKB0190_B_SHIRE_MIKEIJO_FLG</vt:lpstr>
      <vt:lpstr>UNKB0190_B_SURYO</vt:lpstr>
      <vt:lpstr>UNKB0190_B_TANKA</vt:lpstr>
      <vt:lpstr>UNKB0190_B_UKEIRE_DATE</vt:lpstr>
      <vt:lpstr>UNKB0190_B_YOSAN_CD</vt:lpstr>
      <vt:lpstr>UNKB0190_H_CHUMONSHO_STS</vt:lpstr>
      <vt:lpstr>UNKB0190_H_CHUMONSHO_STS_S</vt:lpstr>
      <vt:lpstr>UNKB0190_H_COPY_CELL_SAKI</vt:lpstr>
      <vt:lpstr>UNKB0190_H_FREEWD_1</vt:lpstr>
      <vt:lpstr>UNKB0190_H_FREEWD_1_S</vt:lpstr>
      <vt:lpstr>UNKB0190_H_FREEWD_2</vt:lpstr>
      <vt:lpstr>UNKB0190_H_FREEWD_2_S</vt:lpstr>
      <vt:lpstr>UNKB0190_H_FREEWD_3</vt:lpstr>
      <vt:lpstr>UNKB0190_H_FREEWD_3_S</vt:lpstr>
      <vt:lpstr>UNKB0190_H_FREEWD_KBN</vt:lpstr>
      <vt:lpstr>UNKB0190_H_FREEWD_KBN_DISP</vt:lpstr>
      <vt:lpstr>UNKB0190_H_FREEWD_KBN_S</vt:lpstr>
      <vt:lpstr>UNKB0190_H_GAICHU_KBN</vt:lpstr>
      <vt:lpstr>UNKB0190_H_GAICHU_KBN_S</vt:lpstr>
      <vt:lpstr>UNKB0190_H_HANBAI_KBN</vt:lpstr>
      <vt:lpstr>UNKB0190_H_HANBAI_KBN_S</vt:lpstr>
      <vt:lpstr>UNKB0190_H_HIDE_COLUMN</vt:lpstr>
      <vt:lpstr>UNKB0190_H_HIDE_ROW</vt:lpstr>
      <vt:lpstr>UNKB0190_H_ICHIBU_STS</vt:lpstr>
      <vt:lpstr>UNKB0190_H_ICHIBU_STS_S</vt:lpstr>
      <vt:lpstr>UNKB0190_H_INIT_HEADER_FLG_COPY_SAKI</vt:lpstr>
      <vt:lpstr>UNKB0190_H_JURI_NO</vt:lpstr>
      <vt:lpstr>UNKB0190_H_JURI_NO_S</vt:lpstr>
      <vt:lpstr>UNKB0190_H_KENSHU_DATE_END</vt:lpstr>
      <vt:lpstr>UNKB0190_H_KENSHU_DATE_END_S</vt:lpstr>
      <vt:lpstr>UNKB0190_H_KENSHU_DATE_START</vt:lpstr>
      <vt:lpstr>UNKB0190_H_KENSHU_DATE_START_S</vt:lpstr>
      <vt:lpstr>UNKB0190_H_KENSHU_STS</vt:lpstr>
      <vt:lpstr>UNKB0190_H_KENSHU_STS_S</vt:lpstr>
      <vt:lpstr>UNKB0190_H_KOBAIHIN_CD</vt:lpstr>
      <vt:lpstr>UNKB0190_H_KOBAIHIN_CD_S</vt:lpstr>
      <vt:lpstr>UNKB0190_H_KOBAIHIN_KBN</vt:lpstr>
      <vt:lpstr>UNKB0190_H_KOBAIHIN_KBN_S</vt:lpstr>
      <vt:lpstr>UNKB0190_H_KOBAIHIN_MEI</vt:lpstr>
      <vt:lpstr>UNKB0190_H_KOBAIHIN_MEI_S</vt:lpstr>
      <vt:lpstr>UNKB0190_H_MAKER_CD</vt:lpstr>
      <vt:lpstr>UNKB0190_H_MAKER_CD_S</vt:lpstr>
      <vt:lpstr>UNKB0190_H_MAKER_MEI</vt:lpstr>
      <vt:lpstr>UNKB0190_H_MAKER_MEI_S</vt:lpstr>
      <vt:lpstr>UNKB0190_H_NYUKA_STS</vt:lpstr>
      <vt:lpstr>UNKB0190_H_NYUKA_STS_S</vt:lpstr>
      <vt:lpstr>UNKB0190_H_SHIIRESAKI_CD</vt:lpstr>
      <vt:lpstr>UNKB0190_H_SHIIRESAKI_CD_S</vt:lpstr>
      <vt:lpstr>UNKB0190_H_SHIIRESAKI_MEI</vt:lpstr>
      <vt:lpstr>UNKB0190_H_SHIIRESAKI_MEI_S</vt:lpstr>
      <vt:lpstr>UNKB0190_H_SHINSEI_DATE_END</vt:lpstr>
      <vt:lpstr>UNKB0190_H_SHINSEI_DATE_END_S</vt:lpstr>
      <vt:lpstr>UNKB0190_H_SHINSEI_DATE_START</vt:lpstr>
      <vt:lpstr>UNKB0190_H_SHINSEI_DATE_START_S</vt:lpstr>
      <vt:lpstr>UNKB0190_H_SHINSEISHA_CD</vt:lpstr>
      <vt:lpstr>UNKB0190_H_SHINSEISHA_CD_S</vt:lpstr>
      <vt:lpstr>UNKB0190_H_SHINSEISHA_MEI</vt:lpstr>
      <vt:lpstr>UNKB0190_H_SHINSEISHA_MEI_S</vt:lpstr>
      <vt:lpstr>UNKB0190_H_SHIRE_MIKEIJO_FLG</vt:lpstr>
      <vt:lpstr>UNKB0190_H_SHIRE_MIKEIJO_FLG_S</vt:lpstr>
      <vt:lpstr>UNKB0190_H_SHUZEN_KBN</vt:lpstr>
      <vt:lpstr>UNKB0190_H_SHUZEN_KBN_S</vt:lpstr>
      <vt:lpstr>UNKB0190_H_TOSHI_KBN</vt:lpstr>
      <vt:lpstr>UNKB0190_H_TOSHI_KBN_S</vt:lpstr>
      <vt:lpstr>UNKB0190_H_UKEIRE_DATE_END</vt:lpstr>
      <vt:lpstr>UNKB0190_H_UKEIRE_DATE_END_S</vt:lpstr>
      <vt:lpstr>UNKB0190_H_UKEIRE_DATE_START</vt:lpstr>
      <vt:lpstr>UNKB0190_H_UKEIRE_DATE_START_S</vt:lpstr>
      <vt:lpstr>UNKB0190_H_YOSAN_CD</vt:lpstr>
      <vt:lpstr>UNKB0190_H_YOSAN_CD_S</vt:lpstr>
      <vt:lpstr>UNKB0190_H_YOSAN_MEI</vt:lpstr>
      <vt:lpstr>UNKB0190_H_YOSAN_MEI_S</vt:lpstr>
      <vt:lpstr>UNKB0190_IF_ACTIVE_CELL_NAME</vt:lpstr>
      <vt:lpstr>UNKB0190_IF_ACTIVE_COLUMN</vt:lpstr>
      <vt:lpstr>UNKB0190_IF_ACTIVE_ROW</vt:lpstr>
      <vt:lpstr>UNKB0190_IF_ACTIVE_SHEET</vt:lpstr>
      <vt:lpstr>UNKB0190_IF_B_FLG_COPY_MOTO</vt:lpstr>
      <vt:lpstr>UNKB0190_IF_DATA_SEARCH_FLG</vt:lpstr>
      <vt:lpstr>UNKB0190_IF_EXCEL_FILE_NAME</vt:lpstr>
      <vt:lpstr>UNKB0190_IF_INIT_HEADER_COPY_MOTO</vt:lpstr>
      <vt:lpstr>UNKB0190_IF_INIT_HEADER_FLG_COPY_MOTO</vt:lpstr>
      <vt:lpstr>UNKB0190_IF_KOBAI_NO</vt:lpstr>
      <vt:lpstr>UNKB0190_IF_LIST_COPY_MOTO</vt:lpstr>
      <vt:lpstr>UNKB0190_IF_LIST_DEFAULT</vt:lpstr>
      <vt:lpstr>UNKB0190_IF_PRINT_COUNT</vt:lpstr>
      <vt:lpstr>UNKB0190_IF_PRINT_SHOSHIKI_COPY_FLAG</vt:lpstr>
      <vt:lpstr>UNKB0190_IF_PRINT_SHOSHIKI_COPY_MOTO</vt:lpstr>
      <vt:lpstr>UNKB0190_IF_PRINT_SHOSHIKI_COPY_SAKI</vt:lpstr>
      <vt:lpstr>UNKB0190_IF_PRINT_START</vt:lpstr>
      <vt:lpstr>UNKB0190_IF_SELECT_CNT</vt:lpstr>
      <vt:lpstr>UNKB0190_IF_W_SERIAL</vt:lpstr>
      <vt:lpstr>UNKB0190_IF_W_SERIAL_CREATE</vt:lpstr>
      <vt:lpstr>UNKB0190_IF_W_USER_ID</vt:lpstr>
      <vt:lpstr>UNKB0190_SQL_DEFAULT_SORT</vt:lpstr>
      <vt:lpstr>UNKB0190_SQL_EXCEL_LIST</vt:lpstr>
      <vt:lpstr>UNKB0190_SQL_SELECT_CNT</vt:lpstr>
      <vt:lpstr>UNKB0190_SQL_SHIIRE_LIST</vt:lpstr>
      <vt:lpstr>UNKB0190_SQL_SHIIRE_LIST_CNT</vt:lpstr>
      <vt:lpstr>UNKB0190_SQL_SORT</vt:lpstr>
      <vt:lpstr>UNKB0190_SQL_SORT_BY</vt:lpstr>
      <vt:lpstr>UNKB0190_SQL_W_SHIIRE_LIST</vt:lpstr>
      <vt:lpstr>UNKB0200_B_ALL_KENSU</vt:lpstr>
      <vt:lpstr>UNKB0200_B_ALL_PAGE_SU</vt:lpstr>
      <vt:lpstr>UNKB0200_B_BACK_PAGE</vt:lpstr>
      <vt:lpstr>UNKB0200_B_BACK_PAGE_NO</vt:lpstr>
      <vt:lpstr>UNKB0200_B_DEL_FLG</vt:lpstr>
      <vt:lpstr>UNKB0200_B_HIDE_COLUMN</vt:lpstr>
      <vt:lpstr>UNKB0200_B_HIDE_ROW</vt:lpstr>
      <vt:lpstr>UNKB0200_B_HYOJI_GYO_SU</vt:lpstr>
      <vt:lpstr>UNKB0200_B_HYOJI_KENSU</vt:lpstr>
      <vt:lpstr>UNKB0200_B_KOBAI_KBN</vt:lpstr>
      <vt:lpstr>UNKB0200_B_LINK_DATE_TIME</vt:lpstr>
      <vt:lpstr>UNKB0200_B_LIST_CLEAR</vt:lpstr>
      <vt:lpstr>UNKB0200_B_LIST_COPY_FLG</vt:lpstr>
      <vt:lpstr>UNKB0200_B_LIST_COPY_SAKI</vt:lpstr>
      <vt:lpstr>UNKB0200_B_LIST_END</vt:lpstr>
      <vt:lpstr>UNKB0200_B_LIST_START</vt:lpstr>
      <vt:lpstr>UNKB0200_B_NEXT_PAGE</vt:lpstr>
      <vt:lpstr>UNKB0200_B_NEXT_PAGE_NO</vt:lpstr>
      <vt:lpstr>UNKB0200_B_PAGE_NO</vt:lpstr>
      <vt:lpstr>UNKB0200_B_SCROLL_LOCK</vt:lpstr>
      <vt:lpstr>UNKB0200_B_SELECT_GYO_NO</vt:lpstr>
      <vt:lpstr>UNKB0200_B_SELECT_SHIIRE_NO</vt:lpstr>
      <vt:lpstr>UNKB0200_B_SENTAKU</vt:lpstr>
      <vt:lpstr>UNKB0200_B_SHIIRE_DATE</vt:lpstr>
      <vt:lpstr>UNKB0200_B_SHIIRE_NO</vt:lpstr>
      <vt:lpstr>UNKB0200_B_SHIIRESAKI_CD</vt:lpstr>
      <vt:lpstr>UNKB0200_B_SHIIRESAKI_MEI</vt:lpstr>
      <vt:lpstr>UNKB0200_B_SHOKAN_NO</vt:lpstr>
      <vt:lpstr>UNKB0200_B_STS</vt:lpstr>
      <vt:lpstr>UNKB0200_B_YOTEI_DATE</vt:lpstr>
      <vt:lpstr>UNKB0200_H_COPY_CELL_SAKI</vt:lpstr>
      <vt:lpstr>UNKB0200_H_DEL_HYOJI_FLG</vt:lpstr>
      <vt:lpstr>UNKB0200_H_DEL_HYOJI_FLG_S</vt:lpstr>
      <vt:lpstr>UNKB0200_H_FREEWD_1</vt:lpstr>
      <vt:lpstr>UNKB0200_H_FREEWD_1_S</vt:lpstr>
      <vt:lpstr>UNKB0200_H_FREEWD_2</vt:lpstr>
      <vt:lpstr>UNKB0200_H_FREEWD_2_S</vt:lpstr>
      <vt:lpstr>UNKB0200_H_FREEWD_3</vt:lpstr>
      <vt:lpstr>UNKB0200_H_FREEWD_3_S</vt:lpstr>
      <vt:lpstr>UNKB0200_H_FREEWD_KBN</vt:lpstr>
      <vt:lpstr>UNKB0200_H_FREEWD_KBN_DISP</vt:lpstr>
      <vt:lpstr>UNKB0200_H_FREEWD_KBN_S</vt:lpstr>
      <vt:lpstr>UNKB0200_H_GAICHU_KBN</vt:lpstr>
      <vt:lpstr>UNKB0200_H_GAICHU_KBN_S</vt:lpstr>
      <vt:lpstr>UNKB0200_H_HANBAI_KBN</vt:lpstr>
      <vt:lpstr>UNKB0200_H_HANBAI_KBN_S</vt:lpstr>
      <vt:lpstr>UNKB0200_H_HIDE_COLUMN</vt:lpstr>
      <vt:lpstr>UNKB0200_H_HIDE_ROW</vt:lpstr>
      <vt:lpstr>UNKB0200_H_INIT_HEADER_FLG_COPY_SAKI</vt:lpstr>
      <vt:lpstr>UNKB0200_H_IRAI_NO</vt:lpstr>
      <vt:lpstr>UNKB0200_H_IRAI_NO_S</vt:lpstr>
      <vt:lpstr>UNKB0200_H_JURI_NO</vt:lpstr>
      <vt:lpstr>UNKB0200_H_JURI_NO_S</vt:lpstr>
      <vt:lpstr>UNKB0200_H_KOBAIHIN_CD</vt:lpstr>
      <vt:lpstr>UNKB0200_H_KOBAIHIN_CD_S</vt:lpstr>
      <vt:lpstr>UNKB0200_H_KOBAIHIN_KBN</vt:lpstr>
      <vt:lpstr>UNKB0200_H_KOBAIHIN_KBN_S</vt:lpstr>
      <vt:lpstr>UNKB0200_H_KOBAIHIN_MEI</vt:lpstr>
      <vt:lpstr>UNKB0200_H_KOBAIHIN_MEI_S</vt:lpstr>
      <vt:lpstr>UNKB0200_H_KOBAISHINSEI_NO</vt:lpstr>
      <vt:lpstr>UNKB0200_H_KOBAISHINSEI_NO_S</vt:lpstr>
      <vt:lpstr>UNKB0200_H_MAKER_CD</vt:lpstr>
      <vt:lpstr>UNKB0200_H_MAKER_CD_S</vt:lpstr>
      <vt:lpstr>UNKB0200_H_MAKER_MEI</vt:lpstr>
      <vt:lpstr>UNKB0200_H_MAKER_MEI_S</vt:lpstr>
      <vt:lpstr>UNKB0200_H_MITOTSUGO_STS</vt:lpstr>
      <vt:lpstr>UNKB0200_H_MITOTSUGO_STS_S</vt:lpstr>
      <vt:lpstr>UNKB0200_H_NYURYOKUSHA_CD</vt:lpstr>
      <vt:lpstr>UNKB0200_H_NYURYOKUSHA_CD_S</vt:lpstr>
      <vt:lpstr>UNKB0200_H_NYURYOKUSHA_MEI</vt:lpstr>
      <vt:lpstr>UNKB0200_H_NYURYOKUSHA_MEI_S</vt:lpstr>
      <vt:lpstr>UNKB0200_H_SHIIRE_DATE_END</vt:lpstr>
      <vt:lpstr>UNKB0200_H_SHIIRE_DATE_END_S</vt:lpstr>
      <vt:lpstr>UNKB0200_H_SHIIRE_DATE_START</vt:lpstr>
      <vt:lpstr>UNKB0200_H_SHIIRE_DATE_START_S</vt:lpstr>
      <vt:lpstr>UNKB0200_H_SHIIRE_LINK_STS</vt:lpstr>
      <vt:lpstr>UNKB0200_H_SHIIRE_LINK_STS_S</vt:lpstr>
      <vt:lpstr>UNKB0200_H_SHIIRE_NO_END</vt:lpstr>
      <vt:lpstr>UNKB0200_H_SHIIRE_NO_END_S</vt:lpstr>
      <vt:lpstr>UNKB0200_H_SHIIRE_NO_START</vt:lpstr>
      <vt:lpstr>UNKB0200_H_SHIIRE_NO_START_S</vt:lpstr>
      <vt:lpstr>UNKB0200_H_SHIIRESAKI_CD</vt:lpstr>
      <vt:lpstr>UNKB0200_H_SHIIRESAKI_CD_S</vt:lpstr>
      <vt:lpstr>UNKB0200_H_SHIIRESAKI_MEI</vt:lpstr>
      <vt:lpstr>UNKB0200_H_SHIIRESAKI_MEI_S</vt:lpstr>
      <vt:lpstr>UNKB0200_H_SHUZEN_KBN</vt:lpstr>
      <vt:lpstr>UNKB0200_H_SHUZEN_KBN_S</vt:lpstr>
      <vt:lpstr>UNKB0200_H_TOSHI_KBN</vt:lpstr>
      <vt:lpstr>UNKB0200_H_TOSHI_KBN_S</vt:lpstr>
      <vt:lpstr>UNKB0200_H_TOTSUGOSUMI_STS</vt:lpstr>
      <vt:lpstr>UNKB0200_H_TOTSUGOSUMI_STS_S</vt:lpstr>
      <vt:lpstr>UNKB0200_H_YOSAN_CD</vt:lpstr>
      <vt:lpstr>UNKB0200_H_YOSAN_CD_S</vt:lpstr>
      <vt:lpstr>UNKB0200_H_YOSAN_MEI</vt:lpstr>
      <vt:lpstr>UNKB0200_H_YOSAN_MEI_S</vt:lpstr>
      <vt:lpstr>UNKB0200_H_YOTEI_DATE_END</vt:lpstr>
      <vt:lpstr>UNKB0200_H_YOTEI_DATE_END_S</vt:lpstr>
      <vt:lpstr>UNKB0200_H_YOTEI_DATE_START</vt:lpstr>
      <vt:lpstr>UNKB0200_H_YOTEI_DATE_START_S</vt:lpstr>
      <vt:lpstr>UNKB0200_IF_ACTIVE_CELL_NAME</vt:lpstr>
      <vt:lpstr>UNKB0200_IF_ACTIVE_COLUMN</vt:lpstr>
      <vt:lpstr>UNKB0200_IF_ACTIVE_ROW</vt:lpstr>
      <vt:lpstr>UNKB0200_IF_ACTIVE_SHEET</vt:lpstr>
      <vt:lpstr>UNKB0200_IF_DATA_SEARCH_FLG</vt:lpstr>
      <vt:lpstr>UNKB0200_IF_EXCEL_FILE_NAME</vt:lpstr>
      <vt:lpstr>UNKB0200_IF_INIT_HEADER_COPY_MOTO</vt:lpstr>
      <vt:lpstr>UNKB0200_IF_INIT_HEADER_FLG_COPY_MOTO</vt:lpstr>
      <vt:lpstr>UNKB0200_IF_LIST_COPY_MOTO</vt:lpstr>
      <vt:lpstr>UNKB0200_IF_LIST_DEFAULT</vt:lpstr>
      <vt:lpstr>UNKB0200_IF_PRINT_COUNT</vt:lpstr>
      <vt:lpstr>UNKB0200_IF_PRINT_SHOSHIKI_COPY_FLAG</vt:lpstr>
      <vt:lpstr>UNKB0200_IF_PRINT_SHOSHIKI_COPY_MOTO</vt:lpstr>
      <vt:lpstr>UNKB0200_IF_PRINT_SHOSHIKI_COPY_SAKI</vt:lpstr>
      <vt:lpstr>UNKB0200_IF_PRINT_START</vt:lpstr>
      <vt:lpstr>UNKB0200_SQL_DEFAULT_SORT</vt:lpstr>
      <vt:lpstr>UNKB0200_SQL_EXCEL_LIST</vt:lpstr>
      <vt:lpstr>UNKB0200_SQL_SHIIRE_LIST</vt:lpstr>
      <vt:lpstr>UNKB0200_SQL_SHIIRE_LIST_CNT</vt:lpstr>
      <vt:lpstr>UNKB0200_SQL_SORT</vt:lpstr>
      <vt:lpstr>UNKB0200_SQL_SORT_BY</vt:lpstr>
      <vt:lpstr>UNKB0210_B_BARA_TANI</vt:lpstr>
      <vt:lpstr>UNKB0210_B_BARA_TANI_TENKAI</vt:lpstr>
      <vt:lpstr>UNKB0210_B_BIKO</vt:lpstr>
      <vt:lpstr>UNKB0210_B_COPY_GYO_SUSHIKI</vt:lpstr>
      <vt:lpstr>UNKB0210_B_COPY_MOTO_AREA</vt:lpstr>
      <vt:lpstr>UNKB0210_B_COPY_MOTO_NAME</vt:lpstr>
      <vt:lpstr>UNKB0210_B_COPY_SAKI_AREA</vt:lpstr>
      <vt:lpstr>UNKB0210_B_GYO</vt:lpstr>
      <vt:lpstr>UNKB0210_B_GYO_COUNT</vt:lpstr>
      <vt:lpstr>UNKB0210_B_GYO_DECREMENT</vt:lpstr>
      <vt:lpstr>UNKB0210_B_GYO_INCREMENT</vt:lpstr>
      <vt:lpstr>UNKB0210_B_HIDE_COLUMN</vt:lpstr>
      <vt:lpstr>UNKB0210_B_HIDE_ROW</vt:lpstr>
      <vt:lpstr>UNKB0210_B_IRAI_NO</vt:lpstr>
      <vt:lpstr>UNKB0210_B_IRISU</vt:lpstr>
      <vt:lpstr>UNKB0210_B_IRISU_TANI</vt:lpstr>
      <vt:lpstr>UNKB0210_B_IRISU_TANI_TENKAI</vt:lpstr>
      <vt:lpstr>UNKB0210_B_IRISU_TENKAI</vt:lpstr>
      <vt:lpstr>UNKB0210_B_JURI_NO</vt:lpstr>
      <vt:lpstr>UNKB0210_B_JURI_NO_TENKAI</vt:lpstr>
      <vt:lpstr>UNKB0210_B_KOBAI_NO</vt:lpstr>
      <vt:lpstr>UNKB0210_B_KOBAI_SEQ</vt:lpstr>
      <vt:lpstr>UNKB0210_B_KOBAIHIN_CD</vt:lpstr>
      <vt:lpstr>UNKB0210_B_KOBAIHIN_CD_TENKAI</vt:lpstr>
      <vt:lpstr>UNKB0210_B_KOBAIHIN_MEI</vt:lpstr>
      <vt:lpstr>UNKB0210_B_KOBAIHIN_MEI_TENKAI</vt:lpstr>
      <vt:lpstr>UNKB0210_B_LIST_CLEAR_AREA</vt:lpstr>
      <vt:lpstr>UNKB0210_B_LIST_DELETE_AREA</vt:lpstr>
      <vt:lpstr>UNKB0210_B_LIST_INSERT_AREA</vt:lpstr>
      <vt:lpstr>UNKB0210_B_LIST_START</vt:lpstr>
      <vt:lpstr>UNKB0210_B_MAKER_CD</vt:lpstr>
      <vt:lpstr>UNKB0210_B_MAKER_CD_TENKAI</vt:lpstr>
      <vt:lpstr>UNKB0210_B_MAKER_MEI</vt:lpstr>
      <vt:lpstr>UNKB0210_B_MAKER_MEI_DISP</vt:lpstr>
      <vt:lpstr>UNKB0210_B_MAKER_MEI_SUSHIKI</vt:lpstr>
      <vt:lpstr>UNKB0210_B_MAKER_MEI_TENKAI</vt:lpstr>
      <vt:lpstr>UNKB0210_B_MULTI_SELECT_COPY_SAKI</vt:lpstr>
      <vt:lpstr>UNKB0210_B_SCROLL_LOCK</vt:lpstr>
      <vt:lpstr>UNKB0210_B_SOSU</vt:lpstr>
      <vt:lpstr>UNKB0210_B_SOSU_SUSHIKI</vt:lpstr>
      <vt:lpstr>UNKB0210_B_SURYO</vt:lpstr>
      <vt:lpstr>UNKB0210_B_TANKA</vt:lpstr>
      <vt:lpstr>UNKB0210_B_TANKA_TENKAI</vt:lpstr>
      <vt:lpstr>UNKB0210_B_TOTAL</vt:lpstr>
      <vt:lpstr>UNKB0210_B_TOTAL_SUSHIKI</vt:lpstr>
      <vt:lpstr>UNKB0210_B_YOSAN_CD</vt:lpstr>
      <vt:lpstr>UNKB0210_B_YOSAN_CD_MEI</vt:lpstr>
      <vt:lpstr>UNKB0210_B_YOSAN_CD_TENKAI</vt:lpstr>
      <vt:lpstr>UNKB0210_B_YOSAN_MEI_TENKAI</vt:lpstr>
      <vt:lpstr>UNKB0210_H_CHUKI</vt:lpstr>
      <vt:lpstr>UNKB0210_H_CLEAR_AREA</vt:lpstr>
      <vt:lpstr>UNKB0210_H_COPY_SAKI</vt:lpstr>
      <vt:lpstr>UNKB0210_H_DENKU</vt:lpstr>
      <vt:lpstr>UNKB0210_H_DENKU_CD</vt:lpstr>
      <vt:lpstr>UNKB0210_H_HIDE_COLUMN</vt:lpstr>
      <vt:lpstr>UNKB0210_H_HIDE_ROW</vt:lpstr>
      <vt:lpstr>UNKB0210_H_KANJO_KAMOKU</vt:lpstr>
      <vt:lpstr>UNKB0210_H_KANJO_KAMOKU_CD</vt:lpstr>
      <vt:lpstr>UNKB0210_H_KOBAI_KBN</vt:lpstr>
      <vt:lpstr>UNKB0210_H_KOBAI_KBN_CD</vt:lpstr>
      <vt:lpstr>UNKB0210_H_KOMI_TOTAL</vt:lpstr>
      <vt:lpstr>UNKB0210_H_NUKI_TOTAL</vt:lpstr>
      <vt:lpstr>UNKB0210_H_NYURYOKUSHA_CD</vt:lpstr>
      <vt:lpstr>UNKB0210_H_NYURYOKUSHA_MEI</vt:lpstr>
      <vt:lpstr>UNKB0210_H_PAGE_NEXT</vt:lpstr>
      <vt:lpstr>UNKB0210_H_PAGE_NO</vt:lpstr>
      <vt:lpstr>UNKB0210_H_PAGE_PREV</vt:lpstr>
      <vt:lpstr>UNKB0210_H_PAGE_TOTAL</vt:lpstr>
      <vt:lpstr>UNKB0210_H_RENDO_KBN_CD</vt:lpstr>
      <vt:lpstr>UNKB0210_H_SHIHARAI_DATE</vt:lpstr>
      <vt:lpstr>UNKB0210_H_SHIIRE_DATE</vt:lpstr>
      <vt:lpstr>UNKB0210_H_SHIIRE_KAMOKU</vt:lpstr>
      <vt:lpstr>UNKB0210_H_SHIIRE_KAMOKU_CD</vt:lpstr>
      <vt:lpstr>UNKB0210_H_SHIIRE_NO</vt:lpstr>
      <vt:lpstr>UNKB0210_H_SHIIRESAKI_CD</vt:lpstr>
      <vt:lpstr>UNKB0210_H_SHIIRESAKI_HASU</vt:lpstr>
      <vt:lpstr>UNKB0210_H_SHIIRESAKI_MEI</vt:lpstr>
      <vt:lpstr>UNKB0210_H_SHOKAN_NO</vt:lpstr>
      <vt:lpstr>UNKB0210_H_SHOKAN_RENDO_DATE_TIME</vt:lpstr>
      <vt:lpstr>UNKB0210_H_SHOKAN_RENDO_KBN</vt:lpstr>
      <vt:lpstr>UNKB0210_H_STS</vt:lpstr>
      <vt:lpstr>UNKB0210_H_STS_CD</vt:lpstr>
      <vt:lpstr>UNKB0210_H_TAX</vt:lpstr>
      <vt:lpstr>UNKB0210_H_TAX_RATE</vt:lpstr>
      <vt:lpstr>UNKB0210_IF_ACTIVE_CELL_NAME</vt:lpstr>
      <vt:lpstr>UNKB0210_IF_ACTIVE_COLUMN</vt:lpstr>
      <vt:lpstr>UNKB0210_IF_ACTIVE_ROW</vt:lpstr>
      <vt:lpstr>UNKB0210_IF_ACTIVE_SHEET</vt:lpstr>
      <vt:lpstr>UNKB0210_IF_BUTTON_03_HYOJI</vt:lpstr>
      <vt:lpstr>UNKB0210_IF_BUTTON_04_HYOJI</vt:lpstr>
      <vt:lpstr>UNKB0210_IF_BUTTON_06_HYOJI</vt:lpstr>
      <vt:lpstr>UNKB0210_IF_BUTTON_06_NAME</vt:lpstr>
      <vt:lpstr>UNKB0210_IF_BUTTON_07_HYOJI</vt:lpstr>
      <vt:lpstr>UNKB0210_IF_BUTTON_08_HYOJI</vt:lpstr>
      <vt:lpstr>UNKB0210_IF_BUTTON_09_HYOJI</vt:lpstr>
      <vt:lpstr>UNKB0210_IF_BUTTON_10_HYOJI</vt:lpstr>
      <vt:lpstr>UNKB0210_IF_BUTTON_10_NAME</vt:lpstr>
      <vt:lpstr>UNKB0210_IF_BUTTON_11_HYOJI</vt:lpstr>
      <vt:lpstr>UNKB0210_IF_BUTTON_12_ERROR</vt:lpstr>
      <vt:lpstr>UNKB0210_IF_BUTTON_12_HYOJI</vt:lpstr>
      <vt:lpstr>UNKB0210_IF_BUTTON_15_HYOJI</vt:lpstr>
      <vt:lpstr>UNKB0210_IF_BUTTON_16_HYOJI</vt:lpstr>
      <vt:lpstr>UNKB0210_IF_BUTTON_17_HYOJI</vt:lpstr>
      <vt:lpstr>UNKB0210_IF_BUTTON_20_HYOJI</vt:lpstr>
      <vt:lpstr>UNKB0210_IF_COPY_B_GYO_SUSHIKI</vt:lpstr>
      <vt:lpstr>UNKB0210_IF_COPY_B_LIST_CLEAR</vt:lpstr>
      <vt:lpstr>UNKB0210_IF_COPY_B_MAKER_MEI_SUSHIKI</vt:lpstr>
      <vt:lpstr>UNKB0210_IF_COPY_B_MEISAI_SANSHO</vt:lpstr>
      <vt:lpstr>UNKB0210_IF_COPY_B_MEISAI_SHINKI</vt:lpstr>
      <vt:lpstr>UNKB0210_IF_COPY_B_MEISAI_SHUSEI</vt:lpstr>
      <vt:lpstr>UNKB0210_IF_COPY_B_SOSU_SUSHIKI</vt:lpstr>
      <vt:lpstr>UNKB0210_IF_COPY_B_TOTAL_SUSHIKI</vt:lpstr>
      <vt:lpstr>UNKB0210_IF_COPY_H_SANSHO</vt:lpstr>
      <vt:lpstr>UNKB0210_IF_COPY_H_SHIIRE_DATE</vt:lpstr>
      <vt:lpstr>UNKB0210_IF_COPY_H_SHINKI</vt:lpstr>
      <vt:lpstr>UNKB0210_IF_COPY_H_SHUSEI</vt:lpstr>
      <vt:lpstr>UNKB0210_IF_COPY_STS_LOCK</vt:lpstr>
      <vt:lpstr>UNKB0210_IF_COPY_STS_LOCK_CHECK</vt:lpstr>
      <vt:lpstr>UNKB0210_IF_DATA_SEARCH_FLG</vt:lpstr>
      <vt:lpstr>UNKB0210_IF_DEFAULT_CHECK</vt:lpstr>
      <vt:lpstr>UNKB0210_IF_EXCEL_FILE_NAME</vt:lpstr>
      <vt:lpstr>UNKB0210_IF_GET_SHIHARAI_DATE_CHECK</vt:lpstr>
      <vt:lpstr>UNKB0210_IF_INPUT_CHECK</vt:lpstr>
      <vt:lpstr>UNKB0210_IF_INPUT_ERROR_MESSAGE</vt:lpstr>
      <vt:lpstr>UNKB0210_IF_KOBAI_MODE</vt:lpstr>
      <vt:lpstr>UNKB0210_IF_LIST_DENKU_KENSU</vt:lpstr>
      <vt:lpstr>UNKB0210_IF_LIST_DENKU_START</vt:lpstr>
      <vt:lpstr>UNKB0210_IF_LIST_KANJO_KAMOKU_KENSU</vt:lpstr>
      <vt:lpstr>UNKB0210_IF_LIST_KANJO_KAMOKU_START</vt:lpstr>
      <vt:lpstr>UNKB0210_IF_LIST_KOBAI_KBN_KENSU</vt:lpstr>
      <vt:lpstr>UNKB0210_IF_LIST_KOBAI_KBN_START</vt:lpstr>
      <vt:lpstr>UNKB0210_IF_LIST_RENDO_KBN_KENSU</vt:lpstr>
      <vt:lpstr>UNKB0210_IF_LIST_RENDO_KBN_START</vt:lpstr>
      <vt:lpstr>UNKB0210_IF_LIST_SHIIRE_KAMOKU_KENSU</vt:lpstr>
      <vt:lpstr>UNKB0210_IF_LIST_SHIIRE_KAMOKU_START</vt:lpstr>
      <vt:lpstr>UNKB0210_IF_MODE</vt:lpstr>
      <vt:lpstr>UNKB0210_IF_MULTI_SELECT_CHECK</vt:lpstr>
      <vt:lpstr>UNKB0210_IF_MULTI_SELECT_COPY_MOTO</vt:lpstr>
      <vt:lpstr>UNKB0210_IF_MULTI_SELECT_FLG</vt:lpstr>
      <vt:lpstr>UNKB0210_IF_MULTI_SELECT_GYO_INCREMENT</vt:lpstr>
      <vt:lpstr>UNKB0210_IF_MULTI_SELECT_GYO_SUSHIKI_COPY_SAKI</vt:lpstr>
      <vt:lpstr>UNKB0210_IF_MULTI_SELECT_KENSU</vt:lpstr>
      <vt:lpstr>UNKB0210_IF_MULTI_SELECT_LIST_GYO</vt:lpstr>
      <vt:lpstr>UNKB0210_IF_MULTI_SELECT_LIST_MAKER_MEI</vt:lpstr>
      <vt:lpstr>UNKB0210_IF_MULTI_SELECT_LIST_SOSU</vt:lpstr>
      <vt:lpstr>UNKB0210_IF_MULTI_SELECT_LIST_TOTAL</vt:lpstr>
      <vt:lpstr>UNKB0210_IF_MULTI_SELECT_MAKER_MEI_SUSHIKI_COPY_SAKI</vt:lpstr>
      <vt:lpstr>UNKB0210_IF_MULTI_SELECT_SHOSHIKI_COPY_SAKI</vt:lpstr>
      <vt:lpstr>UNKB0210_IF_MULTI_SELECT_SOSU_SUSHIKI_COPY_SAKI</vt:lpstr>
      <vt:lpstr>UNKB0210_IF_MULTI_SELECT_TENKAI_KENSU</vt:lpstr>
      <vt:lpstr>UNKB0210_IF_MULTI_SELECT_TENKAI_START</vt:lpstr>
      <vt:lpstr>UNKB0210_IF_MULTI_SELECT_TOTAL_SUSHIKI_COPY_SAKI</vt:lpstr>
      <vt:lpstr>UNKB0210_IF_PAGE_SAVE_CHECK</vt:lpstr>
      <vt:lpstr>UNKB0210_IF_PREVIOUS_ID</vt:lpstr>
      <vt:lpstr>UNKB0210_IF_REF_NO</vt:lpstr>
      <vt:lpstr>UNKB0210_IF_SAVE_BARA_TANI</vt:lpstr>
      <vt:lpstr>UNKB0210_IF_SAVE_BAT_KOBAI_NO</vt:lpstr>
      <vt:lpstr>UNKB0210_IF_SAVE_BAT_LOOP_CNT</vt:lpstr>
      <vt:lpstr>UNKB0210_IF_SAVE_BIKO</vt:lpstr>
      <vt:lpstr>UNKB0210_IF_SAVE_CHECK_ERROR_KOMOKU</vt:lpstr>
      <vt:lpstr>UNKB0210_IF_SAVE_CHECK_RESULT</vt:lpstr>
      <vt:lpstr>UNKB0210_IF_SAVE_CHECK_START</vt:lpstr>
      <vt:lpstr>UNKB0210_IF_SAVE_COPY_MOTO</vt:lpstr>
      <vt:lpstr>UNKB0210_IF_SAVE_COPY_SAKI</vt:lpstr>
      <vt:lpstr>UNKB0210_IF_SAVE_COPY_START</vt:lpstr>
      <vt:lpstr>UNKB0210_IF_SAVE_DBS_CREATE_DATE</vt:lpstr>
      <vt:lpstr>UNKB0210_IF_SAVE_DBS_CREATE_USER</vt:lpstr>
      <vt:lpstr>UNKB0210_IF_SAVE_DBS_STATUS</vt:lpstr>
      <vt:lpstr>UNKB0210_IF_SAVE_DBS_UPDATE_DATE</vt:lpstr>
      <vt:lpstr>UNKB0210_IF_SAVE_DBS_UPDATE_USER</vt:lpstr>
      <vt:lpstr>UNKB0210_IF_SAVE_DEL_FLG</vt:lpstr>
      <vt:lpstr>UNKB0210_IF_SAVE_ERROR_CHECK</vt:lpstr>
      <vt:lpstr>UNKB0210_IF_SAVE_ERROR_MESSAGE</vt:lpstr>
      <vt:lpstr>UNKB0210_IF_SAVE_GYO_NO</vt:lpstr>
      <vt:lpstr>UNKB0210_IF_SAVE_IRISU</vt:lpstr>
      <vt:lpstr>UNKB0210_IF_SAVE_IRISU_TANI</vt:lpstr>
      <vt:lpstr>UNKB0210_IF_SAVE_JOGAI_GYO</vt:lpstr>
      <vt:lpstr>UNKB0210_IF_SAVE_JURI_NO</vt:lpstr>
      <vt:lpstr>UNKB0210_IF_SAVE_KENSU</vt:lpstr>
      <vt:lpstr>UNKB0210_IF_SAVE_KOBAI_KBN</vt:lpstr>
      <vt:lpstr>UNKB0210_IF_SAVE_KOBAI_NO</vt:lpstr>
      <vt:lpstr>UNKB0210_IF_SAVE_KOBAI_SEQ</vt:lpstr>
      <vt:lpstr>UNKB0210_IF_SAVE_KOBAIHIN_CD</vt:lpstr>
      <vt:lpstr>UNKB0210_IF_SAVE_KOBAIHIN_MEI</vt:lpstr>
      <vt:lpstr>UNKB0210_IF_SAVE_KOMI_TOTAL</vt:lpstr>
      <vt:lpstr>UNKB0210_IF_SAVE_MAKER_CD</vt:lpstr>
      <vt:lpstr>UNKB0210_IF_SAVE_NUKI_TOTAL</vt:lpstr>
      <vt:lpstr>UNKB0210_IF_SAVE_RENDO_CHECK</vt:lpstr>
      <vt:lpstr>UNKB0210_IF_SAVE_RESULT_CD</vt:lpstr>
      <vt:lpstr>UNKB0210_IF_SAVE_RESULT_KENSU</vt:lpstr>
      <vt:lpstr>UNKB0210_IF_SAVE_RESULT_MESSAGE</vt:lpstr>
      <vt:lpstr>UNKB0210_IF_SAVE_RESULT_SHIIRE_NO</vt:lpstr>
      <vt:lpstr>UNKB0210_IF_SAVE_SHIHARAI_DATE</vt:lpstr>
      <vt:lpstr>UNKB0210_IF_SAVE_SHIIRE_CD</vt:lpstr>
      <vt:lpstr>UNKB0210_IF_SAVE_SHIIRE_DATE</vt:lpstr>
      <vt:lpstr>UNKB0210_IF_SAVE_SHIIRE_LINK_DATETIME</vt:lpstr>
      <vt:lpstr>UNKB0210_IF_SAVE_SHIIRE_NO</vt:lpstr>
      <vt:lpstr>UNKB0210_IF_SAVE_SHIIRE_NYURYOKUSHA_CD</vt:lpstr>
      <vt:lpstr>UNKB0210_IF_SAVE_SHIIRE_STS</vt:lpstr>
      <vt:lpstr>UNKB0210_IF_SAVE_SHOKAN_NO</vt:lpstr>
      <vt:lpstr>UNKB0210_IF_SAVE_SOSU</vt:lpstr>
      <vt:lpstr>UNKB0210_IF_SAVE_START</vt:lpstr>
      <vt:lpstr>UNKB0210_IF_SAVE_SURYO</vt:lpstr>
      <vt:lpstr>UNKB0210_IF_SAVE_TANKA</vt:lpstr>
      <vt:lpstr>UNKB0210_IF_SAVE_TAX</vt:lpstr>
      <vt:lpstr>UNKB0210_IF_SAVE_TAX_RATE</vt:lpstr>
      <vt:lpstr>UNKB0210_IF_SAVE_TOTAL</vt:lpstr>
      <vt:lpstr>UNKB0210_IF_SAVE_W_MODE</vt:lpstr>
      <vt:lpstr>UNKB0210_IF_SAVE_W_PAGE</vt:lpstr>
      <vt:lpstr>UNKB0210_IF_SAVE_W_ROW</vt:lpstr>
      <vt:lpstr>UNKB0210_IF_SAVE_W_SERIAL</vt:lpstr>
      <vt:lpstr>UNKB0210_IF_SAVE_W_USER_ID</vt:lpstr>
      <vt:lpstr>UNKB0210_IF_SAVE_YOSAN_CD</vt:lpstr>
      <vt:lpstr>UNKB0210_IF_W_MODE</vt:lpstr>
      <vt:lpstr>UNKB0210_IF_W_SERIAL</vt:lpstr>
      <vt:lpstr>UNKB0210_IF_W_SERIAL_CREATE</vt:lpstr>
      <vt:lpstr>UNKB0210_IF_W_USER_ID</vt:lpstr>
      <vt:lpstr>UNKB0210_SAVE_BAT_FLG</vt:lpstr>
      <vt:lpstr>UNKB0210_SAVE_TEMP_FLG</vt:lpstr>
      <vt:lpstr>UNKB0210_SQL_INIT_NYURYOKUSHA</vt:lpstr>
      <vt:lpstr>UNKB0210_SQL_INIT_RENDO_KBN</vt:lpstr>
      <vt:lpstr>UNKB0210_SQL_INIT_SHIIRE_DENKU</vt:lpstr>
      <vt:lpstr>UNKB0210_SQL_INIT_SHIIRE_KAMOKU</vt:lpstr>
      <vt:lpstr>UNKB0210_SQL_INIT_STS</vt:lpstr>
      <vt:lpstr>UNKB0210_SQL_KOBAIHIN_SEARCH</vt:lpstr>
      <vt:lpstr>UNKB0210_SQL_KOBAIHIN_SEARCH_VLOOKUP_AREA</vt:lpstr>
      <vt:lpstr>UNKB0210_SQL_LIST_DENKU</vt:lpstr>
      <vt:lpstr>UNKB0210_SQL_LIST_KANJO_KAMOKU</vt:lpstr>
      <vt:lpstr>UNKB0210_SQL_LIST_KOBAI_KBN</vt:lpstr>
      <vt:lpstr>UNKB0210_SQL_LIST_RENDO_KBN</vt:lpstr>
      <vt:lpstr>UNKB0210_SQL_LIST_SHIIRE_KAMOKU</vt:lpstr>
      <vt:lpstr>UNKB0210_SQL_MULTI_SELECT</vt:lpstr>
      <vt:lpstr>UNKB0210_SQL_PAGE</vt:lpstr>
      <vt:lpstr>UNKB0210_SQL_PROC</vt:lpstr>
      <vt:lpstr>UNKB0210_SQL_PROC_SEARCH_AREA</vt:lpstr>
      <vt:lpstr>UNKB0210_SQL_REF_NO</vt:lpstr>
      <vt:lpstr>UNKB0210_SQL_SELECT_B</vt:lpstr>
      <vt:lpstr>UNKB0210_SQL_SELECT_H</vt:lpstr>
      <vt:lpstr>UNKB0210_SQL_SELECT_MAX_PAGE</vt:lpstr>
      <vt:lpstr>UNKB0210_SQL_SELECT_TABLE_UPDATE</vt:lpstr>
      <vt:lpstr>UNKB0210_SQL_SERIAL</vt:lpstr>
      <vt:lpstr>UNKB0210_SQL_SHIHARAI_DATE</vt:lpstr>
      <vt:lpstr>UNKB0210_SQL_SHIHARAI_DAY</vt:lpstr>
      <vt:lpstr>UNKB0210_SQL_SHIHARAI_MONTH</vt:lpstr>
      <vt:lpstr>UNKB0210_SQL_SHIIRE_DATE</vt:lpstr>
      <vt:lpstr>UNKB0210_SQL_USER_ID</vt:lpstr>
      <vt:lpstr>UNKB0210_IF!必須チェック設定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中川 雄太</dc:creator>
  <cp:lastModifiedBy>システム開発者 2</cp:lastModifiedBy>
  <cp:lastPrinted>2016-07-08T09:21:48Z</cp:lastPrinted>
  <dcterms:created xsi:type="dcterms:W3CDTF">2016-04-29T00:18:20Z</dcterms:created>
  <dcterms:modified xsi:type="dcterms:W3CDTF">2017-07-14T08:41:02Z</dcterms:modified>
</cp:coreProperties>
</file>