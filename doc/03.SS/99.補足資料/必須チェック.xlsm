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_work\UNISS_201412\doc\03.SS\99.補足資料\"/>
    </mc:Choice>
  </mc:AlternateContent>
  <bookViews>
    <workbookView xWindow="0" yWindow="0" windowWidth="14370" windowHeight="7590" tabRatio="930"/>
  </bookViews>
  <sheets>
    <sheet name="UNNH0030_IF" sheetId="139" r:id="rId1"/>
    <sheet name="UNNH0030_H" sheetId="137" r:id="rId2"/>
    <sheet name="UNNH0030_B" sheetId="138" r:id="rId3"/>
  </sheets>
  <functionGroups builtInGroupCount="18"/>
  <definedNames>
    <definedName name="_xlnm.Print_Area" localSheetId="2">OFFSET(UNNH0030_B_GYO,0,0,1+UNNH0030_B_GYO_COUNT,COLUMNS(UNNH0030_IF_COPY_B_MEISAI_SHINKI))</definedName>
    <definedName name="_xlnm.Print_Area" localSheetId="1">UNNH0030_H!$G$1:$S$20</definedName>
    <definedName name="UNNH_COMMON_ACTIVE_SHEET_NAME">#REF!</definedName>
    <definedName name="UNNH_COMMON_CHANGE_CHECK">#REF!</definedName>
    <definedName name="UNNH_COMMON_CHANGE_CHECK_AREA">#REF!</definedName>
    <definedName name="UNNH_COMMON_SQL_BUN_HAN_KBN_SEARCH">#REF!</definedName>
    <definedName name="UNNH_COMMON_SQL_BUNSEKI_HOHO_SEARCH">#REF!</definedName>
    <definedName name="UNNH_COMMON_SQL_BUSHO_SEARCH">#REF!</definedName>
    <definedName name="UNNH_COMMON_SQL_HASSOSAKI_SEARCH">#REF!</definedName>
    <definedName name="UNNH_COMMON_SQL_JURI_NO_SEARCH">#REF!</definedName>
    <definedName name="UNNH_COMMON_SQL_MITSU_NO_SEARCH">#REF!</definedName>
    <definedName name="UNNH_COMMON_SQL_SEIKYUSAKI_SEARCH">#REF!</definedName>
    <definedName name="UNNH_COMMON_SQL_SELECT_CTRL_HYOJI_GYO_SU">#REF!</definedName>
    <definedName name="UNNH_COMMON_SQL_SELECT_TAX_RATE">#REF!</definedName>
    <definedName name="UNNH_COMMON_SQL_SHAIN_SEARCH">#REF!</definedName>
    <definedName name="UNNH_COMMON_SQL_SHOHIN_SEARCH">#REF!</definedName>
    <definedName name="UNNH_COMMON_SQL_URIAGE_STS_SEARCH">#REF!</definedName>
    <definedName name="UNNH0010_B_ALL_PAGE_SU">#REF!</definedName>
    <definedName name="UNNH0010_B_BUN_HAN_KBN">#REF!</definedName>
    <definedName name="UNNH0010_B_BUNSEKI_HAMBAI_KBN">#REF!</definedName>
    <definedName name="UNNH0010_B_COPY_SAKI">#REF!</definedName>
    <definedName name="UNNH0010_B_CTRL_HYOJI_GYO_SU">#REF!</definedName>
    <definedName name="UNNH0010_B_EDA_KENSU">#REF!</definedName>
    <definedName name="UNNH0010_B_EIGYO_TANTO_CD">#REF!</definedName>
    <definedName name="UNNH0010_B_EIGYO_TANTOSHA_MEI">#REF!</definedName>
    <definedName name="UNNH0010_B_EXIST_NEXT_PAGE">#REF!</definedName>
    <definedName name="UNNH0010_B_EXIST_PREV_PAGE">#REF!</definedName>
    <definedName name="UNNH0010_B_FLG">#REF!</definedName>
    <definedName name="UNNH0010_B_FORMAT_COPY_FLG">#REF!</definedName>
    <definedName name="UNNH0010_B_FREEWD">#REF!</definedName>
    <definedName name="UNNH0010_B_HASSO_CD">#REF!</definedName>
    <definedName name="UNNH0010_B_HIDE_COLUMN">#REF!</definedName>
    <definedName name="UNNH0010_B_HIDE_ROW">#REF!</definedName>
    <definedName name="UNNH0010_B_HYOJI_KENSU">#REF!</definedName>
    <definedName name="UNNH0010_B_JUCHU_KBN">#REF!</definedName>
    <definedName name="UNNH0010_B_JUCHU_KBN_MEI">#REF!</definedName>
    <definedName name="UNNH0010_B_JURI_NO">#REF!</definedName>
    <definedName name="UNNH0010_B_KENMEI">#REF!</definedName>
    <definedName name="UNNH0010_B_KENSAKU_KENSU">#REF!</definedName>
    <definedName name="UNNH0010_B_LIST_CLEAR">#REF!</definedName>
    <definedName name="UNNH0010_B_LIST_START">#REF!</definedName>
    <definedName name="UNNH0010_B_MITSU_NO">#REF!</definedName>
    <definedName name="UNNH0010_B_NEXT_PAGE_NO">#REF!</definedName>
    <definedName name="UNNH0010_B_NOHIN_DATE">#REF!</definedName>
    <definedName name="UNNH0010_B_NYURYOKU_DATE">#REF!</definedName>
    <definedName name="UNNH0010_B_NYURYOKUSHA_CD">#REF!</definedName>
    <definedName name="UNNH0010_B_NYURYOKUSHA_MEI">#REF!</definedName>
    <definedName name="UNNH0010_B_PAGE_NO">#REF!</definedName>
    <definedName name="UNNH0010_B_PREV_PAGE_NO">#REF!</definedName>
    <definedName name="UNNH0010_B_ROW">#REF!</definedName>
    <definedName name="UNNH0010_B_SCROLL_LOCK">#REF!</definedName>
    <definedName name="UNNH0010_B_SEIKYUSAKI_CD">#REF!</definedName>
    <definedName name="UNNH0010_B_SEIKYUSAKI_MEI">#REF!</definedName>
    <definedName name="UNNH0010_B_SELECT">#REF!</definedName>
    <definedName name="UNNH0010_B_SELECT_FLG_COPY_SAKI">#REF!</definedName>
    <definedName name="UNNH0010_B_SELECT_GYO_NO">#REF!</definedName>
    <definedName name="UNNH0010_B_SELECT_JUCHU_KBN">#REF!</definedName>
    <definedName name="UNNH0010_B_SELECT_JURI_NO">#REF!</definedName>
    <definedName name="UNNH0010_B_SELECT_MITSU_NO">#REF!</definedName>
    <definedName name="UNNH0010_B_SHOHIN_KENSU">#REF!</definedName>
    <definedName name="UNNH0010_B_STS">#REF!</definedName>
    <definedName name="UNNH0010_B_STS_MEI">#REF!</definedName>
    <definedName name="UNNH0010_B_URI_MIKEIJO_FLG">#REF!</definedName>
    <definedName name="UNNH0010_B_URIAGE_KEIJO">#REF!</definedName>
    <definedName name="UNNH0010_B_URIAGE_NO_S">#REF!</definedName>
    <definedName name="UNNH0010_B_VIEW_CURRENT_PAGE">#REF!</definedName>
    <definedName name="UNNH0010_H_BUNSEKI_CHUDAN_STS">#REF!</definedName>
    <definedName name="UNNH0010_H_BUNSEKI_CHUKAN_STS">#REF!</definedName>
    <definedName name="UNNH0010_H_BUNSEKI_CHUSHI_STS">#REF!</definedName>
    <definedName name="UNNH0010_H_BUNSEKI_EIGYO_STS">#REF!</definedName>
    <definedName name="UNNH0010_H_BUNSEKI_GIJUTSU_STS">#REF!</definedName>
    <definedName name="UNNH0010_H_BUNSEKI_HAMBAI_KBN">#REF!</definedName>
    <definedName name="UNNH0010_H_BUNSEKI_HAMBAI_KBN_CD">#REF!</definedName>
    <definedName name="UNNH0010_H_BUNSEKI_IRAI_HOKAN_STS">#REF!</definedName>
    <definedName name="UNNH0010_H_BUNSEKI_KAKUNIN_MI_STS">#REF!</definedName>
    <definedName name="UNNH0010_H_BUNSEKI_KAKUNIN_STS">#REF!</definedName>
    <definedName name="UNNH0010_H_BUNSEKI_NOHIN_STS">#REF!</definedName>
    <definedName name="UNNH0010_H_BUNSEKI_SOKUHO_STS">#REF!</definedName>
    <definedName name="UNNH0010_H_BUNSEKI_TEISEI_STS">#REF!</definedName>
    <definedName name="UNNH0010_H_BUNSEKI_UKETSUKE_STS">#REF!</definedName>
    <definedName name="UNNH0010_H_EIGYO_TANTO_CD">#REF!</definedName>
    <definedName name="UNNH0010_H_EIGYO_TANTOSHA_MEI">#REF!</definedName>
    <definedName name="UNNH0010_H_FORM_UPPER_LEFT">#REF!</definedName>
    <definedName name="UNNH0010_H_FREEWD_1">#REF!</definedName>
    <definedName name="UNNH0010_H_FREEWD_2">#REF!</definedName>
    <definedName name="UNNH0010_H_FREEWD_3">#REF!</definedName>
    <definedName name="UNNH0010_H_FREEWD_KBN">#REF!</definedName>
    <definedName name="UNNH0010_H_HAMBAI_JUNBI_KANRYO_STS">#REF!</definedName>
    <definedName name="UNNH0010_H_HAMBAI_SHORIMI_STS">#REF!</definedName>
    <definedName name="UNNH0010_H_HASSOSAKI_CD">#REF!</definedName>
    <definedName name="UNNH0010_H_HASSOSAKI_MEI">#REF!</definedName>
    <definedName name="UNNH0010_H_HIDE_COLUMN">#REF!</definedName>
    <definedName name="UNNH0010_H_HIDE_ROW">#REF!</definedName>
    <definedName name="UNNH0010_H_INIT_HEADER_CLEAR_AREA">#REF!</definedName>
    <definedName name="UNNH0010_H_INIT_HEADER_FLG_COPY_SAKI">#REF!</definedName>
    <definedName name="UNNH0010_H_IRAI_KBN">#REF!</definedName>
    <definedName name="UNNH0010_H_JUCHU_KBN_CD">#REF!</definedName>
    <definedName name="UNNH0010_H_JURI_NO_END">#REF!</definedName>
    <definedName name="UNNH0010_H_JURI_NO_END_NUM">#REF!</definedName>
    <definedName name="UNNH0010_H_JURI_NO_MAX">#REF!</definedName>
    <definedName name="UNNH0010_H_JURI_NO_MIN">#REF!</definedName>
    <definedName name="UNNH0010_H_JURI_NO_START">#REF!</definedName>
    <definedName name="UNNH0010_H_JURI_NO_START_NUM">#REF!</definedName>
    <definedName name="UNNH0010_H_MIKEIJO_FLG">#REF!</definedName>
    <definedName name="UNNH0010_H_MITSU_NO_END">#REF!</definedName>
    <definedName name="UNNH0010_H_MITSU_NO_START">#REF!</definedName>
    <definedName name="UNNH0010_H_MITSUMORI_NO_END_NUM">#REF!</definedName>
    <definedName name="UNNH0010_H_MITSUMORI_NO_MAX">#REF!</definedName>
    <definedName name="UNNH0010_H_MITSUMORI_NO_MIN">#REF!</definedName>
    <definedName name="UNNH0010_H_MITSUMORI_NO_START_NUM">#REF!</definedName>
    <definedName name="UNNH0010_H_NOHIN_DATE_END">#REF!</definedName>
    <definedName name="UNNH0010_H_NOHIN_DATE_START">#REF!</definedName>
    <definedName name="UNNH0010_H_NYURYOKU_DATE_END">#REF!</definedName>
    <definedName name="UNNH0010_H_NYURYOKU_DATE_START">#REF!</definedName>
    <definedName name="UNNH0010_H_NYURYOKUSHA_CD">#REF!</definedName>
    <definedName name="UNNH0010_H_NYURYOKUSHA_MEI">#REF!</definedName>
    <definedName name="UNNH0010_H_SEIKYUSAKI_CD">#REF!</definedName>
    <definedName name="UNNH0010_H_SEIKYUSAKI_MEI">#REF!</definedName>
    <definedName name="UNNH0010_H_SHOHIN_CD">#REF!</definedName>
    <definedName name="UNNH0010_H_SHOHIN_KBN">#REF!</definedName>
    <definedName name="UNNH0010_H_SHOHIN_MEI">#REF!</definedName>
    <definedName name="UNNH0010_IF_ACTIVE_CELL_NAME">#REF!</definedName>
    <definedName name="UNNH0010_IF_ACTIVE_COLUMN">#REF!</definedName>
    <definedName name="UNNH0010_IF_ACTIVE_ROW">#REF!</definedName>
    <definedName name="UNNH0010_IF_ACTIVE_SHEET">#REF!</definedName>
    <definedName name="UNNH0010_IF_B_FLG_COPY_MOTO">#REF!</definedName>
    <definedName name="UNNH0010_IF_B_LIST_COPY_MOTO">#REF!</definedName>
    <definedName name="UNNH0010_IF_B_LIST_DEFAULT">#REF!</definedName>
    <definedName name="UNNH0010_IF_CREATE_W_SERIAL">#REF!</definedName>
    <definedName name="UNNH0010_IF_DATA_SEARCH_FLG">#REF!</definedName>
    <definedName name="UNNH0010_IF_EXCEL_FILE_NAME">#REF!</definedName>
    <definedName name="UNNH0010_IF_INIT_HEADER_COPY_MOTO">#REF!</definedName>
    <definedName name="UNNH0010_IF_INIT_HEADER_COPY_SAKI">#REF!</definedName>
    <definedName name="UNNH0010_IF_INIT_HEADER_FLG_COPY_MOTO">#REF!</definedName>
    <definedName name="UNNH0010_IF_PRINT_COPY_MOTO">#REF!</definedName>
    <definedName name="UNNH0010_IF_PRINT_COPY_SAKI">#REF!</definedName>
    <definedName name="UNNH0010_IF_PRINT_JUCHU_KBN">#REF!</definedName>
    <definedName name="UNNH0010_IF_PRINT_KENSAKU_KENSU">#REF!</definedName>
    <definedName name="UNNH0010_IF_PRINT_LIST_START">#REF!</definedName>
    <definedName name="UNNH0010_IF_SAVE_KENSU">#REF!</definedName>
    <definedName name="UNNH0010_IF_SAVE_W_MODE">#REF!</definedName>
    <definedName name="UNNH0010_IF_SAVE_W_SERIAL">#REF!</definedName>
    <definedName name="UNNH0010_IF_SAVE_W_USER_ID">#REF!</definedName>
    <definedName name="UNNH0010_IF_SELECT_CNT">#REF!</definedName>
    <definedName name="UNNH0010_IF_SET_MITSU_NO">#REF!</definedName>
    <definedName name="UNNH0010_SQL_BUNSEKI_CHUDAN_STS">#REF!</definedName>
    <definedName name="UNNH0010_SQL_BUNSEKI_CHUKAN_STS">#REF!</definedName>
    <definedName name="UNNH0010_SQL_BUNSEKI_CHUSHI_STS">#REF!</definedName>
    <definedName name="UNNH0010_SQL_BUNSEKI_EIGYO_STS">#REF!</definedName>
    <definedName name="UNNH0010_SQL_BUNSEKI_GIJUTSU_STS">#REF!</definedName>
    <definedName name="UNNH0010_SQL_BUNSEKI_HAMBAI_KBN">#REF!</definedName>
    <definedName name="UNNH0010_SQL_BUNSEKI_IRAI_HOKAN_STS">#REF!</definedName>
    <definedName name="UNNH0010_SQL_BUNSEKI_KAKUNIN_MI_STS">#REF!</definedName>
    <definedName name="UNNH0010_SQL_BUNSEKI_KAKUNIN_STS">#REF!</definedName>
    <definedName name="UNNH0010_SQL_BUNSEKI_NOHIN_STS">#REF!</definedName>
    <definedName name="UNNH0010_SQL_BUNSEKI_SOKUHO_STS">#REF!</definedName>
    <definedName name="UNNH0010_SQL_BUNSEKI_TEISEI_STS">#REF!</definedName>
    <definedName name="UNNH0010_SQL_BUNSEKI_UKETSUKE_STS">#REF!</definedName>
    <definedName name="UNNH0010_SQL_EIGYO_TANTO_CD">#REF!</definedName>
    <definedName name="UNNH0010_SQL_FREEWD_1">#REF!</definedName>
    <definedName name="UNNH0010_SQL_FREEWD_2">#REF!</definedName>
    <definedName name="UNNH0010_SQL_FREEWD_3">#REF!</definedName>
    <definedName name="UNNH0010_SQL_FREEWD_KBN">#REF!</definedName>
    <definedName name="UNNH0010_SQL_FREEWORD1">#REF!</definedName>
    <definedName name="UNNH0010_SQL_FREEWORD2">#REF!</definedName>
    <definedName name="UNNH0010_SQL_FREEWORD3">#REF!</definedName>
    <definedName name="UNNH0010_SQL_HAMBAI_JUNBI_KANRYO_STS">#REF!</definedName>
    <definedName name="UNNH0010_SQL_HAMBAI_SHORIMI_STS">#REF!</definedName>
    <definedName name="UNNH0010_SQL_HASSOSAKI_CD">#REF!</definedName>
    <definedName name="UNNH0010_SQL_IRAI_KBN">#REF!</definedName>
    <definedName name="UNNH0010_SQL_JOKEN_COPY_MOTO">#REF!</definedName>
    <definedName name="UNNH0010_SQL_JOKEN_COPY_SAKI">#REF!</definedName>
    <definedName name="UNNH0010_SQL_JURI_NO_END">#REF!</definedName>
    <definedName name="UNNH0010_SQL_JURI_NO_SEARCH">#REF!</definedName>
    <definedName name="UNNH0010_SQL_JURI_NO_START">#REF!</definedName>
    <definedName name="UNNH0010_SQL_MIKEIJO_FLG">#REF!</definedName>
    <definedName name="UNNH0010_SQL_MITSU_NO_END">#REF!</definedName>
    <definedName name="UNNH0010_SQL_MITSU_NO_SEARCH">#REF!</definedName>
    <definedName name="UNNH0010_SQL_MITSU_NO_START">#REF!</definedName>
    <definedName name="UNNH0010_SQL_NOHIN_DATE_END">#REF!</definedName>
    <definedName name="UNNH0010_SQL_NOHIN_DATE_START">#REF!</definedName>
    <definedName name="UNNH0010_SQL_NYURYOKU_DATE_END">#REF!</definedName>
    <definedName name="UNNH0010_SQL_NYURYOKU_DATE_START">#REF!</definedName>
    <definedName name="UNNH0010_SQL_NYURYOKUSHA_CD">#REF!</definedName>
    <definedName name="UNNH0010_SQL_PRINT_URIAGE_JUCHU_LIST">#REF!</definedName>
    <definedName name="UNNH0010_SQL_SEIKYUSAKI_CD">#REF!</definedName>
    <definedName name="UNNH0010_SQL_SELECT_CNT">#REF!</definedName>
    <definedName name="UNNH0010_SQL_SELECT_INIT_SORT">#REF!</definedName>
    <definedName name="UNNH0010_SQL_SELECT_SORT">#REF!</definedName>
    <definedName name="UNNH0010_SQL_SELECT_URIAGE_JUCHU_LIST">#REF!</definedName>
    <definedName name="UNNH0010_SQL_SELECT_URIAGE_JUCHU_LIST_CNT">#REF!</definedName>
    <definedName name="UNNH0010_SQL_SELECT_W_URIAGE_JUCHU">#REF!</definedName>
    <definedName name="UNNH0010_SQL_SHOHIN_CD">#REF!</definedName>
    <definedName name="UNNH0010_SQL_SHOHIN_KBN">#REF!</definedName>
    <definedName name="UNNH0010_SQL_SORT">#REF!</definedName>
    <definedName name="UNNH0010_SQL_SP_CLEAR">#REF!</definedName>
    <definedName name="UNNH0010_SQL_SP_LOAD">#REF!</definedName>
    <definedName name="UNNH0020_B_ALL_PAGE_SU">#REF!</definedName>
    <definedName name="UNNH0020_B_ATENA">#REF!</definedName>
    <definedName name="UNNH0020_B_BUNSEKI_HOHO">#REF!</definedName>
    <definedName name="UNNH0020_B_BUSHO_CD">#REF!</definedName>
    <definedName name="UNNH0020_B_BUSHO_MEI">#REF!</definedName>
    <definedName name="UNNH0020_B_COPY_SAKI">#REF!</definedName>
    <definedName name="UNNH0020_B_CTRL_HYOJI_GYO_SU">#REF!</definedName>
    <definedName name="UNNH0020_B_DEL">#REF!</definedName>
    <definedName name="UNNH0020_B_DEL_FLG">#REF!</definedName>
    <definedName name="UNNH0020_B_DEMPYO_KBN">#REF!</definedName>
    <definedName name="UNNH0020_B_DEMPYO_KBN_MEI">#REF!</definedName>
    <definedName name="UNNH0020_B_EIGYO_TANTO_CD">#REF!</definedName>
    <definedName name="UNNH0020_B_EIGYO_TANTO_MEI">#REF!</definedName>
    <definedName name="UNNH0020_B_EXIST_NEXT_PAGE">#REF!</definedName>
    <definedName name="UNNH0020_B_EXIST_PREV_PAGE">#REF!</definedName>
    <definedName name="UNNH0020_B_FORMAT_COPY_FLG">#REF!</definedName>
    <definedName name="UNNH0020_B_FREEWD">#REF!</definedName>
    <definedName name="UNNH0020_B_HIDE_COLUMN">#REF!</definedName>
    <definedName name="UNNH0020_B_HIDE_ROW">#REF!</definedName>
    <definedName name="UNNH0020_B_HYOJI_KENSU">#REF!</definedName>
    <definedName name="UNNH0020_B_JURI_NO">#REF!</definedName>
    <definedName name="UNNH0020_B_KAISHU_DATE">#REF!</definedName>
    <definedName name="UNNH0020_B_KENSAKU_KENSU">#REF!</definedName>
    <definedName name="UNNH0020_B_LIST_CLEAR">#REF!</definedName>
    <definedName name="UNNH0020_B_LIST_START">#REF!</definedName>
    <definedName name="UNNH0020_B_NEXT_PAGE_NO">#REF!</definedName>
    <definedName name="UNNH0020_B_NOHIN_DATE">#REF!</definedName>
    <definedName name="UNNH0020_B_NYURYOKU_DATE_TIME">#REF!</definedName>
    <definedName name="UNNH0020_B_NYURYOKUSHA_CD">#REF!</definedName>
    <definedName name="UNNH0020_B_NYURYOKUSHA_MEI">#REF!</definedName>
    <definedName name="UNNH0020_B_PAGE_NO">#REF!</definedName>
    <definedName name="UNNH0020_B_PREV_PAGE_NO">#REF!</definedName>
    <definedName name="UNNH0020_B_RENDO_KBN">#REF!</definedName>
    <definedName name="UNNH0020_B_RENDO_KBN_MEI">#REF!</definedName>
    <definedName name="UNNH0020_B_SAKI_URIAGE_NO">#REF!</definedName>
    <definedName name="UNNH0020_B_SCROLL_LOCK">#REF!</definedName>
    <definedName name="UNNH0020_B_SEIKYU_CD">#REF!</definedName>
    <definedName name="UNNH0020_B_SEIKYU_MEI">#REF!</definedName>
    <definedName name="UNNH0020_B_SELECT_GYO_NO">#REF!</definedName>
    <definedName name="UNNH0020_B_SELECT_URIAGE_NO">#REF!</definedName>
    <definedName name="UNNH0020_B_SENTAKU">#REF!</definedName>
    <definedName name="UNNH0020_B_SHOKON_NO">#REF!</definedName>
    <definedName name="UNNH0020_B_SHOKON_RENDO_DATE_TIME">#REF!</definedName>
    <definedName name="UNNH0020_B_STS">#REF!</definedName>
    <definedName name="UNNH0020_B_URIAGE_DATE">#REF!</definedName>
    <definedName name="UNNH0020_B_URIAGE_NO">#REF!</definedName>
    <definedName name="UNNH0020_B_URIAGE_STS">#REF!</definedName>
    <definedName name="UNNH0020_B_VIEW_CURRENT_PAGE">#REF!</definedName>
    <definedName name="UNNH0020_H_AKA_KBN">#REF!</definedName>
    <definedName name="UNNH0020_H_BUNSEKI_HOHO">#REF!</definedName>
    <definedName name="UNNH0020_H_BUSHO_CD">#REF!</definedName>
    <definedName name="UNNH0020_H_BUSHO_MEI">#REF!</definedName>
    <definedName name="UNNH0020_H_DEL_HYOJI_FLG">#REF!</definedName>
    <definedName name="UNNH0020_H_EIGYO_TANTO_CD">#REF!</definedName>
    <definedName name="UNNH0020_H_EIGYO_TANTO_MEI">#REF!</definedName>
    <definedName name="UNNH0020_H_FORM_UPPER_LEFT">#REF!</definedName>
    <definedName name="UNNH0020_H_FREEWD_1">#REF!</definedName>
    <definedName name="UNNH0020_H_FREEWD_2">#REF!</definedName>
    <definedName name="UNNH0020_H_FREEWD_3">#REF!</definedName>
    <definedName name="UNNH0020_H_FREEWD_KBN">#REF!</definedName>
    <definedName name="UNNH0020_H_HAKKOSUMI_STS">#REF!</definedName>
    <definedName name="UNNH0020_H_HIDE_COLUMN">#REF!</definedName>
    <definedName name="UNNH0020_H_HIDE_ROW">#REF!</definedName>
    <definedName name="UNNH0020_H_INIT_HEADER_COPY_SAKI">#REF!</definedName>
    <definedName name="UNNH0020_H_INIT_HEADER_FLG_COPY_SAKI">#REF!</definedName>
    <definedName name="UNNH0020_H_JURI_NO_END">#REF!</definedName>
    <definedName name="UNNH0020_H_JURI_NO_END_NUM">#REF!</definedName>
    <definedName name="UNNH0020_H_JURI_NO_MAX">#REF!</definedName>
    <definedName name="UNNH0020_H_JURI_NO_MIN">#REF!</definedName>
    <definedName name="UNNH0020_H_JURI_NO_START">#REF!</definedName>
    <definedName name="UNNH0020_H_JURI_NO_START_NUM">#REF!</definedName>
    <definedName name="UNNH0020_H_KAISHU_DATE_END">#REF!</definedName>
    <definedName name="UNNH0020_H_KAISHU_DATE_START">#REF!</definedName>
    <definedName name="UNNH0020_H_KETSUGO_KBN">#REF!</definedName>
    <definedName name="UNNH0020_H_KURO_KBN">#REF!</definedName>
    <definedName name="UNNH0020_H_MIHAKKO_STS">#REF!</definedName>
    <definedName name="UNNH0020_H_NOHIN_DATE_END">#REF!</definedName>
    <definedName name="UNNH0020_H_NOHIN_DATE_START">#REF!</definedName>
    <definedName name="UNNH0020_H_NYURYOKU_DATE_END">#REF!</definedName>
    <definedName name="UNNH0020_H_NYURYOKU_DATE_START">#REF!</definedName>
    <definedName name="UNNH0020_H_NYURYOKUSHA_CD">#REF!</definedName>
    <definedName name="UNNH0020_H_NYURYOKUSHA_MEI">#REF!</definedName>
    <definedName name="UNNH0020_H_RENDO_FUYO_KBN">#REF!</definedName>
    <definedName name="UNNH0020_H_RENDO_MI_KBN">#REF!</definedName>
    <definedName name="UNNH0020_H_RENDO_SUMI_KBN">#REF!</definedName>
    <definedName name="UNNH0020_H_SAIHAKKOSUMI_STS">#REF!</definedName>
    <definedName name="UNNH0020_H_SAKI_URIAGE_NO">#REF!</definedName>
    <definedName name="UNNH0020_H_SEIKYUSAKI_CD">#REF!</definedName>
    <definedName name="UNNH0020_H_SEIKYUSAKI_MEI">#REF!</definedName>
    <definedName name="UNNH0020_H_SHOHIN_CD">#REF!</definedName>
    <definedName name="UNNH0020_H_SHOHIN_MEI">#REF!</definedName>
    <definedName name="UNNH0020_H_TEISEI_KBN">#REF!</definedName>
    <definedName name="UNNH0020_H_TSUJO_KBN">#REF!</definedName>
    <definedName name="UNNH0020_H_URIAGE_DATE_END">#REF!</definedName>
    <definedName name="UNNH0020_H_URIAGE_DATE_START">#REF!</definedName>
    <definedName name="UNNH0020_H_URIAGE_LINK_STS">#REF!</definedName>
    <definedName name="UNNH0020_H_URIAGE_NO_END">#REF!</definedName>
    <definedName name="UNNH0020_H_URIAGE_NO_END_NUM">#REF!</definedName>
    <definedName name="UNNH0020_H_URIAGE_NO_MAX">#REF!</definedName>
    <definedName name="UNNH0020_H_URIAGE_NO_MIN">#REF!</definedName>
    <definedName name="UNNH0020_H_URIAGE_NO_START">#REF!</definedName>
    <definedName name="UNNH0020_H_URIAGE_NO_START_NUM">#REF!</definedName>
    <definedName name="UNNH0020_IF_ACTIVE_CELL_NAME">#REF!</definedName>
    <definedName name="UNNH0020_IF_ACTIVE_COLUMN">#REF!</definedName>
    <definedName name="UNNH0020_IF_ACTIVE_ROW">#REF!</definedName>
    <definedName name="UNNH0020_IF_ACTIVE_SHEET">#REF!</definedName>
    <definedName name="UNNH0020_IF_B_LIST_COPY_MOTO">#REF!</definedName>
    <definedName name="UNNH0020_IF_B_LIST_DEFAULT">#REF!</definedName>
    <definedName name="UNNH0020_IF_DATA_SEARCH_FLG">#REF!</definedName>
    <definedName name="UNNH0020_IF_EXCEL_FILE_NAME">#REF!</definedName>
    <definedName name="UNNH0020_IF_INIT_HEADER_COPY_MOTO">#REF!</definedName>
    <definedName name="UNNH0020_IF_INIT_HEADER_FLG_COPY_MOTO">#REF!</definedName>
    <definedName name="UNNH0020_IF_PRINT_COPY_MOTO">#REF!</definedName>
    <definedName name="UNNH0020_IF_PRINT_COPY_SAKI">#REF!</definedName>
    <definedName name="UNNH0020_IF_PRINT_KENSAKU_KENSU">#REF!</definedName>
    <definedName name="UNNH0020_IF_PRINT_LIST_START">#REF!</definedName>
    <definedName name="UNNH0020_IF_PRINT_STS">#REF!</definedName>
    <definedName name="UNNH0020_REPORT_IF_KENSU">#REF!</definedName>
    <definedName name="UNNH0020_REPORT_IF_PRINT_AREA">#REF!</definedName>
    <definedName name="UNNH0020_REPORT_IF_SHOSHIKI_COPY_MOTO">#REF!</definedName>
    <definedName name="UNNH0020_REPORT_IF_SHOSHIKI_COPY_SAKI">#REF!</definedName>
    <definedName name="UNNH0020_REPORT_IF_TAX_RATE">#REF!</definedName>
    <definedName name="UNNH0020_REPORT_PRINT_START">#REF!</definedName>
    <definedName name="UNNH0020_REPORT_SHOHIN_MEI">#REF!</definedName>
    <definedName name="UNNH0020_REPORT_START">#REF!</definedName>
    <definedName name="UNNH0020_REPORT_TAX">#REF!</definedName>
    <definedName name="UNNH0020_REPORT_URIAGE_DATE">#REF!</definedName>
    <definedName name="UNNH0020_SQL_AKA_KBN">#REF!</definedName>
    <definedName name="UNNH0020_SQL_BUNSEKI_HOHO">#REF!</definedName>
    <definedName name="UNNH0020_SQL_BUSHO_CD">#REF!</definedName>
    <definedName name="UNNH0020_SQL_DEL_HYOJI_FLG">#REF!</definedName>
    <definedName name="UNNH0020_SQL_EIGYO_TANTO_CD">#REF!</definedName>
    <definedName name="UNNH0020_SQL_FREEWD_1">#REF!</definedName>
    <definedName name="UNNH0020_SQL_FREEWD_2">#REF!</definedName>
    <definedName name="UNNH0020_SQL_FREEWD_3">#REF!</definedName>
    <definedName name="UNNH0020_SQL_FREEWD_KBN">#REF!</definedName>
    <definedName name="UNNH0020_SQL_FREEWORD1">#REF!</definedName>
    <definedName name="UNNH0020_SQL_FREEWORD2">#REF!</definedName>
    <definedName name="UNNH0020_SQL_FREEWORD3">#REF!</definedName>
    <definedName name="UNNH0020_SQL_HAKKOSUMI_STS">#REF!</definedName>
    <definedName name="UNNH0020_SQL_INIT_SORT">#REF!</definedName>
    <definedName name="UNNH0020_SQL_JOKEN_COPU_SAKI">#REF!</definedName>
    <definedName name="UNNH0020_SQL_JOKEN_COPY_MOTO">#REF!</definedName>
    <definedName name="UNNH0020_SQL_JUCHU_LIST">#REF!</definedName>
    <definedName name="UNNH0020_SQL_JURI_NO_END">#REF!</definedName>
    <definedName name="UNNH0020_SQL_JURI_NO_SEARCH">#REF!</definedName>
    <definedName name="UNNH0020_SQL_JURI_NO_START">#REF!</definedName>
    <definedName name="UNNH0020_SQL_KAISHU_DATE_END">#REF!</definedName>
    <definedName name="UNNH0020_SQL_KAISHU_DATE_START">#REF!</definedName>
    <definedName name="UNNH0020_SQL_KETSUGO_KBN">#REF!</definedName>
    <definedName name="UNNH0020_SQL_KURO_KBN">#REF!</definedName>
    <definedName name="UNNH0020_SQL_MIHAKKO_STS">#REF!</definedName>
    <definedName name="UNNH0020_SQL_MITSU_NO_SEARCH">#REF!</definedName>
    <definedName name="UNNH0020_SQL_NOHIN_DATE_END">#REF!</definedName>
    <definedName name="UNNH0020_SQL_NOHIN_DATE_START">#REF!</definedName>
    <definedName name="UNNH0020_SQL_NYURYOKU_DATE_END">#REF!</definedName>
    <definedName name="UNNH0020_SQL_NYURYOKU_DATE_START">#REF!</definedName>
    <definedName name="UNNH0020_SQL_NYURYOKUSHA_CD">#REF!</definedName>
    <definedName name="UNNH0020_SQL_PRINT_URIAGE_LIST">#REF!</definedName>
    <definedName name="UNNH0020_SQL_RENDO_FUYO_KBN">#REF!</definedName>
    <definedName name="UNNH0020_SQL_RENDO_MI_KBN">#REF!</definedName>
    <definedName name="UNNH0020_SQL_RENDO_SUMI_KBN">#REF!</definedName>
    <definedName name="UNNH0020_SQL_RESULT_SORT">#REF!</definedName>
    <definedName name="UNNH0020_SQL_SAIHAKKOSUMI_STS">#REF!</definedName>
    <definedName name="UNNH0020_SQL_SAKI_URIAGE_NO">#REF!</definedName>
    <definedName name="UNNH0020_SQL_SAKI_URIAGE_NO_SEARCH">#REF!</definedName>
    <definedName name="UNNH0020_SQL_SEIKYUSAKI_CD">#REF!</definedName>
    <definedName name="UNNH0020_SQL_SELECT_MERGE_MOTO">#REF!</definedName>
    <definedName name="UNNH0020_SQL_SELECT_URIAGE_LIST">#REF!</definedName>
    <definedName name="UNNH0020_SQL_SELECT_URIAGE_LIST_CNT">#REF!</definedName>
    <definedName name="UNNH0020_SQL_SHOHIN_CD">#REF!</definedName>
    <definedName name="UNNH0020_SQL_SORT">#REF!</definedName>
    <definedName name="UNNH0020_SQL_TEISEI_KBN">#REF!</definedName>
    <definedName name="UNNH0020_SQL_TSUJO_KBN">#REF!</definedName>
    <definedName name="UNNH0020_SQL_URIAGE_DATE_END">#REF!</definedName>
    <definedName name="UNNH0020_SQL_URIAGE_DATE_START">#REF!</definedName>
    <definedName name="UNNH0020_SQL_URIAGE_LINK_STS">#REF!</definedName>
    <definedName name="UNNH0020_SQL_URIAGE_NO_END">#REF!</definedName>
    <definedName name="UNNH0020_SQL_URIAGE_NO_START">#REF!</definedName>
    <definedName name="UNNH0020_SQL_URIAGE_REPORT">#REF!</definedName>
    <definedName name="UNNH0020_SQL_URIAGE_SERCH">#REF!</definedName>
    <definedName name="UNNH0030_B_ARARIEKI">UNNH0030_B!$Z$22</definedName>
    <definedName name="UNNH0030_B_ARARIRITSU">UNNH0030_B!$Y$22</definedName>
    <definedName name="UNNH0030_B_BAIKA_TENKAI">UNNH0030_B!$D$36</definedName>
    <definedName name="UNNH0030_B_BARA_TANI">UNNH0030_B!$W$22</definedName>
    <definedName name="UNNH0030_B_BARA_TANI_TENKAI">UNNH0030_B!$D$41</definedName>
    <definedName name="UNNH0030_B_COPY_GYO_SUSHIKI">UNNH0030_B!$D$45</definedName>
    <definedName name="UNNH0030_B_GENKA_KINGAKU">UNNH0030_B!$X$22</definedName>
    <definedName name="UNNH0030_B_GENKA_SURYO">UNNH0030_B!$T$22</definedName>
    <definedName name="UNNH0030_B_GENKA_TENKAI">UNNH0030_B!$D$35</definedName>
    <definedName name="UNNH0030_B_GENTANKA">UNNH0030_B!$R$22</definedName>
    <definedName name="UNNH0030_B_GYO">UNNH0030_B!$G$22</definedName>
    <definedName name="UNNH0030_B_GYO_COUNT">UNNH0030_B!$D$29</definedName>
    <definedName name="UNNH0030_B_GYO_DECREMENT">UNNH0030_B!$D$31</definedName>
    <definedName name="UNNH0030_B_GYO_INCREMENT">UNNH0030_B!$D$30</definedName>
    <definedName name="UNNH0030_B_HAMBAI_KINGAKU">UNNH0030_B!$O$22</definedName>
    <definedName name="UNNH0030_B_HAMBAI_TANKA">UNNH0030_B!$N$22</definedName>
    <definedName name="UNNH0030_B_HIDE_COLUMN">UNNH0030_B!$D$23</definedName>
    <definedName name="UNNH0030_B_HIDE_ROW">UNNH0030_B!$D$22</definedName>
    <definedName name="UNNH0030_B_IRISU">UNNH0030_B!$S$22</definedName>
    <definedName name="UNNH0030_B_IRISU_TANI">UNNH0030_B!$U$22</definedName>
    <definedName name="UNNH0030_B_IRISU_TANI_TENKAI">UNNH0030_B!$D$38</definedName>
    <definedName name="UNNH0030_B_LIST_CLEAR_AREA">UNNH0030_B!$D$46</definedName>
    <definedName name="UNNH0030_B_LIST_DELETE_AREA">UNNH0030_B!$D$49</definedName>
    <definedName name="UNNH0030_B_LIST_INSERT_AREA">UNNH0030_B!$D$48</definedName>
    <definedName name="UNNH0030_B_LIST_INSERT_COPY_AREA">UNNH0030_B!$D$44</definedName>
    <definedName name="UNNH0030_B_LIST_INSERT_TYPE">UNNH0030_B!$D$43</definedName>
    <definedName name="UNNH0030_B_LIST_START">UNNH0030_B!$D$27</definedName>
    <definedName name="UNNH0030_B_MULTI_SELECT_COPY_SAKI">UNNH0030_B!$D$51</definedName>
    <definedName name="UNNH0030_B_ROW_KBN">UNNH0030_B!$H$22</definedName>
    <definedName name="UNNH0030_B_SCROLL_LOCK">UNNH0030_B!$D$25</definedName>
    <definedName name="UNNH0030_B_SHIIRE_IRISU_TENKAI">UNNH0030_B!$D$39</definedName>
    <definedName name="UNNH0030_B_SHIIRE_TANI_TENKAI">UNNH0030_B!$D$40</definedName>
    <definedName name="UNNH0030_B_SHOHIN_CD">UNNH0030_B!$J$22</definedName>
    <definedName name="UNNH0030_B_SHOHIN_CD_TENKAI">UNNH0030_B!$D$33</definedName>
    <definedName name="UNNH0030_B_SHOHIN_MEI">UNNH0030_B!$K$22</definedName>
    <definedName name="UNNH0030_B_SHOHIN_MEI_TENKAI">UNNH0030_B!$D$34</definedName>
    <definedName name="UNNH0030_B_SOSU">UNNH0030_B!$V$22</definedName>
    <definedName name="UNNH0030_B_SURYO">UNNH0030_B!$L$22</definedName>
    <definedName name="UNNH0030_B_TANI">UNNH0030_B!$M$22</definedName>
    <definedName name="UNNH0030_B_TAX">UNNH0030_B!$I$22</definedName>
    <definedName name="UNNH0030_B_TEIKA">UNNH0030_B!$Q$22</definedName>
    <definedName name="UNNH0030_B_TEIKA_TENKAI">UNNH0030_B!$D$37</definedName>
    <definedName name="UNNH0030_B_TEKIYO">UNNH0030_B!$P$22</definedName>
    <definedName name="UNNH0030_H_ARARIEKI">UNNH0030_H!$N$19</definedName>
    <definedName name="UNNH0030_H_BIKO">UNNH0030_H!$Q$17</definedName>
    <definedName name="UNNH0030_H_BUNSEKI_HOHO">UNNH0030_H!$O$9</definedName>
    <definedName name="UNNH0030_H_BUSHO_CD">UNNH0030_H!$D$11</definedName>
    <definedName name="UNNH0030_H_BUSHO_MEI">UNNH0030_H!$L$3</definedName>
    <definedName name="UNNH0030_H_CHUKI">UNNH0030_H!$I$8</definedName>
    <definedName name="UNNH0030_H_CLEAR_AREA">UNNH0030_H!$D$11:$D$19</definedName>
    <definedName name="UNNH0030_H_COPY_SAKI">UNNH0030_H!$I$3:$R$19</definedName>
    <definedName name="UNNH0030_H_DEMPYO_KBN">UNNH0030_H!$R$7</definedName>
    <definedName name="UNNH0030_H_DEMPYO_KBN_CD">UNNH0030_H!$D$21</definedName>
    <definedName name="UNNH0030_H_DEMPYO_MEI">UNNH0030_H!$I$13</definedName>
    <definedName name="UNNH0030_H_DENKU">UNNH0030_H!$O$7</definedName>
    <definedName name="UNNH0030_H_DENKU_CD">UNNH0030_H!$D$22</definedName>
    <definedName name="UNNH0030_H_DOJI_FLG">UNNH0030_H!$D$7</definedName>
    <definedName name="UNNH0030_H_EIGYO_TANTO_CD">UNNH0030_H!$D$13</definedName>
    <definedName name="UNNH0030_H_EIGYO_TANTO_MEI">UNNH0030_H!$R$3</definedName>
    <definedName name="UNNH0030_H_FLG_COPY_SAKI">UNNH0030_H!$D$7:$D$8</definedName>
    <definedName name="UNNH0030_H_GENKA_TOTAL">UNNH0030_H!$M$19</definedName>
    <definedName name="UNNH0030_H_HIDE_COLUMN">UNNH0030_H!$D$3</definedName>
    <definedName name="UNNH0030_H_HIDE_ROW">UNNH0030_H!$D$2</definedName>
    <definedName name="UNNH0030_H_JUCHU_KBN_CD">UNNH0030_H!$D$16</definedName>
    <definedName name="UNNH0030_H_JURI_NO">UNNH0030_H!$O$3</definedName>
    <definedName name="UNNH0030_H_JURI_NO_CNT">UNNH0030_H!$D$35</definedName>
    <definedName name="UNNH0030_H_JUSHO_NO_PRINT_FLG">UNNH0030_H!$D$8</definedName>
    <definedName name="UNNH0030_H_KAISHU_DATE">UNNH0030_H!$R$4</definedName>
    <definedName name="UNNH0030_H_KANJO_KAMOKU">UNNH0030_H!$O$8</definedName>
    <definedName name="UNNH0030_H_KANJO_KAMOKU_CD">UNNH0030_H!$D$23</definedName>
    <definedName name="UNNH0030_H_KEISHO">UNNH0030_H!$L$13</definedName>
    <definedName name="UNNH0030_H_KOMI_TOTAL">UNNH0030_H!$L$19</definedName>
    <definedName name="UNNH0030_H_MITSU_NO">UNNH0030_H!$O$4</definedName>
    <definedName name="UNNH0030_H_NOHIN_DATE">UNNH0030_H!$C$33</definedName>
    <definedName name="UNNH0030_H_NUKI_TOTAL">UNNH0030_H!$J$19</definedName>
    <definedName name="UNNH0030_H_NYURYOKU_DATETIME">UNNH0030_H!$L$5</definedName>
    <definedName name="UNNH0030_H_NYURYOKUSHA_CD">UNNH0030_H!$D$12</definedName>
    <definedName name="UNNH0030_H_NYURYOKUSHA_MEI">UNNH0030_H!$L$4</definedName>
    <definedName name="UNNH0030_H_PAGE_NEXT">UNNH0030_H!$D$31</definedName>
    <definedName name="UNNH0030_H_PAGE_NO">UNNH0030_H!$D$29</definedName>
    <definedName name="UNNH0030_H_PAGE_PREV">UNNH0030_H!$D$30</definedName>
    <definedName name="UNNH0030_H_PAGE_TOTAL">UNNH0030_H!$D$28</definedName>
    <definedName name="UNNH0030_H_RENDO_KBN">UNNH0030_H!$R$8</definedName>
    <definedName name="UNNH0030_H_RENDO_KBN_CD">UNNH0030_H!$D$20</definedName>
    <definedName name="UNNH0030_H_RIEKI_RATE">UNNH0030_H!$O$19</definedName>
    <definedName name="UNNH0030_H_SAKI_URIAGE_NO">UNNH0030_H!$O$5</definedName>
    <definedName name="UNNH0030_H_SEIKYUSAKI_CD">UNNH0030_H!$I$7</definedName>
    <definedName name="UNNH0030_H_SEIKYUSAKI_HASU">UNNH0030_H!$D$17</definedName>
    <definedName name="UNNH0030_H_SEIKYUSAKI_MEI">UNNH0030_H!$D$15</definedName>
    <definedName name="UNNH0030_H_SEIKYUSAKI_MEI_HYOJI">UNNH0030_H!$J$7</definedName>
    <definedName name="UNNH0030_H_SHOKON_LIST_DATE_TIME">UNNH0030_H!$D$19</definedName>
    <definedName name="UNNH0030_H_SHOKON_NO">UNNH0030_H!$I$5</definedName>
    <definedName name="UNNH0030_H_SOFU_FAX">UNNH0030_H!$Q$15</definedName>
    <definedName name="UNNH0030_H_SOFU_JUSHO_1">UNNH0030_H!$I$16</definedName>
    <definedName name="UNNH0030_H_SOFU_JUSHO_2">UNNH0030_H!$I$17</definedName>
    <definedName name="UNNH0030_H_SOFU_TANTOSHA_MEI">UNNH0030_H!$I$14</definedName>
    <definedName name="UNNH0030_H_SOFU_TEL">UNNH0030_H!$Q$14</definedName>
    <definedName name="UNNH0030_H_SOFU_YUBIN">UNNH0030_H!$I$15</definedName>
    <definedName name="UNNH0030_H_STS">UNNH0030_H!$R$5</definedName>
    <definedName name="UNNH0030_H_STS_CD">UNNH0030_H!$D$14</definedName>
    <definedName name="UNNH0030_H_TAX">UNNH0030_H!$K$19</definedName>
    <definedName name="UNNH0030_H_TAX_KBN">UNNH0030_H!$D$18</definedName>
    <definedName name="UNNH0030_H_TAX_RATE">UNNH0030_H!$D$25</definedName>
    <definedName name="UNNH0030_H_TEKIYO">UNNH0030_H!$O$10</definedName>
    <definedName name="UNNH0030_H_URIAGE_DATE">UNNH0030_H!$I$3</definedName>
    <definedName name="UNNH0030_H_URIAGE_NO">UNNH0030_H!$I$4</definedName>
    <definedName name="UNNH0030_HIKAE_PAGE_AREA">#REF!</definedName>
    <definedName name="UNNH0030_IF_ACTIVE_CELL_NAME">UNNH0030_IF!$D$46</definedName>
    <definedName name="UNNH0030_IF_ACTIVE_COLUMN">UNNH0030_IF!$D$44</definedName>
    <definedName name="UNNH0030_IF_ACTIVE_ROW">UNNH0030_IF!$D$43</definedName>
    <definedName name="UNNH0030_IF_ACTIVE_SHEET">UNNH0030_IF!$D$42</definedName>
    <definedName name="UNNH0030_IF_BUTTON_03_HYOJI">UNNH0030_IF!$D$57</definedName>
    <definedName name="UNNH0030_IF_BUTTON_04_HYOJI">UNNH0030_IF!$D$58</definedName>
    <definedName name="UNNH0030_IF_BUTTON_05_HYOJI">UNNH0030_IF!$D$59</definedName>
    <definedName name="UNNH0030_IF_BUTTON_06_HYOJI">UNNH0030_IF!$D$60</definedName>
    <definedName name="UNNH0030_IF_BUTTON_06_NAME">UNNH0030_IF!$D$49</definedName>
    <definedName name="UNNH0030_IF_BUTTON_07_HYOJI">UNNH0030_IF!$D$61</definedName>
    <definedName name="UNNH0030_IF_BUTTON_08_HYOJI">UNNH0030_IF!$D$62</definedName>
    <definedName name="UNNH0030_IF_BUTTON_09_HYOJI">UNNH0030_IF!$D$63</definedName>
    <definedName name="UNNH0030_IF_BUTTON_10_HYOJI">UNNH0030_IF!$D$64</definedName>
    <definedName name="UNNH0030_IF_BUTTON_10_NAME">UNNH0030_IF!$D$50</definedName>
    <definedName name="UNNH0030_IF_BUTTON_11_HYOJI">UNNH0030_IF!$D$65</definedName>
    <definedName name="UNNH0030_IF_BUTTON_12_HYOJI">UNNH0030_IF!$D$66</definedName>
    <definedName name="UNNH0030_IF_BUTTON_13_HYOJI">UNNH0030_IF!$D$67</definedName>
    <definedName name="UNNH0030_IF_BUTTON_14_ERROR">UNNH0030_IF!$D$78</definedName>
    <definedName name="UNNH0030_IF_BUTTON_14_HYOJI">UNNH0030_IF!$D$68</definedName>
    <definedName name="UNNH0030_IF_BUTTON_15_HYOJI">UNNH0030_IF!$D$69</definedName>
    <definedName name="UNNH0030_IF_BUTTON_16_HYOJI">UNNH0030_IF!$D$70</definedName>
    <definedName name="UNNH0030_IF_BUTTON_17_HYOJI">UNNH0030_IF!$D$71</definedName>
    <definedName name="UNNH0030_IF_BUTTON_17_NAME">UNNH0030_IF!$D$51</definedName>
    <definedName name="UNNH0030_IF_BUTTON_18_HYOJI">UNNH0030_IF!$D$72</definedName>
    <definedName name="UNNH0030_IF_BUTTON_19_HYOJI">UNNH0030_IF!$D$73</definedName>
    <definedName name="UNNH0030_IF_BUTTON_20_HYOJI">UNNH0030_IF!$D$74</definedName>
    <definedName name="UNNH0030_IF_COPY_B_COMMENT_SANSHO">UNNH0030_IF!$BB$32:$BU$32</definedName>
    <definedName name="UNNH0030_IF_COPY_B_COMMENT_SHINKI">UNNH0030_IF!$BB$8:$BU$8</definedName>
    <definedName name="UNNH0030_IF_COPY_B_COMMENT_SHUSEI">UNNH0030_IF!$BB$20:$BU$20</definedName>
    <definedName name="UNNH0030_IF_COPY_B_GYO_SUSHIKI">UNNH0030_IF!$BB$5</definedName>
    <definedName name="UNNH0030_IF_COPY_B_LIST_CLEAR">UNNH0030_IF!$BB$40:$BU$40</definedName>
    <definedName name="UNNH0030_IF_COPY_B_MEISAI_ARARI_SUSHIKI">UNNH0030_IF!$BS$5:$BU$5</definedName>
    <definedName name="UNNH0030_IF_COPY_B_MEISAI_KINGAKU_SUSHIKI">UNNH0030_IF!$BJ$5</definedName>
    <definedName name="UNNH0030_IF_COPY_B_MEISAI_SANSHO">UNNH0030_IF!$BB$29:$BU$29</definedName>
    <definedName name="UNNH0030_IF_COPY_B_MEISAI_SHINKI">UNNH0030_IF!$BB$5:$BU$5</definedName>
    <definedName name="UNNH0030_IF_COPY_B_MEISAI_SHUSEI">UNNH0030_IF!$BB$17:$BU$17</definedName>
    <definedName name="UNNH0030_IF_COPY_B_MEISAI_TAX_SUSHIKI">UNNH0030_IF!$BD$5</definedName>
    <definedName name="UNNH0030_IF_COPY_B_MEISAI_TOTAL_SUSHIKI">UNNH0030_IF!$BQ$5</definedName>
    <definedName name="UNNH0030_IF_COPY_B_NEBIKI_DIR_SANSHO">UNNH0030_IF!$BB$35:$BU$35</definedName>
    <definedName name="UNNH0030_IF_COPY_B_NEBIKI_DIR_SHINKI">UNNH0030_IF!$BB$11:$BU$11</definedName>
    <definedName name="UNNH0030_IF_COPY_B_NEBIKI_DIR_SHUSEI">UNNH0030_IF!$BB$23:$BU$23</definedName>
    <definedName name="UNNH0030_IF_COPY_H_DEMPYO_KBN">UNNH0030_IF!$AU$4</definedName>
    <definedName name="UNNH0030_IF_COPY_H_DEMPYO_KBN_CHECK">UNNH0030_IF!$AU$10</definedName>
    <definedName name="UNNH0030_IF_COPY_H_INIT_DEMPYO_KBN">UNNH0030_IF!$AD$7</definedName>
    <definedName name="UNNH0030_IF_COPY_H_INIT_RENDO_KBN">UNNH0030_IF!$AD$8</definedName>
    <definedName name="UNNH0030_IF_COPY_H_JURI_NO_LOCK">UNNH0030_IF!$AU$7</definedName>
    <definedName name="UNNH0030_IF_COPY_H_JURI_NO_LOCK_CHECK">UNNH0030_IF!$AU$13</definedName>
    <definedName name="UNNH0030_IF_COPY_H_JURI_NO_UNLOCK">UNNH0030_IF!$AU$8</definedName>
    <definedName name="UNNH0030_IF_COPY_H_RENDO_KBN">UNNH0030_IF!$AU$5</definedName>
    <definedName name="UNNH0030_IF_COPY_H_RENDO_KBN_CHECK">UNNH0030_IF!$AU$11</definedName>
    <definedName name="UNNH0030_IF_COPY_H_SANSHO">UNNH0030_IF!$AH$40:$AQ$56</definedName>
    <definedName name="UNNH0030_IF_COPY_H_SHINKI">UNNH0030_IF!$AH$4:$AQ$20</definedName>
    <definedName name="UNNH0030_IF_COPY_H_SHUSEI">UNNH0030_IF!$AH$22:$AQ$38</definedName>
    <definedName name="UNNH0030_IF_COPY_H_URIAGE_DATE">UNNH0030_IF!$AD$6</definedName>
    <definedName name="UNNH0030_IF_DATA_SEARCH_FLG">UNNH0030_IF!$D$3</definedName>
    <definedName name="UNNH0030_IF_EXCEL_FILE_NAME">UNNH0030_IF!$D$81</definedName>
    <definedName name="UNNH0030_IF_FLG_COPY_MOTO">UNNH0030_IF!$AD$3:$AD$4</definedName>
    <definedName name="UNNH0030_IF_GET_KAISHU_DATE_CHECK">UNNH0030_IF!$D$18</definedName>
    <definedName name="UNNH0030_IF_INPUT_CHECK">UNNH0030_IF!$CI$26</definedName>
    <definedName name="UNNH0030_IF_INPUT_ERROR_MESSAGE">UNNH0030_IF!$CI$27</definedName>
    <definedName name="UNNH0030_IF_JUCHU_MODE">UNNH0030_IF!$D$13</definedName>
    <definedName name="UNNH0030_IF_LIST_DEMPYO_KBN">OFFSET(UNNH0030_IF_LIST_DEMPYO_KBN_START,,,IF(UNNH0030_IF_LIST_DEMPYO_KBN_KENSU=0,1,UNNH0030_IF_LIST_DEMPYO_KBN_KENSU-1),1)</definedName>
    <definedName name="UNNH0030_IF_LIST_DEMPYO_KBN_KENSU">UNNH0030_IF!$L$4</definedName>
    <definedName name="UNNH0030_IF_LIST_DEMPYO_KBN_START">UNNH0030_IF!$K$7</definedName>
    <definedName name="UNNH0030_IF_LIST_DENKU">OFFSET(UNNH0030_IF_LIST_DENKU_START,,,IF(UNNH0030_IF_LIST_DENKU_KENSU=0,1,UNNH0030_IF_LIST_DENKU_KENSU),1)</definedName>
    <definedName name="UNNH0030_IF_LIST_DENKU_KENSU">UNNH0030_IF!$U$4</definedName>
    <definedName name="UNNH0030_IF_LIST_DENKU_START">UNNH0030_IF!$T$7</definedName>
    <definedName name="UNNH0030_IF_LIST_KANJO_KAMOKU">OFFSET(UNNH0030_IF_LIST_KANJO_KAMOKU_START,,,IF(UNNH0030_IF_LIST_KANJO_KAMOKU_KENSU=0,1,UNNH0030_IF_LIST_KANJO_KAMOKU_KENSU),1)</definedName>
    <definedName name="UNNH0030_IF_LIST_KANJO_KAMOKU_KENSU">UNNH0030_IF!$X$4</definedName>
    <definedName name="UNNH0030_IF_LIST_KANJO_KAMOKU_START">UNNH0030_IF!$W$7</definedName>
    <definedName name="UNNH0030_IF_LIST_KEISHO_KBN">OFFSET(UNNH0030_IF_LIST_KEISHO_KBN_START,,,IF(UNNH0030_IF_LIST_KEISHO_KBN_KENSU=0,1,UNNH0030_IF_LIST_KEISHO_KBN_KENSU),1)</definedName>
    <definedName name="UNNH0030_IF_LIST_KEISHO_KBN_KENSU">UNNH0030_IF!$O$4</definedName>
    <definedName name="UNNH0030_IF_LIST_KEISHO_KBN_START">UNNH0030_IF!$N$7</definedName>
    <definedName name="UNNH0030_IF_LIST_RENDO_KBN">OFFSET(UNNH0030_IF_LIST_RENDO_KBN_START,,,IF(UNNH0030_IF_LIST_RENDO_KBN_KENSU=0,1,UNNH0030_IF_LIST_RENDO_KBN_KENSU-1),1)</definedName>
    <definedName name="UNNH0030_IF_LIST_RENDO_KBN_KENSU">UNNH0030_IF!$R$4</definedName>
    <definedName name="UNNH0030_IF_LIST_RENDO_KBN_START">UNNH0030_IF!$Q$7</definedName>
    <definedName name="UNNH0030_IF_MERGE_RELEASE_COMP_MSG">UNNH0030_IF!$D$38</definedName>
    <definedName name="UNNH0030_IF_MERGE_RELEASE_CONFIRM_MSG">UNNH0030_IF!$D$35</definedName>
    <definedName name="UNNH0030_IF_MERGE_RELEASE_WARNING_CHECK">UNNH0030_IF!$D$36</definedName>
    <definedName name="UNNH0030_IF_MERGE_RELEASE_WARNING_MSG">UNNH0030_IF!$D$37</definedName>
    <definedName name="UNNH0030_IF_MODE">UNNH0030_IF!$D$12</definedName>
    <definedName name="UNNH0030_IF_MOTO_URIAGE_NO">UNNH0030_IF!$D$34</definedName>
    <definedName name="UNNH0030_IF_MULTI_SELECT_CHECK">UNNH0030_IF!$FK$6</definedName>
    <definedName name="UNNH0030_IF_MULTI_SELECT_COPY_MOTO">UNNH0030_IF!$FK$17</definedName>
    <definedName name="UNNH0030_IF_MULTI_SELECT_FLG">UNNH0030_IF!$D$6</definedName>
    <definedName name="UNNH0030_IF_MULTI_SELECT_GENKA_SUSHIKI_COPY_SAKI">UNNH0030_IF!$FK$13</definedName>
    <definedName name="UNNH0030_IF_MULTI_SELECT_GYO_INCREMENT">UNNH0030_IF!$FK$7</definedName>
    <definedName name="UNNH0030_IF_MULTI_SELECT_GYO_SUSHIKI_COPY_SAKI">UNNH0030_IF!$FK$10</definedName>
    <definedName name="UNNH0030_IF_MULTI_SELECT_KENSU">UNNH0030_IF!$FK$3</definedName>
    <definedName name="UNNH0030_IF_MULTI_SELECT_KINGAKU_SUSHIKI_COPY_SAKI">UNNH0030_IF!$FK$11</definedName>
    <definedName name="UNNH0030_IF_MULTI_SELECT_LIST_ARARI_AREA">UNNH0030_IF!$GF$3:$GH$3</definedName>
    <definedName name="UNNH0030_IF_MULTI_SELECT_LIST_GYO">UNNH0030_IF!$FO$3</definedName>
    <definedName name="UNNH0030_IF_MULTI_SELECT_LIST_KINGAKU">UNNH0030_IF!$FW$3</definedName>
    <definedName name="UNNH0030_IF_MULTI_SELECT_LIST_SOSU">UNNH0030_IF!$GD$3</definedName>
    <definedName name="UNNH0030_IF_MULTI_SELECT_LIST_TAX">UNNH0030_IF!$FQ$3</definedName>
    <definedName name="UNNH0030_IF_MULTI_SELECT_SHOSHIKI_COPY_SAKI">UNNH0030_IF!$FK$9</definedName>
    <definedName name="UNNH0030_IF_MULTI_SELECT_SOSU_SUSHIKI_COPY_SAKI">UNNH0030_IF!$FK$12</definedName>
    <definedName name="UNNH0030_IF_MULTI_SELECT_TAX_SUSHIKI_COPY_SAKI">UNNH0030_IF!$FK$14</definedName>
    <definedName name="UNNH0030_IF_MULTI_SELECT_TENKAI_KENSU">UNNH0030_IF!$FK$5</definedName>
    <definedName name="UNNH0030_IF_MULTI_SELECT_TENKAI_START">UNNH0030_IF!$FO$4</definedName>
    <definedName name="UNNH0030_IF_PAGE_SAVE_CHECK">UNNH0030_IF!$D$7</definedName>
    <definedName name="UNNH0030_IF_PREVIOUS_ID">UNNH0030_IF!$D$14</definedName>
    <definedName name="UNNH0030_IF_REF_NO">UNNH0030_IF!$D$4</definedName>
    <definedName name="UNNH0030_IF_RIREKI_NO">UNNH0030_IF!$D$5</definedName>
    <definedName name="UNNH0030_IF_SAVE_ADDRESS_1">UNNH0030_IF!$DR$5</definedName>
    <definedName name="UNNH0030_IF_SAVE_ADDRESS_2">UNNH0030_IF!$DS$5</definedName>
    <definedName name="UNNH0030_IF_SAVE_ARARIEKI_B">UNNH0030_IF!$EX$5</definedName>
    <definedName name="UNNH0030_IF_SAVE_ARARIEKI_H">UNNH0030_IF!$ED$5</definedName>
    <definedName name="UNNH0030_IF_SAVE_ARARIRITSU_B">UNNH0030_IF!$EW$5</definedName>
    <definedName name="UNNH0030_IF_SAVE_ARARIRITSU_H">UNNH0030_IF!$EE$5</definedName>
    <definedName name="UNNH0030_IF_SAVE_BARA_TANI">UNNH0030_IF!$EU$5</definedName>
    <definedName name="UNNH0030_IF_SAVE_BAT_LOOP_CNT">UNNH0030_IF!$CD$44</definedName>
    <definedName name="UNNH0030_IF_SAVE_BAT_URIAGE_NO">UNNH0030_IF!$CD$45</definedName>
    <definedName name="UNNH0030_IF_SAVE_BUNSEKI_HOHO">UNNH0030_IF!$DM$5</definedName>
    <definedName name="UNNH0030_IF_SAVE_BUSHO_CD">UNNH0030_IF!$CZ$5</definedName>
    <definedName name="UNNH0030_IF_SAVE_CHECK_ERROR_KOMOKU">UNNH0030_IF!$CI$30</definedName>
    <definedName name="UNNH0030_IF_SAVE_CHECK_RESULT">UNNH0030_IF!$CH$30</definedName>
    <definedName name="UNNH0030_IF_SAVE_CHECK_START">UNNH0030_IF!$EJ$6</definedName>
    <definedName name="UNNH0030_IF_SAVE_COPY_MOTO">UNNH0030_IF!$CN$3:$FE$3</definedName>
    <definedName name="UNNH0030_IF_SAVE_COPY_SAKI">UNNH0030_IF!$CD$12</definedName>
    <definedName name="UNNH0030_IF_SAVE_COPY_START">UNNH0030_IF!$CN$6</definedName>
    <definedName name="UNNH0030_IF_SAVE_DBS_CREATE_DATE">UNNH0030_IF!$FC$5</definedName>
    <definedName name="UNNH0030_IF_SAVE_DBS_CREATE_USER">UNNH0030_IF!$FB$5</definedName>
    <definedName name="UNNH0030_IF_SAVE_DBS_STATUS">UNNH0030_IF!$FA$5</definedName>
    <definedName name="UNNH0030_IF_SAVE_DBS_UPDATE_DATE">UNNH0030_IF!$FE$5</definedName>
    <definedName name="UNNH0030_IF_SAVE_DBS_UPDATE_USER">UNNH0030_IF!$FD$5</definedName>
    <definedName name="UNNH0030_IF_SAVE_DEL_FLG">UNNH0030_IF!$EZ$5</definedName>
    <definedName name="UNNH0030_IF_SAVE_DEMPYO_KBN">UNNH0030_IF!$CU$5</definedName>
    <definedName name="UNNH0030_IF_SAVE_DEMPYO_SOFU_MEI">UNNH0030_IF!$DO$5</definedName>
    <definedName name="UNNH0030_IF_SAVE_DOJI_FLG">UNNH0030_IF!$DJ$5</definedName>
    <definedName name="UNNH0030_IF_SAVE_EIGYO_TANTO_CD">UNNH0030_IF!$DB$5</definedName>
    <definedName name="UNNH0030_IF_SAVE_ERROR_CHECK">UNNH0030_IF!$CD$39</definedName>
    <definedName name="UNNH0030_IF_SAVE_ERROR_MESSAGE">UNNH0030_IF!$CD$40</definedName>
    <definedName name="UNNH0030_IF_SAVE_FAX">UNNH0030_IF!$DU$5</definedName>
    <definedName name="UNNH0030_IF_SAVE_GENKA_KINGAKU">UNNH0030_IF!$EV$5</definedName>
    <definedName name="UNNH0030_IF_SAVE_GENKA_SURYO">UNNH0030_IF!$ER$5</definedName>
    <definedName name="UNNH0030_IF_SAVE_GENKA_TOTAL">UNNH0030_IF!$EC$5</definedName>
    <definedName name="UNNH0030_IF_SAVE_GENTANKA">UNNH0030_IF!$EQ$5</definedName>
    <definedName name="UNNH0030_IF_SAVE_GYO_NO">UNNH0030_IF!$EH$5</definedName>
    <definedName name="UNNH0030_IF_SAVE_HAMBAI_KINGAKU">UNNH0030_IF!$EO$5</definedName>
    <definedName name="UNNH0030_IF_SAVE_HAMBAI_TANKA">UNNH0030_IF!$EN$5</definedName>
    <definedName name="UNNH0030_IF_SAVE_IRISU_TANI">UNNH0030_IF!$ES$5</definedName>
    <definedName name="UNNH0030_IF_SAVE_JOGAI_GYO">UNNH0030_IF!$CN$5</definedName>
    <definedName name="UNNH0030_IF_SAVE_JUCHU_KBN">UNNH0030_IF!$DD$5</definedName>
    <definedName name="UNNH0030_IF_SAVE_JURI_NO">UNNH0030_IF!$DE$5</definedName>
    <definedName name="UNNH0030_IF_SAVE_JUSHO_NO_PRINT_FLG">UNNH0030_IF!$DX$5</definedName>
    <definedName name="UNNH0030_IF_SAVE_KAISHU_DATE">UNNH0030_IF!$DL$5</definedName>
    <definedName name="UNNH0030_IF_SAVE_KEISHO">UNNH0030_IF!$DP$5</definedName>
    <definedName name="UNNH0030_IF_SAVE_KENSU">UNNH0030_IF!$CD$13</definedName>
    <definedName name="UNNH0030_IF_SAVE_KOMI_TOTAL">UNNH0030_IF!$EB$5</definedName>
    <definedName name="UNNH0030_IF_SAVE_MITSU_NO">UNNH0030_IF!$DF$5</definedName>
    <definedName name="UNNH0030_IF_SAVE_NOHIN_DATE">UNNH0030_IF!$DH$5</definedName>
    <definedName name="UNNH0030_IF_SAVE_NUKI_TOTAL">UNNH0030_IF!$DZ$5</definedName>
    <definedName name="UNNH0030_IF_SAVE_NYURYOKU_DATE_TIME">UNNH0030_IF!$DC$5</definedName>
    <definedName name="UNNH0030_IF_SAVE_PRINT_CHECK">UNNH0030_IF!$D$17</definedName>
    <definedName name="UNNH0030_IF_SAVE_RENDO_CHECK">UNNH0030_IF!$D$8</definedName>
    <definedName name="UNNH0030_IF_SAVE_RENDO_KBN">UNNH0030_IF!$CV$5</definedName>
    <definedName name="UNNH0030_IF_SAVE_RESULT_CD">UNNH0030_IF!$CD$37</definedName>
    <definedName name="UNNH0030_IF_SAVE_RESULT_KENSU">UNNH0030_IF!$CD$34</definedName>
    <definedName name="UNNH0030_IF_SAVE_RESULT_MESSAGE">UNNH0030_IF!$CD$38</definedName>
    <definedName name="UNNH0030_IF_SAVE_RESULT_URIAGE_NO">UNNH0030_IF!$CD$36</definedName>
    <definedName name="UNNH0030_IF_SAVE_ROW_KBN">UNNH0030_IF!$EI$5</definedName>
    <definedName name="UNNH0030_IF_SAVE_SAKI_URIAGE_NO">UNNH0030_IF!$DG$5</definedName>
    <definedName name="UNNH0030_IF_SAVE_SEIKYU_CD">UNNH0030_IF!$DK$5</definedName>
    <definedName name="UNNH0030_IF_SAVE_SHOHIN_CD">UNNH0030_IF!$EJ$5</definedName>
    <definedName name="UNNH0030_IF_SAVE_SHOHIN_MEI">UNNH0030_IF!$EK$5</definedName>
    <definedName name="UNNH0030_IF_SAVE_SHOKON_LIST_DATE_TIME">UNNH0030_IF!$EG$5</definedName>
    <definedName name="UNNH0030_IF_SAVE_SHOKON_NO">UNNH0030_IF!$EF$5</definedName>
    <definedName name="UNNH0030_IF_SAVE_SOFU_TANTO">UNNH0030_IF!$DV$5</definedName>
    <definedName name="UNNH0030_IF_SAVE_SOSU">UNNH0030_IF!$ET$5</definedName>
    <definedName name="UNNH0030_IF_SAVE_START">UNNH0030_IF!$CO$6</definedName>
    <definedName name="UNNH0030_IF_SAVE_TAX">UNNH0030_IF!$EA$5</definedName>
    <definedName name="UNNH0030_IF_SAVE_TAX_RATE">UNNH0030_IF!$DY$5</definedName>
    <definedName name="UNNH0030_IF_SAVE_TEIKA">UNNH0030_IF!$EY$5</definedName>
    <definedName name="UNNH0030_IF_SAVE_TEISEI_BIKO">UNNH0030_IF!$DW$5</definedName>
    <definedName name="UNNH0030_IF_SAVE_TEKIYO_B">UNNH0030_IF!$EP$5</definedName>
    <definedName name="UNNH0030_IF_SAVE_TEKIYO_H">UNNH0030_IF!$DN$5</definedName>
    <definedName name="UNNH0030_IF_SAVE_TEL">UNNH0030_IF!$DT$5</definedName>
    <definedName name="UNNH0030_IF_SAVE_URIAGE_DATE">UNNH0030_IF!$CY$5</definedName>
    <definedName name="UNNH0030_IF_SAVE_URIAGE_NO">UNNH0030_IF!$CT$5</definedName>
    <definedName name="UNNH0030_IF_SAVE_URIAGE_NYURYOKUSHA_CD">UNNH0030_IF!$DA$5</definedName>
    <definedName name="UNNH0030_IF_SAVE_URIAGE_STS">UNNH0030_IF!$DI$5</definedName>
    <definedName name="UNNH0030_IF_SAVE_URIAGE_SURYO">UNNH0030_IF!$EL$5</definedName>
    <definedName name="UNNH0030_IF_SAVE_URIAGE_SURYO_TANI">UNNH0030_IF!$EM$5</definedName>
    <definedName name="UNNH0030_IF_SAVE_W_MODE">UNNH0030_IF!$CS$5</definedName>
    <definedName name="UNNH0030_IF_SAVE_W_PAGE">UNNH0030_IF!$CQ$5</definedName>
    <definedName name="UNNH0030_IF_SAVE_W_ROW">UNNH0030_IF!$CR$5</definedName>
    <definedName name="UNNH0030_IF_SAVE_W_SERIAL">UNNH0030_IF!$CP$5</definedName>
    <definedName name="UNNH0030_IF_SAVE_YUBIN_NO">UNNH0030_IF!$DQ$5</definedName>
    <definedName name="UNNH0030_IF_W_MODE">UNNH0030_IF!$CD$7</definedName>
    <definedName name="UNNH0030_IF_W_SERIAL">UNNH0030_IF!$CD$5</definedName>
    <definedName name="UNNH0030_IF_W_SERIAL_CREATE">UNNH0030_IF!$CD$6</definedName>
    <definedName name="UNNH0030_IF_W_USER_ID">UNNH0030_IF!$CD$4</definedName>
    <definedName name="UNNH0030_JURYOSHO_PAGE_AREA">#REF!</definedName>
    <definedName name="UNNH0030_NOHINSHO_PAGE_AREA">#REF!</definedName>
    <definedName name="UNNH0030_REPORT_IF_B_CLEAR_AREA">#REF!</definedName>
    <definedName name="UNNH0030_REPORT_IF_B_COPY_MOTO">#REF!</definedName>
    <definedName name="UNNH0030_REPORT_IF_B_COPY_MOTO_TAX">#REF!</definedName>
    <definedName name="UNNH0030_REPORT_IF_B_COPY_SAKI">#REF!</definedName>
    <definedName name="UNNH0030_REPORT_IF_B_COPY_SAKI_TAX">#REF!</definedName>
    <definedName name="UNNH0030_REPORT_IF_B_GYO_NO">#REF!</definedName>
    <definedName name="UNNH0030_REPORT_IF_B_KENSU">#REF!</definedName>
    <definedName name="UNNH0030_REPORT_IF_B_KENSU_INCREMENT">#REF!</definedName>
    <definedName name="UNNH0030_REPORT_IF_B_KINGAKU">#REF!</definedName>
    <definedName name="UNNH0030_REPORT_IF_B_PAGE_MEISAI_SU">#REF!</definedName>
    <definedName name="UNNH0030_REPORT_IF_B_PAGE_TOTAL">#REF!</definedName>
    <definedName name="UNNH0030_REPORT_IF_B_ROW_KBN">#REF!</definedName>
    <definedName name="UNNH0030_REPORT_IF_B_SHOHIN_CD">#REF!</definedName>
    <definedName name="UNNH0030_REPORT_IF_B_SHOHIN_MEI">#REF!</definedName>
    <definedName name="UNNH0030_REPORT_IF_B_START">#REF!</definedName>
    <definedName name="UNNH0030_REPORT_IF_B_SURYO">#REF!</definedName>
    <definedName name="UNNH0030_REPORT_IF_B_TANI">#REF!</definedName>
    <definedName name="UNNH0030_REPORT_IF_B_TANKA">#REF!</definedName>
    <definedName name="UNNH0030_REPORT_IF_B_TAX_CHECK">#REF!</definedName>
    <definedName name="UNNH0030_REPORT_IF_DEMPYO_HAKKO_CHECK">#REF!</definedName>
    <definedName name="UNNH0030_REPORT_IF_H_ADDRESS_1">#REF!</definedName>
    <definedName name="UNNH0030_REPORT_IF_H_ADDRESS_2">#REF!</definedName>
    <definedName name="UNNH0030_REPORT_IF_H_DEMPYO_HAKKO_KBN">#REF!</definedName>
    <definedName name="UNNH0030_REPORT_IF_H_DEMPYO_SOFU_MEI">#REF!</definedName>
    <definedName name="UNNH0030_REPORT_IF_H_EIGYO_MEI">#REF!</definedName>
    <definedName name="UNNH0030_REPORT_IF_H_HIKAE_FLG">#REF!</definedName>
    <definedName name="UNNH0030_REPORT_IF_H_JURI_NO">#REF!</definedName>
    <definedName name="UNNH0030_REPORT_IF_H_JURYOSHO_FLG">#REF!</definedName>
    <definedName name="UNNH0030_REPORT_IF_H_JUSHO_NO_PRINT_FLG">#REF!</definedName>
    <definedName name="UNNH0030_REPORT_IF_H_KEISHO">#REF!</definedName>
    <definedName name="UNNH0030_REPORT_IF_H_NOHINSHO_FLG">#REF!</definedName>
    <definedName name="UNNH0030_REPORT_IF_H_NUKI_TOTAL">#REF!</definedName>
    <definedName name="UNNH0030_REPORT_IF_H_NYURYOKUSHA_MEI">#REF!</definedName>
    <definedName name="UNNH0030_REPORT_IF_H_SEIKYU_CD">#REF!</definedName>
    <definedName name="UNNH0030_REPORT_IF_H_SEIKYUHOHO_KBN">#REF!</definedName>
    <definedName name="UNNH0030_REPORT_IF_H_SEIKYUSHO_FLG">#REF!</definedName>
    <definedName name="UNNH0030_REPORT_IF_H_SHIMEBI">#REF!</definedName>
    <definedName name="UNNH0030_REPORT_IF_H_SHIMEBI_MARK">#REF!</definedName>
    <definedName name="UNNH0030_REPORT_IF_H_SOFU_TANTO">#REF!</definedName>
    <definedName name="UNNH0030_REPORT_IF_H_TAX">#REF!</definedName>
    <definedName name="UNNH0030_REPORT_IF_H_TAX_KBN">#REF!</definedName>
    <definedName name="UNNH0030_REPORT_IF_H_TAX_KBN_MARK">#REF!</definedName>
    <definedName name="UNNH0030_REPORT_IF_H_TEKIYO">#REF!</definedName>
    <definedName name="UNNH0030_REPORT_IF_H_TOTAL">#REF!</definedName>
    <definedName name="UNNH0030_REPORT_IF_H_URIAGE_DATE">#REF!</definedName>
    <definedName name="UNNH0030_REPORT_IF_H_URIAGE_NO">#REF!</definedName>
    <definedName name="UNNH0030_REPORT_IF_H_YUBIN_NO">#REF!</definedName>
    <definedName name="UNNH0030_REPORT_IF_HIKAE_CHECK">#REF!</definedName>
    <definedName name="UNNH0030_REPORT_IF_HIKAE_PRINT_AREA">#REF!</definedName>
    <definedName name="UNNH0030_REPORT_IF_JURI_NO">#REF!</definedName>
    <definedName name="UNNH0030_REPORT_IF_JURYOSHO_CHECK">#REF!</definedName>
    <definedName name="UNNH0030_REPORT_IF_JURYOSHO_PRINT_AREA">#REF!</definedName>
    <definedName name="UNNH0030_REPORT_IF_NOHINSHO_CHECK">#REF!</definedName>
    <definedName name="UNNH0030_REPORT_IF_NOHINSHO_PRINT_AREA">#REF!</definedName>
    <definedName name="UNNH0030_REPORT_IF_SEIKYUSHO_CHECK">#REF!</definedName>
    <definedName name="UNNH0030_REPORT_IF_SEIKYUSHO_PRINT_AREA">#REF!</definedName>
    <definedName name="UNNH0030_REPORT_RAYOUT_HIKAE">#REF!</definedName>
    <definedName name="UNNH0030_REPORT_RAYOUT_HIKAE_COPY_MOTO_GYO">#REF!</definedName>
    <definedName name="UNNH0030_REPORT_RAYOUT_JURYOSHO">#REF!</definedName>
    <definedName name="UNNH0030_REPORT_RAYOUT_JURYOSHO_COPY_MOTO_GYO">#REF!</definedName>
    <definedName name="UNNH0030_REPORT_RAYOUT_NOHINSHO">#REF!</definedName>
    <definedName name="UNNH0030_REPORT_RAYOUT_NOHINSHO_COPY_MOTO_GYO">#REF!</definedName>
    <definedName name="UNNH0030_REPORT_RAYOUT_SEIKYUSHO">#REF!</definedName>
    <definedName name="UNNH0030_REPORT_RAYOUT_SEIKYUSHO_COPY_MOTO_GYO">#REF!</definedName>
    <definedName name="UNNH0030_SAVE_BAT_FLG">UNNH0030_IF!$CD$8</definedName>
    <definedName name="UNNH0030_SAVE_TEMP_FLG">UNNH0030_IF!$CD$9</definedName>
    <definedName name="UNNH0030_SEIKYUSHO_ADDRESS_1">#REF!</definedName>
    <definedName name="UNNH0030_SEIKYUSHO_ADDRESS_2">#REF!</definedName>
    <definedName name="UNNH0030_SEIKYUSHO_ATENA_1">#REF!</definedName>
    <definedName name="UNNH0030_SEIKYUSHO_ATENA_2">#REF!</definedName>
    <definedName name="UNNH0030_SEIKYUSHO_PAGE_AREA">#REF!</definedName>
    <definedName name="UNNH0030_SEIKYUSHO_SEIKYU_CD">#REF!</definedName>
    <definedName name="UNNH0030_SEIKYUSHO_YUBIN_NO">#REF!</definedName>
    <definedName name="UNNH0030_SQL_INIT_DEMPYO_KBN">#REF!</definedName>
    <definedName name="UNNH0030_SQL_INIT_KEISHO">#REF!</definedName>
    <definedName name="UNNH0030_SQL_INIT_NYURYOKUSHA">#REF!</definedName>
    <definedName name="UNNH0030_SQL_INIT_RENDO_KBN">#REF!</definedName>
    <definedName name="UNNH0030_SQL_INIT_STS">#REF!</definedName>
    <definedName name="UNNH0030_SQL_INIT_URIAGE_DENKU">#REF!</definedName>
    <definedName name="UNNH0030_SQL_JUCHU_LIST">#REF!</definedName>
    <definedName name="UNNH0030_SQL_KAISHU_DATE">#REF!</definedName>
    <definedName name="UNNH0030_SQL_LIST_DEMPYO_KBN">#REF!</definedName>
    <definedName name="UNNH0030_SQL_LIST_DENKU">#REF!</definedName>
    <definedName name="UNNH0030_SQL_LIST_KANJO_KAMOKU">#REF!</definedName>
    <definedName name="UNNH0030_SQL_LIST_KEISHO">#REF!</definedName>
    <definedName name="UNNH0030_SQL_LIST_RENDO">#REF!</definedName>
    <definedName name="UNNH0030_SQL_MULTI_SELECT">#REF!</definedName>
    <definedName name="UNNH0030_SQL_PAGE">#REF!</definedName>
    <definedName name="UNNH0030_SQL_PROC">#REF!</definedName>
    <definedName name="UNNH0030_SQL_PROC_SEARCH_AREA">#REF!</definedName>
    <definedName name="UNNH0030_SQL_REF_NO">#REF!</definedName>
    <definedName name="UNNH0030_SQL_RIREKI_NO">#REF!</definedName>
    <definedName name="UNNH0030_SQL_SELECT_B">#REF!</definedName>
    <definedName name="UNNH0030_SQL_SELECT_H">#REF!</definedName>
    <definedName name="UNNH0030_SQL_SELECT_JURI_NO_CNT">#REF!</definedName>
    <definedName name="UNNH0030_SQL_SELECT_MAX_PAGE">#REF!</definedName>
    <definedName name="UNNH0030_SQL_SELECT_MERGE_MOTO">#REF!</definedName>
    <definedName name="UNNH0030_SQL_SELECT_REPORT_B">#REF!</definedName>
    <definedName name="UNNH0030_SQL_SELECT_REPORT_B_BAT">#REF!</definedName>
    <definedName name="UNNH0030_SQL_SELECT_REPORT_H">#REF!</definedName>
    <definedName name="UNNH0030_SQL_SELECT_REPORT_H_BAT">#REF!</definedName>
    <definedName name="UNNH0030_SQL_SELECT_TABLE_UPDATE">#REF!</definedName>
    <definedName name="UNNH0030_SQL_SERIAL">#REF!</definedName>
    <definedName name="UNNH0030_SQL_USER_ID">#REF!</definedName>
    <definedName name="UNNH0031_GYO_COUNT">#REF!</definedName>
    <definedName name="UNNH0031_GYO_DECREMENT">#REF!</definedName>
    <definedName name="UNNH0031_GYO_INCREMENT">#REF!</definedName>
    <definedName name="UNNH0031_HIDE_COLUMN">#REF!</definedName>
    <definedName name="UNNH0031_HIDE_ROW">#REF!</definedName>
    <definedName name="UNNH0031_IF_ACTIVE_COLUMN">#REF!</definedName>
    <definedName name="UNNH0031_IF_ACTIVE_ROW">#REF!</definedName>
    <definedName name="UNNH0031_IF_ACTIVE_SHEET">#REF!</definedName>
    <definedName name="UNNH0031_IF_BUTTON_10_ERROR">#REF!</definedName>
    <definedName name="UNNH0031_IF_BUTTON_12_ERROR">#REF!</definedName>
    <definedName name="UNNH0031_IF_LIST_COPY_MOTO">#REF!</definedName>
    <definedName name="UNNH0031_IF_LIST_DEFAULT">#REF!</definedName>
    <definedName name="UNNH0031_IF_SAVE_COPY_MOTO">#REF!</definedName>
    <definedName name="UNNH0031_IF_SAVE_COPY_SAKI">#REF!</definedName>
    <definedName name="UNNH0031_IF_SAVE_START">#REF!</definedName>
    <definedName name="UNNH0031_IF_W_MODE">#REF!</definedName>
    <definedName name="UNNH0031_IF_W_SERIAL">#REF!</definedName>
    <definedName name="UNNH0031_IF_W_SERIAL_CREATE">#REF!</definedName>
    <definedName name="UNNH0031_IF_W_USER_ID">#REF!</definedName>
    <definedName name="UNNH0031_LIST_CLEAR_AREA">#REF!</definedName>
    <definedName name="UNNH0031_LIST_COPY_SAKI">#REF!</definedName>
    <definedName name="UNNH0031_LIST_DATA_START">#REF!</definedName>
    <definedName name="UNNH0031_LIST_DELETE_AREA">#REF!</definedName>
    <definedName name="UNNH0031_LIST_START">#REF!</definedName>
    <definedName name="UNNH0031_SENTAKU">#REF!</definedName>
    <definedName name="UNNH0031_SQL_URIAGE_SEARCH">#REF!</definedName>
    <definedName name="UNNH0031_URIAGE_NO">#REF!</definedName>
    <definedName name="UNNH0032_GYO_COUNT">#REF!</definedName>
    <definedName name="UNNH0032_GYO_DECREMENT">#REF!</definedName>
    <definedName name="UNNH0032_GYO_INCREMENT">#REF!</definedName>
    <definedName name="UNNH0032_HIDE_COLUMN">#REF!</definedName>
    <definedName name="UNNH0032_HIDE_ROW">#REF!</definedName>
    <definedName name="UNNH0032_IF_ACTIVE_COLUMN">#REF!</definedName>
    <definedName name="UNNH0032_IF_ACTIVE_ROW">#REF!</definedName>
    <definedName name="UNNH0032_IF_ACTIVE_SHEET">#REF!</definedName>
    <definedName name="UNNH0032_IF_BUTTON_12_ERROR">#REF!</definedName>
    <definedName name="UNNH0032_IF_LIST_COPY_MOTO">#REF!</definedName>
    <definedName name="UNNH0032_IF_LIST_DEFAULT">#REF!</definedName>
    <definedName name="UNNH0032_IF_SAVE_COPY_MOTO">#REF!</definedName>
    <definedName name="UNNH0032_IF_SAVE_COPY_SAKI">#REF!</definedName>
    <definedName name="UNNH0032_IF_SAVE_KENSU">#REF!</definedName>
    <definedName name="UNNH0032_IF_SAVE_START">#REF!</definedName>
    <definedName name="UNNH0032_IF_W_MODE">#REF!</definedName>
    <definedName name="UNNH0032_IF_W_SERIAL">#REF!</definedName>
    <definedName name="UNNH0032_IF_W_SERIAL_CREATE">#REF!</definedName>
    <definedName name="UNNH0032_IF_W_USER_ID">#REF!</definedName>
    <definedName name="UNNH0032_JUCHU_KBN">#REF!</definedName>
    <definedName name="UNNH0032_JURI_NO">#REF!</definedName>
    <definedName name="UNNH0032_LIST_CLEAR_AREA">#REF!</definedName>
    <definedName name="UNNH0032_LIST_COPY_SAKI">#REF!</definedName>
    <definedName name="UNNH0032_LIST_DATA_START">#REF!</definedName>
    <definedName name="UNNH0032_LIST_DELETE_AREA">#REF!</definedName>
    <definedName name="UNNH0032_LIST_START">#REF!</definedName>
    <definedName name="UNNH0032_SELECT_COUNT">#REF!</definedName>
    <definedName name="UNNH0032_SENTAKU">#REF!</definedName>
    <definedName name="UNNH0032_SQL_JUCHU_POP">#REF!</definedName>
    <definedName name="UNNH0032_SQL_JUCHU_SELECT_SEARCH">#REF!</definedName>
    <definedName name="UNNH0032_SQL_LIST">#REF!</definedName>
    <definedName name="UNNH0032_SQL_TABLE_UPDATE">#REF!</definedName>
    <definedName name="UNNH0080_ALL_PAGE_SU">#REF!</definedName>
    <definedName name="UNNH0080_ARARIEKI">#REF!</definedName>
    <definedName name="UNNH0080_ARARITITSU">#REF!</definedName>
    <definedName name="UNNH0080_COPY_SAKI">#REF!</definedName>
    <definedName name="UNNH0080_CTRL_HYOJI_GYO_SU">#REF!</definedName>
    <definedName name="UNNH0080_DEMPYO_KBN">#REF!</definedName>
    <definedName name="UNNH0080_DEMPYO_MEI">#REF!</definedName>
    <definedName name="UNNH0080_EXIST_NEXT_PAGE">#REF!</definedName>
    <definedName name="UNNH0080_EXIST_PREV_PAGE">#REF!</definedName>
    <definedName name="UNNH0080_FORMAT_COPY_FLG">#REF!</definedName>
    <definedName name="UNNH0080_HIDE_COLUMN">#REF!</definedName>
    <definedName name="UNNH0080_HIDE_ROW">#REF!</definedName>
    <definedName name="UNNH0080_HYOJI_KENSU">#REF!</definedName>
    <definedName name="UNNH0080_IF_ACTIVE_CELL_NAME">#REF!</definedName>
    <definedName name="UNNH0080_IF_ACTIVE_COLUMN">#REF!</definedName>
    <definedName name="UNNH0080_IF_ACTIVE_ROW">#REF!</definedName>
    <definedName name="UNNH0080_IF_ACTIVE_SHEET">#REF!</definedName>
    <definedName name="UNNH0080_IF_DATA_SEARCH_FLG">#REF!</definedName>
    <definedName name="UNNH0080_IF_LIST_COPY_MOTO">#REF!</definedName>
    <definedName name="UNNH0080_IF_LIST_DEFAULT">#REF!</definedName>
    <definedName name="UNNH0080_IF_PREV_GAMEN">#REF!</definedName>
    <definedName name="UNNH0080_IF_URIAGE_NO">#REF!</definedName>
    <definedName name="UNNH0080_KAISHU_DATE">#REF!</definedName>
    <definedName name="UNNH0080_KENSAKU_KENSU">#REF!</definedName>
    <definedName name="UNNH0080_LIST_CLEAR">#REF!</definedName>
    <definedName name="UNNH0080_LIST_START">#REF!</definedName>
    <definedName name="UNNH0080_MOD_DATE_TIME">#REF!</definedName>
    <definedName name="UNNH0080_NEXT_PAGE_NO">#REF!</definedName>
    <definedName name="UNNH0080_NUKI_TOTAL">#REF!</definedName>
    <definedName name="UNNH0080_NYURYOKUSHA_MEI">#REF!</definedName>
    <definedName name="UNNH0080_PAGE_NO">#REF!</definedName>
    <definedName name="UNNH0080_PREV_PAGE_NO">#REF!</definedName>
    <definedName name="UNNH0080_SEARCH_RIREKI_NO">#REF!</definedName>
    <definedName name="UNNH0080_SEARCH_URIAGE_NO">#REF!</definedName>
    <definedName name="UNNH0080_SEIKYUSAKI_MEI">#REF!</definedName>
    <definedName name="UNNH0080_SELECT_GYO_NO">#REF!</definedName>
    <definedName name="UNNH0080_SELECT_RIREKI_NO">#REF!</definedName>
    <definedName name="UNNH0080_SELECT_URIAGE_NO">#REF!</definedName>
    <definedName name="UNNH0080_SENTAKU">#REF!</definedName>
    <definedName name="UNNH0080_SHOKON_NO">#REF!</definedName>
    <definedName name="UNNH0080_SHORI_KBN">#REF!</definedName>
    <definedName name="UNNH0080_SQL_INIT_SORT">#REF!</definedName>
    <definedName name="UNNH0080_SQL_RESULT_SORT">#REF!</definedName>
    <definedName name="UNNH0080_SQL_SELECT_URIAGE_R_H">#REF!</definedName>
    <definedName name="UNNH0080_SQL_SELECT_URIAGE_R_LIST">#REF!</definedName>
    <definedName name="UNNH0080_SQL_SELECT_URIAGE_R_LIST_CNT">#REF!</definedName>
    <definedName name="UNNH0080_SQL_SORT">#REF!</definedName>
    <definedName name="UNNH0080_TEISEI_BIKO">#REF!</definedName>
    <definedName name="UNNH0080_URIAGE_DATE">#REF!</definedName>
    <definedName name="UNNH0080_URIAGE_NO">#REF!</definedName>
    <definedName name="UNNH0080_VIEW_CURRENT_PAGE">#REF!</definedName>
    <definedName name="必須チェック設定" localSheetId="0">UNNH0030_IF!$CG$4</definedName>
  </definedNames>
  <calcPr calcId="152511"/>
</workbook>
</file>

<file path=xl/calcChain.xml><?xml version="1.0" encoding="utf-8"?>
<calcChain xmlns="http://schemas.openxmlformats.org/spreadsheetml/2006/main">
  <c r="D51" i="139" l="1"/>
  <c r="BT29" i="139" l="1"/>
  <c r="BT17" i="139"/>
  <c r="BT5" i="139"/>
  <c r="AN56" i="139" l="1"/>
  <c r="AM56" i="139"/>
  <c r="AL56" i="139"/>
  <c r="AK56" i="139"/>
  <c r="AJ56" i="139"/>
  <c r="AI56" i="139"/>
  <c r="AH56" i="139"/>
  <c r="AN38" i="139"/>
  <c r="AM38" i="139"/>
  <c r="AL38" i="139"/>
  <c r="AK38" i="139"/>
  <c r="AJ38" i="139"/>
  <c r="AI38" i="139"/>
  <c r="AH38" i="139"/>
  <c r="AN20" i="139"/>
  <c r="AM20" i="139"/>
  <c r="AL20" i="139"/>
  <c r="AK20" i="139"/>
  <c r="AJ20" i="139"/>
  <c r="AI20" i="139"/>
  <c r="AH20" i="139"/>
  <c r="CD13" i="139" l="1"/>
  <c r="DB3" i="139" l="1"/>
  <c r="BJ5" i="139" l="1"/>
  <c r="BS5" i="139"/>
  <c r="D23" i="138" l="1"/>
  <c r="BD35" i="139" l="1"/>
  <c r="BD29" i="139"/>
  <c r="BD23" i="139"/>
  <c r="BD17" i="139"/>
  <c r="BD11" i="139"/>
  <c r="BD5" i="139"/>
  <c r="AI44" i="139" l="1"/>
  <c r="AI26" i="139"/>
  <c r="D22" i="137"/>
  <c r="CW3" i="139" l="1"/>
  <c r="D23" i="137"/>
  <c r="CX3" i="139" l="1"/>
  <c r="D49" i="139"/>
  <c r="CD45" i="139" l="1"/>
  <c r="D18" i="139" l="1"/>
  <c r="D17" i="139" l="1"/>
  <c r="AD6" i="139" l="1"/>
  <c r="D73" i="139" l="1"/>
  <c r="BQ29" i="139" l="1"/>
  <c r="BQ17" i="139"/>
  <c r="BS29" i="139"/>
  <c r="BU29" i="139" s="1"/>
  <c r="BU17" i="139"/>
  <c r="BS17" i="139"/>
  <c r="BQ5" i="139"/>
  <c r="BU5" i="139"/>
  <c r="AU11" i="139" l="1"/>
  <c r="D20" i="137" l="1"/>
  <c r="D37" i="139" l="1"/>
  <c r="D35" i="139"/>
  <c r="D36" i="139"/>
  <c r="D38" i="139" s="1"/>
  <c r="D8" i="139" l="1"/>
  <c r="D78" i="139" l="1"/>
  <c r="D81" i="139" l="1"/>
  <c r="D74" i="139"/>
  <c r="D70" i="139"/>
  <c r="D69" i="139"/>
  <c r="D68" i="139"/>
  <c r="D67" i="139"/>
  <c r="D66" i="139"/>
  <c r="CD39" i="139"/>
  <c r="D65" i="139"/>
  <c r="D64" i="139"/>
  <c r="D63" i="139"/>
  <c r="D62" i="139"/>
  <c r="D61" i="139"/>
  <c r="D60" i="139"/>
  <c r="D59" i="139"/>
  <c r="D58" i="139"/>
  <c r="BJ29" i="139"/>
  <c r="D57" i="139"/>
  <c r="CI27" i="139"/>
  <c r="CI26" i="139"/>
  <c r="D50" i="139"/>
  <c r="CH18" i="139"/>
  <c r="BJ17" i="139"/>
  <c r="CH13" i="139"/>
  <c r="AI8" i="139"/>
  <c r="D7" i="139"/>
  <c r="FK6" i="139"/>
  <c r="CH6" i="139"/>
  <c r="FK5" i="139"/>
  <c r="EY3" i="139"/>
  <c r="EX3" i="139"/>
  <c r="EW3" i="139"/>
  <c r="EV3" i="139"/>
  <c r="EU3" i="139"/>
  <c r="ET3" i="139"/>
  <c r="ES3" i="139"/>
  <c r="EQ3" i="139"/>
  <c r="EP3" i="139"/>
  <c r="EO3" i="139"/>
  <c r="EN3" i="139"/>
  <c r="EM3" i="139"/>
  <c r="EL3" i="139"/>
  <c r="ER3" i="139" s="1"/>
  <c r="EK3" i="139"/>
  <c r="EJ3" i="139"/>
  <c r="EI3" i="139"/>
  <c r="CN3" i="139" s="1"/>
  <c r="EH3" i="139"/>
  <c r="EG3" i="139"/>
  <c r="EF3" i="139"/>
  <c r="DY3" i="139"/>
  <c r="DX3" i="139"/>
  <c r="DW3" i="139"/>
  <c r="DV3" i="139"/>
  <c r="DU3" i="139"/>
  <c r="DT3" i="139"/>
  <c r="DS3" i="139"/>
  <c r="DR3" i="139"/>
  <c r="DQ3" i="139"/>
  <c r="DP3" i="139"/>
  <c r="DO3" i="139"/>
  <c r="DN3" i="139"/>
  <c r="DM3" i="139"/>
  <c r="DL3" i="139"/>
  <c r="DK3" i="139"/>
  <c r="DJ3" i="139"/>
  <c r="DI3" i="139"/>
  <c r="DG3" i="139"/>
  <c r="DF3" i="139"/>
  <c r="DE3" i="139"/>
  <c r="DD3" i="139"/>
  <c r="DC3" i="139"/>
  <c r="DA3" i="139"/>
  <c r="CZ3" i="139"/>
  <c r="CY3" i="139"/>
  <c r="CV3" i="139"/>
  <c r="CT3" i="139"/>
  <c r="CS3" i="139"/>
  <c r="CR3" i="139"/>
  <c r="CQ3" i="139"/>
  <c r="CP3" i="139"/>
  <c r="CO3" i="139"/>
  <c r="D46" i="138"/>
  <c r="D44" i="138"/>
  <c r="D41" i="138"/>
  <c r="D40" i="138"/>
  <c r="D39" i="138"/>
  <c r="D38" i="138"/>
  <c r="D37" i="138"/>
  <c r="D36" i="138"/>
  <c r="D35" i="138"/>
  <c r="D34" i="138"/>
  <c r="D33" i="138"/>
  <c r="D31" i="138"/>
  <c r="D30" i="138"/>
  <c r="D27" i="138"/>
  <c r="D25" i="138"/>
  <c r="D22" i="138"/>
  <c r="D31" i="137"/>
  <c r="D30" i="137"/>
  <c r="M19" i="137"/>
  <c r="EC3" i="139" s="1"/>
  <c r="J19" i="137"/>
  <c r="I19" i="137"/>
  <c r="D21" i="137"/>
  <c r="J7" i="137"/>
  <c r="D3" i="137"/>
  <c r="K1" i="137"/>
  <c r="I1" i="137"/>
  <c r="D45" i="138"/>
  <c r="CH19" i="139"/>
  <c r="D48" i="138"/>
  <c r="BB29" i="139"/>
  <c r="D71" i="139" l="1"/>
  <c r="D72" i="139"/>
  <c r="AU13" i="139"/>
  <c r="AU10" i="139"/>
  <c r="K19" i="137"/>
  <c r="DZ3" i="139"/>
  <c r="N19" i="137"/>
  <c r="FK12" i="139"/>
  <c r="FK14" i="139"/>
  <c r="CU3" i="139"/>
  <c r="FK17" i="139"/>
  <c r="FK11" i="139"/>
  <c r="FK9" i="139"/>
  <c r="CD12" i="139"/>
  <c r="FK13" i="139"/>
  <c r="FK7" i="139"/>
  <c r="FK10" i="139"/>
  <c r="CH15" i="139"/>
  <c r="BB32" i="139"/>
  <c r="BB35" i="139"/>
  <c r="BB5" i="139"/>
  <c r="BB17" i="139"/>
  <c r="BB20" i="139"/>
  <c r="BB8" i="139"/>
  <c r="D49" i="138"/>
  <c r="BB11" i="139"/>
  <c r="D51" i="138"/>
  <c r="BB23" i="139"/>
  <c r="EA3" i="139" l="1"/>
  <c r="L19" i="137"/>
  <c r="EB3" i="139" s="1"/>
  <c r="ED3" i="139"/>
  <c r="O19" i="137"/>
  <c r="EE3" i="139" s="1"/>
</calcChain>
</file>

<file path=xl/comments1.xml><?xml version="1.0" encoding="utf-8"?>
<comments xmlns="http://schemas.openxmlformats.org/spreadsheetml/2006/main">
  <authors>
    <author>中川 雄太</author>
  </authors>
  <commentList>
    <comment ref="CG4" authorId="0" shapeId="0">
      <text>
        <r>
          <rPr>
            <sz val="9"/>
            <color indexed="81"/>
            <rFont val="ＭＳ Ｐゴシック"/>
            <family val="3"/>
            <charset val="128"/>
          </rPr>
          <t>セル名を「必須チェック設定」にする
※範囲はIFシート</t>
        </r>
      </text>
    </comment>
    <comment ref="CH8" authorId="0" shapeId="0">
      <text>
        <r>
          <rPr>
            <sz val="9"/>
            <color indexed="81"/>
            <rFont val="ＭＳ Ｐゴシック"/>
            <family val="3"/>
            <charset val="128"/>
          </rPr>
          <t>ヘッダシートのシート名を指定する</t>
        </r>
      </text>
    </comment>
    <comment ref="CH9" authorId="0" shapeId="0">
      <text>
        <r>
          <rPr>
            <sz val="9"/>
            <color indexed="81"/>
            <rFont val="ＭＳ Ｐゴシック"/>
            <family val="3"/>
            <charset val="128"/>
          </rPr>
          <t>入力チェック対象のセル名を
カンマ区切りで指定する</t>
        </r>
      </text>
    </comment>
    <comment ref="CH10" authorId="0" shapeId="0">
      <text>
        <r>
          <rPr>
            <sz val="9"/>
            <color indexed="81"/>
            <rFont val="ＭＳ Ｐゴシック"/>
            <family val="3"/>
            <charset val="128"/>
          </rPr>
          <t>入力チェック対象の項目名をカンマ区切りで指定する
※メッセージ表示の為に指定が必要
※チェックセル名と並びを合わせる必要がある</t>
        </r>
      </text>
    </comment>
    <comment ref="CH12" authorId="0" shapeId="0">
      <text>
        <r>
          <rPr>
            <sz val="9"/>
            <color indexed="81"/>
            <rFont val="ＭＳ Ｐゴシック"/>
            <family val="3"/>
            <charset val="128"/>
          </rPr>
          <t>IFシートのシート名を指定する
※ボディシートより入力有無を判定しやすい為</t>
        </r>
      </text>
    </comment>
    <comment ref="CH1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必須チェック開始位置（絶対セルアドレス)を指定する
</t>
        </r>
      </text>
    </comment>
    <comment ref="CH14" authorId="0" shapeId="0">
      <text>
        <r>
          <rPr>
            <sz val="9"/>
            <color indexed="81"/>
            <rFont val="ＭＳ Ｐゴシック"/>
            <family val="3"/>
            <charset val="128"/>
          </rPr>
          <t>開始位置から何列分をチェックするか指定する</t>
        </r>
      </text>
    </comment>
    <comment ref="CH15" authorId="0" shapeId="0">
      <text>
        <r>
          <rPr>
            <sz val="9"/>
            <color indexed="81"/>
            <rFont val="ＭＳ Ｐゴシック"/>
            <family val="3"/>
            <charset val="128"/>
          </rPr>
          <t>開始位置から何行分をチェックするか指定する</t>
        </r>
      </text>
    </comment>
    <comment ref="CH16" authorId="0" shapeId="0">
      <text>
        <r>
          <rPr>
            <sz val="9"/>
            <color indexed="81"/>
            <rFont val="ＭＳ Ｐゴシック"/>
            <family val="3"/>
            <charset val="128"/>
          </rPr>
          <t>入力チェック対象の項目名をカンマ区切りで指定する
※メッセージ表示の為に指定が必要
※チェックセル名と並びを合わせる必要がある</t>
        </r>
      </text>
    </comment>
    <comment ref="CH17" authorId="0" shapeId="0">
      <text>
        <r>
          <rPr>
            <sz val="9"/>
            <color indexed="81"/>
            <rFont val="ＭＳ Ｐゴシック"/>
            <family val="3"/>
            <charset val="128"/>
          </rPr>
          <t>チェック対象から除外する位置（絶対セルアドレス）を指定する</t>
        </r>
      </text>
    </comment>
    <comment ref="CH18" authorId="0" shapeId="0">
      <text>
        <r>
          <rPr>
            <sz val="9"/>
            <color indexed="81"/>
            <rFont val="ＭＳ Ｐゴシック"/>
            <family val="3"/>
            <charset val="128"/>
          </rPr>
          <t>チェック対象から除外する列番号を指定する</t>
        </r>
      </text>
    </comment>
    <comment ref="CH19" authorId="0" shapeId="0">
      <text>
        <r>
          <rPr>
            <sz val="9"/>
            <color indexed="81"/>
            <rFont val="ＭＳ Ｐゴシック"/>
            <family val="3"/>
            <charset val="128"/>
          </rPr>
          <t>チェック対象から除外する行番号を指定する</t>
        </r>
      </text>
    </comment>
    <comment ref="CH30" authorId="0" shapeId="0">
      <text>
        <r>
          <rPr>
            <sz val="9"/>
            <color indexed="81"/>
            <rFont val="ＭＳ Ｐゴシック"/>
            <family val="3"/>
            <charset val="128"/>
          </rPr>
          <t>必須チェックエラーになった行番号を出力する
※ヘッダの場合は0</t>
        </r>
      </text>
    </comment>
    <comment ref="CI30" authorId="0" shapeId="0">
      <text>
        <r>
          <rPr>
            <sz val="9"/>
            <color indexed="81"/>
            <rFont val="ＭＳ Ｐゴシック"/>
            <family val="3"/>
            <charset val="128"/>
          </rPr>
          <t>必須チェックエラーになった項目名を出力する
※「入力チェックセル項目名」または「項目名リスト」から</t>
        </r>
      </text>
    </comment>
  </commentList>
</comments>
</file>

<file path=xl/sharedStrings.xml><?xml version="1.0" encoding="utf-8"?>
<sst xmlns="http://schemas.openxmlformats.org/spreadsheetml/2006/main" count="864" uniqueCount="623">
  <si>
    <t>請求先名</t>
    <rPh sb="0" eb="2">
      <t>セイキュウ</t>
    </rPh>
    <rPh sb="2" eb="3">
      <t>サキ</t>
    </rPh>
    <rPh sb="3" eb="4">
      <t>メイ</t>
    </rPh>
    <phoneticPr fontId="1"/>
  </si>
  <si>
    <t>税抜合計</t>
    <rPh sb="0" eb="2">
      <t>ゼイヌキ</t>
    </rPh>
    <rPh sb="2" eb="4">
      <t>ゴウケイ</t>
    </rPh>
    <phoneticPr fontId="1"/>
  </si>
  <si>
    <t>粗利益</t>
    <rPh sb="0" eb="3">
      <t>アラリエキ</t>
    </rPh>
    <phoneticPr fontId="1"/>
  </si>
  <si>
    <t>修正</t>
    <rPh sb="0" eb="2">
      <t>シュウセイ</t>
    </rPh>
    <phoneticPr fontId="1"/>
  </si>
  <si>
    <t>新規登録</t>
    <rPh sb="0" eb="2">
      <t>シンキ</t>
    </rPh>
    <rPh sb="2" eb="4">
      <t>トウロク</t>
    </rPh>
    <phoneticPr fontId="1"/>
  </si>
  <si>
    <t>御中</t>
    <rPh sb="0" eb="2">
      <t>オンチュウ</t>
    </rPh>
    <phoneticPr fontId="1"/>
  </si>
  <si>
    <t>税率</t>
    <rPh sb="0" eb="2">
      <t>ゼイリツ</t>
    </rPh>
    <phoneticPr fontId="1"/>
  </si>
  <si>
    <t>消費税</t>
    <rPh sb="0" eb="3">
      <t>ショウヒゼイ</t>
    </rPh>
    <phoneticPr fontId="1"/>
  </si>
  <si>
    <t>税込合計</t>
    <rPh sb="0" eb="2">
      <t>ゼイコミ</t>
    </rPh>
    <rPh sb="2" eb="4">
      <t>ゴウケイ</t>
    </rPh>
    <phoneticPr fontId="1"/>
  </si>
  <si>
    <t>原価合計</t>
    <rPh sb="0" eb="2">
      <t>ゲンカ</t>
    </rPh>
    <rPh sb="2" eb="4">
      <t>ゴウケイ</t>
    </rPh>
    <phoneticPr fontId="1"/>
  </si>
  <si>
    <t>行</t>
    <rPh sb="0" eb="1">
      <t>ギョウ</t>
    </rPh>
    <phoneticPr fontId="1"/>
  </si>
  <si>
    <t>商品名</t>
    <rPh sb="0" eb="3">
      <t>ショウヒンメイ</t>
    </rPh>
    <phoneticPr fontId="1"/>
  </si>
  <si>
    <t>摘要</t>
    <rPh sb="0" eb="2">
      <t>テキヨウ</t>
    </rPh>
    <phoneticPr fontId="1"/>
  </si>
  <si>
    <t>粗利率</t>
    <rPh sb="0" eb="3">
      <t>アラリリツ</t>
    </rPh>
    <phoneticPr fontId="1"/>
  </si>
  <si>
    <t>定価</t>
    <rPh sb="0" eb="2">
      <t>テイカ</t>
    </rPh>
    <phoneticPr fontId="1"/>
  </si>
  <si>
    <t>商品CD</t>
    <rPh sb="0" eb="2">
      <t>ショウヒン</t>
    </rPh>
    <phoneticPr fontId="1"/>
  </si>
  <si>
    <t>納品日：</t>
    <rPh sb="0" eb="3">
      <t>ノウヒンビ</t>
    </rPh>
    <phoneticPr fontId="1"/>
  </si>
  <si>
    <t>売上入力</t>
    <rPh sb="0" eb="2">
      <t>ウリアゲ</t>
    </rPh>
    <rPh sb="2" eb="4">
      <t>ニュウリョク</t>
    </rPh>
    <phoneticPr fontId="1"/>
  </si>
  <si>
    <t>売上No.：</t>
    <rPh sb="0" eb="2">
      <t>ウリアゲ</t>
    </rPh>
    <phoneticPr fontId="1"/>
  </si>
  <si>
    <t>入力日時：</t>
    <rPh sb="0" eb="2">
      <t>ニュウリョク</t>
    </rPh>
    <rPh sb="2" eb="4">
      <t>ニチジ</t>
    </rPh>
    <phoneticPr fontId="1"/>
  </si>
  <si>
    <t>登録と同時に納品請求書発行：</t>
    <rPh sb="0" eb="2">
      <t>トウロク</t>
    </rPh>
    <rPh sb="3" eb="5">
      <t>ドウジ</t>
    </rPh>
    <rPh sb="6" eb="8">
      <t>ノウヒン</t>
    </rPh>
    <rPh sb="8" eb="10">
      <t>セイキュウ</t>
    </rPh>
    <rPh sb="10" eb="11">
      <t>ショ</t>
    </rPh>
    <rPh sb="11" eb="13">
      <t>ハッコウ</t>
    </rPh>
    <phoneticPr fontId="1"/>
  </si>
  <si>
    <t>注記：</t>
    <rPh sb="0" eb="2">
      <t>チュウキ</t>
    </rPh>
    <phoneticPr fontId="1"/>
  </si>
  <si>
    <t>送付先郵便番号：</t>
    <rPh sb="0" eb="2">
      <t>ソウフ</t>
    </rPh>
    <rPh sb="2" eb="3">
      <t>サキ</t>
    </rPh>
    <rPh sb="3" eb="7">
      <t>ユウビンバンゴウ</t>
    </rPh>
    <phoneticPr fontId="1"/>
  </si>
  <si>
    <t>送付先TEL：</t>
    <rPh sb="0" eb="2">
      <t>ソウフ</t>
    </rPh>
    <rPh sb="2" eb="3">
      <t>サキ</t>
    </rPh>
    <phoneticPr fontId="1"/>
  </si>
  <si>
    <t>送付先住所１：</t>
    <rPh sb="0" eb="2">
      <t>ソウフ</t>
    </rPh>
    <rPh sb="2" eb="3">
      <t>サキ</t>
    </rPh>
    <rPh sb="3" eb="5">
      <t>ジュウショ</t>
    </rPh>
    <phoneticPr fontId="1"/>
  </si>
  <si>
    <t>送付先FAX：</t>
    <rPh sb="0" eb="2">
      <t>ソウフ</t>
    </rPh>
    <rPh sb="2" eb="3">
      <t>サキ</t>
    </rPh>
    <phoneticPr fontId="1"/>
  </si>
  <si>
    <t>送付先住所２：</t>
    <rPh sb="0" eb="2">
      <t>ソウフ</t>
    </rPh>
    <rPh sb="2" eb="3">
      <t>サキ</t>
    </rPh>
    <rPh sb="3" eb="5">
      <t>ジュウショ</t>
    </rPh>
    <phoneticPr fontId="1"/>
  </si>
  <si>
    <t>粗利益</t>
    <rPh sb="0" eb="2">
      <t>アラリ</t>
    </rPh>
    <rPh sb="2" eb="3">
      <t>エキ</t>
    </rPh>
    <phoneticPr fontId="1"/>
  </si>
  <si>
    <t>粗利率</t>
    <rPh sb="0" eb="2">
      <t>アラリ</t>
    </rPh>
    <rPh sb="2" eb="3">
      <t>リツ</t>
    </rPh>
    <phoneticPr fontId="1"/>
  </si>
  <si>
    <t>販売金額</t>
    <rPh sb="0" eb="2">
      <t>ハンバイ</t>
    </rPh>
    <rPh sb="2" eb="4">
      <t>キンガク</t>
    </rPh>
    <phoneticPr fontId="1"/>
  </si>
  <si>
    <t>入数</t>
    <rPh sb="0" eb="1">
      <t>イ</t>
    </rPh>
    <rPh sb="1" eb="2">
      <t>スウ</t>
    </rPh>
    <phoneticPr fontId="1"/>
  </si>
  <si>
    <t>原価数量</t>
    <rPh sb="0" eb="2">
      <t>ゲンカ</t>
    </rPh>
    <rPh sb="2" eb="4">
      <t>スウリョウ</t>
    </rPh>
    <phoneticPr fontId="1"/>
  </si>
  <si>
    <t>総数</t>
    <rPh sb="0" eb="2">
      <t>ソウスウ</t>
    </rPh>
    <phoneticPr fontId="1"/>
  </si>
  <si>
    <t>原価金額</t>
    <rPh sb="0" eb="2">
      <t>ゲンカ</t>
    </rPh>
    <rPh sb="2" eb="4">
      <t>キンガク</t>
    </rPh>
    <phoneticPr fontId="1"/>
  </si>
  <si>
    <t>comment</t>
    <phoneticPr fontId="1"/>
  </si>
  <si>
    <t>販売単価</t>
    <rPh sb="0" eb="2">
      <t>ハンバイ</t>
    </rPh>
    <rPh sb="2" eb="4">
      <t>タンカ</t>
    </rPh>
    <phoneticPr fontId="1"/>
  </si>
  <si>
    <t>通常伝票</t>
    <rPh sb="0" eb="2">
      <t>ツウジョウ</t>
    </rPh>
    <rPh sb="2" eb="4">
      <t>デンピョウ</t>
    </rPh>
    <phoneticPr fontId="1"/>
  </si>
  <si>
    <t>訂正伝票</t>
    <rPh sb="0" eb="2">
      <t>テイセイ</t>
    </rPh>
    <rPh sb="2" eb="4">
      <t>デンピョウ</t>
    </rPh>
    <phoneticPr fontId="1"/>
  </si>
  <si>
    <t>赤伝票</t>
    <rPh sb="0" eb="1">
      <t>アカ</t>
    </rPh>
    <rPh sb="1" eb="3">
      <t>デンピョウ</t>
    </rPh>
    <phoneticPr fontId="1"/>
  </si>
  <si>
    <t>黒伝票</t>
    <rPh sb="0" eb="1">
      <t>クロ</t>
    </rPh>
    <rPh sb="1" eb="3">
      <t>デンピョウ</t>
    </rPh>
    <phoneticPr fontId="1"/>
  </si>
  <si>
    <t>訂正備考：</t>
    <phoneticPr fontId="1"/>
  </si>
  <si>
    <t>請求先▼</t>
    <rPh sb="0" eb="2">
      <t>セイキュウ</t>
    </rPh>
    <rPh sb="2" eb="3">
      <t>サキ</t>
    </rPh>
    <phoneticPr fontId="1"/>
  </si>
  <si>
    <t>原単価</t>
    <rPh sb="0" eb="1">
      <t>ゲン</t>
    </rPh>
    <rPh sb="1" eb="3">
      <t>タンカ</t>
    </rPh>
    <phoneticPr fontId="1"/>
  </si>
  <si>
    <t>商魂伝票No.：</t>
    <rPh sb="0" eb="2">
      <t>ショウコン</t>
    </rPh>
    <rPh sb="2" eb="4">
      <t>デンピョウ</t>
    </rPh>
    <phoneticPr fontId="1"/>
  </si>
  <si>
    <t>ステータス：</t>
    <phoneticPr fontId="1"/>
  </si>
  <si>
    <t>伝票区分</t>
    <rPh sb="0" eb="2">
      <t>デンピョウ</t>
    </rPh>
    <rPh sb="2" eb="4">
      <t>クブン</t>
    </rPh>
    <phoneticPr fontId="1"/>
  </si>
  <si>
    <t>伝票区分▼</t>
    <rPh sb="0" eb="2">
      <t>デンピョウ</t>
    </rPh>
    <rPh sb="2" eb="4">
      <t>クブン</t>
    </rPh>
    <phoneticPr fontId="1"/>
  </si>
  <si>
    <t>担当部署名▼</t>
    <rPh sb="0" eb="2">
      <t>タントウ</t>
    </rPh>
    <rPh sb="2" eb="4">
      <t>ブショ</t>
    </rPh>
    <rPh sb="4" eb="5">
      <t>メイ</t>
    </rPh>
    <phoneticPr fontId="1"/>
  </si>
  <si>
    <t>売上数量</t>
    <rPh sb="0" eb="2">
      <t>ウリアゲ</t>
    </rPh>
    <rPh sb="2" eb="4">
      <t>スウリョウ</t>
    </rPh>
    <phoneticPr fontId="1"/>
  </si>
  <si>
    <t>バラ単位</t>
    <rPh sb="2" eb="4">
      <t>タンイ</t>
    </rPh>
    <phoneticPr fontId="1"/>
  </si>
  <si>
    <t>売上数量単位</t>
    <rPh sb="0" eb="2">
      <t>ウリアゲ</t>
    </rPh>
    <rPh sb="2" eb="4">
      <t>スウリョウ</t>
    </rPh>
    <rPh sb="4" eb="6">
      <t>タンイ</t>
    </rPh>
    <phoneticPr fontId="1"/>
  </si>
  <si>
    <t>発送先住所を印字しない：</t>
    <rPh sb="0" eb="2">
      <t>ハッソウ</t>
    </rPh>
    <rPh sb="2" eb="3">
      <t>サキ</t>
    </rPh>
    <rPh sb="3" eb="5">
      <t>ジュウショ</t>
    </rPh>
    <rPh sb="6" eb="8">
      <t>インジ</t>
    </rPh>
    <phoneticPr fontId="1"/>
  </si>
  <si>
    <t>売上日▼</t>
    <rPh sb="0" eb="2">
      <t>ウリアゲ</t>
    </rPh>
    <phoneticPr fontId="1"/>
  </si>
  <si>
    <t>回収予定日▼</t>
    <rPh sb="0" eb="2">
      <t>カイシュウ</t>
    </rPh>
    <phoneticPr fontId="1"/>
  </si>
  <si>
    <t>売上入力者名▼</t>
    <rPh sb="0" eb="2">
      <t>ウリアゲ</t>
    </rPh>
    <phoneticPr fontId="1"/>
  </si>
  <si>
    <t>対象受理No.▼</t>
    <rPh sb="0" eb="2">
      <t>タイショウ</t>
    </rPh>
    <rPh sb="2" eb="4">
      <t>ジュリ</t>
    </rPh>
    <phoneticPr fontId="1"/>
  </si>
  <si>
    <t>対象見積No.▼</t>
    <rPh sb="0" eb="2">
      <t>タイショウ</t>
    </rPh>
    <rPh sb="2" eb="4">
      <t>ミツモリ</t>
    </rPh>
    <phoneticPr fontId="1"/>
  </si>
  <si>
    <t>連動不要</t>
    <rPh sb="0" eb="2">
      <t>レンドウ</t>
    </rPh>
    <rPh sb="2" eb="4">
      <t>フヨウ</t>
    </rPh>
    <phoneticPr fontId="1"/>
  </si>
  <si>
    <t>未連動</t>
    <rPh sb="0" eb="1">
      <t>ミ</t>
    </rPh>
    <rPh sb="1" eb="3">
      <t>レンドウ</t>
    </rPh>
    <phoneticPr fontId="1"/>
  </si>
  <si>
    <t>連動済</t>
    <rPh sb="0" eb="2">
      <t>レンドウ</t>
    </rPh>
    <rPh sb="2" eb="3">
      <t>ス</t>
    </rPh>
    <phoneticPr fontId="1"/>
  </si>
  <si>
    <t>商魂連動区分</t>
    <rPh sb="0" eb="2">
      <t>ショウコン</t>
    </rPh>
    <rPh sb="2" eb="4">
      <t>レンドウ</t>
    </rPh>
    <rPh sb="4" eb="6">
      <t>クブン</t>
    </rPh>
    <phoneticPr fontId="1"/>
  </si>
  <si>
    <t>商魂連動区分▼</t>
    <rPh sb="0" eb="2">
      <t>ショウコン</t>
    </rPh>
    <rPh sb="2" eb="4">
      <t>レンドウ</t>
    </rPh>
    <rPh sb="4" eb="6">
      <t>クブン</t>
    </rPh>
    <phoneticPr fontId="1"/>
  </si>
  <si>
    <t>結合先売上No.：</t>
    <rPh sb="0" eb="2">
      <t>ケツゴウ</t>
    </rPh>
    <rPh sb="2" eb="3">
      <t>サキ</t>
    </rPh>
    <rPh sb="3" eb="5">
      <t>ウリアゲ</t>
    </rPh>
    <phoneticPr fontId="1"/>
  </si>
  <si>
    <t>摘要：</t>
    <rPh sb="0" eb="2">
      <t>テキヨウ</t>
    </rPh>
    <phoneticPr fontId="1"/>
  </si>
  <si>
    <t>入力者CD</t>
    <rPh sb="0" eb="2">
      <t>ニュウリョク</t>
    </rPh>
    <rPh sb="2" eb="3">
      <t>シャ</t>
    </rPh>
    <phoneticPr fontId="1"/>
  </si>
  <si>
    <t>非表示列</t>
    <rPh sb="0" eb="3">
      <t>ヒヒョウジ</t>
    </rPh>
    <rPh sb="3" eb="4">
      <t>レツ</t>
    </rPh>
    <phoneticPr fontId="1"/>
  </si>
  <si>
    <t>ページ番号</t>
    <rPh sb="3" eb="5">
      <t>バンゴウ</t>
    </rPh>
    <phoneticPr fontId="1"/>
  </si>
  <si>
    <t>総ページ数</t>
    <rPh sb="0" eb="1">
      <t>ソウ</t>
    </rPh>
    <rPh sb="4" eb="5">
      <t>スウ</t>
    </rPh>
    <phoneticPr fontId="1"/>
  </si>
  <si>
    <t>次ページ番号</t>
    <rPh sb="0" eb="1">
      <t>ツギ</t>
    </rPh>
    <rPh sb="4" eb="6">
      <t>バンゴウ</t>
    </rPh>
    <phoneticPr fontId="1"/>
  </si>
  <si>
    <t>前ページ番号</t>
    <rPh sb="0" eb="1">
      <t>マエ</t>
    </rPh>
    <rPh sb="4" eb="6">
      <t>バンゴウ</t>
    </rPh>
    <phoneticPr fontId="1"/>
  </si>
  <si>
    <t>非表示行</t>
    <rPh sb="0" eb="3">
      <t>ヒヒョウジ</t>
    </rPh>
    <rPh sb="3" eb="4">
      <t>ギョウ</t>
    </rPh>
    <phoneticPr fontId="1"/>
  </si>
  <si>
    <t>ウィンドウ固定位置</t>
    <rPh sb="5" eb="7">
      <t>コテイ</t>
    </rPh>
    <rPh sb="7" eb="9">
      <t>イチ</t>
    </rPh>
    <phoneticPr fontId="1"/>
  </si>
  <si>
    <t>データ照会中フラグ</t>
    <rPh sb="3" eb="5">
      <t>ショウカイ</t>
    </rPh>
    <rPh sb="5" eb="6">
      <t>チュウ</t>
    </rPh>
    <phoneticPr fontId="1"/>
  </si>
  <si>
    <t>【フォーカス判定】</t>
    <rPh sb="6" eb="8">
      <t>ハンテイ</t>
    </rPh>
    <phoneticPr fontId="1"/>
  </si>
  <si>
    <t>選択シート名</t>
    <rPh sb="0" eb="2">
      <t>センタク</t>
    </rPh>
    <rPh sb="5" eb="6">
      <t>メイ</t>
    </rPh>
    <phoneticPr fontId="1"/>
  </si>
  <si>
    <t>選択行番号</t>
    <rPh sb="0" eb="2">
      <t>センタク</t>
    </rPh>
    <rPh sb="2" eb="3">
      <t>ギョウ</t>
    </rPh>
    <rPh sb="3" eb="5">
      <t>バンゴウ</t>
    </rPh>
    <phoneticPr fontId="1"/>
  </si>
  <si>
    <t>選択列番号</t>
    <rPh sb="0" eb="2">
      <t>センタク</t>
    </rPh>
    <rPh sb="2" eb="3">
      <t>レツ</t>
    </rPh>
    <rPh sb="3" eb="5">
      <t>バンゴウ</t>
    </rPh>
    <phoneticPr fontId="1"/>
  </si>
  <si>
    <t>選択セル名</t>
    <rPh sb="0" eb="2">
      <t>センタク</t>
    </rPh>
    <rPh sb="4" eb="5">
      <t>メイ</t>
    </rPh>
    <phoneticPr fontId="1"/>
  </si>
  <si>
    <t>【コンボボックス】</t>
    <phoneticPr fontId="1"/>
  </si>
  <si>
    <t>【ワークテーブル用】</t>
    <rPh sb="8" eb="9">
      <t>ヨウ</t>
    </rPh>
    <phoneticPr fontId="1"/>
  </si>
  <si>
    <t>シリアル値</t>
    <rPh sb="4" eb="5">
      <t>アタイ</t>
    </rPh>
    <phoneticPr fontId="1"/>
  </si>
  <si>
    <t>処理モード</t>
    <rPh sb="0" eb="2">
      <t>ショリ</t>
    </rPh>
    <phoneticPr fontId="1"/>
  </si>
  <si>
    <t>【保存数式】</t>
    <rPh sb="1" eb="3">
      <t>ホゾン</t>
    </rPh>
    <rPh sb="3" eb="5">
      <t>スウシキ</t>
    </rPh>
    <phoneticPr fontId="1"/>
  </si>
  <si>
    <t>保存数式コピー先</t>
    <rPh sb="0" eb="2">
      <t>ホゾン</t>
    </rPh>
    <rPh sb="2" eb="4">
      <t>スウシキ</t>
    </rPh>
    <rPh sb="7" eb="8">
      <t>サキ</t>
    </rPh>
    <phoneticPr fontId="1"/>
  </si>
  <si>
    <t>保存件数</t>
    <rPh sb="0" eb="2">
      <t>ホゾン</t>
    </rPh>
    <rPh sb="2" eb="4">
      <t>ケンスウ</t>
    </rPh>
    <phoneticPr fontId="1"/>
  </si>
  <si>
    <t>【保存結果】</t>
    <rPh sb="1" eb="3">
      <t>ホゾン</t>
    </rPh>
    <rPh sb="3" eb="5">
      <t>ケッカ</t>
    </rPh>
    <phoneticPr fontId="1"/>
  </si>
  <si>
    <t>保存処理結果</t>
    <rPh sb="0" eb="2">
      <t>ホゾン</t>
    </rPh>
    <rPh sb="2" eb="4">
      <t>ショリ</t>
    </rPh>
    <rPh sb="4" eb="6">
      <t>ケッカ</t>
    </rPh>
    <phoneticPr fontId="1"/>
  </si>
  <si>
    <t>保存処理結果メッセージ</t>
    <rPh sb="0" eb="2">
      <t>ホゾン</t>
    </rPh>
    <rPh sb="2" eb="4">
      <t>ショリ</t>
    </rPh>
    <rPh sb="4" eb="6">
      <t>ケッカ</t>
    </rPh>
    <phoneticPr fontId="1"/>
  </si>
  <si>
    <t>保存エラー判定</t>
    <rPh sb="0" eb="2">
      <t>ホゾン</t>
    </rPh>
    <rPh sb="5" eb="7">
      <t>ハンテイ</t>
    </rPh>
    <phoneticPr fontId="1"/>
  </si>
  <si>
    <t>1:エラー / 2:正常終了</t>
    <rPh sb="10" eb="12">
      <t>セイジョウ</t>
    </rPh>
    <rPh sb="12" eb="14">
      <t>シュウリョウ</t>
    </rPh>
    <phoneticPr fontId="1"/>
  </si>
  <si>
    <t>エラーメッセージ</t>
  </si>
  <si>
    <t>行番号</t>
    <rPh sb="0" eb="1">
      <t>ギョウ</t>
    </rPh>
    <rPh sb="1" eb="3">
      <t>バンゴウ</t>
    </rPh>
    <phoneticPr fontId="1"/>
  </si>
  <si>
    <t>担当部署CD</t>
    <rPh sb="0" eb="2">
      <t>タントウ</t>
    </rPh>
    <rPh sb="2" eb="4">
      <t>ブショ</t>
    </rPh>
    <phoneticPr fontId="1"/>
  </si>
  <si>
    <t>リスト展開開始位置</t>
    <rPh sb="3" eb="5">
      <t>テンカイ</t>
    </rPh>
    <rPh sb="5" eb="7">
      <t>カイシ</t>
    </rPh>
    <rPh sb="7" eb="9">
      <t>イチ</t>
    </rPh>
    <phoneticPr fontId="1"/>
  </si>
  <si>
    <t>UNNH0030_H_HIDE_ROW</t>
    <phoneticPr fontId="1"/>
  </si>
  <si>
    <t>ステータス：</t>
    <phoneticPr fontId="1"/>
  </si>
  <si>
    <t>UNNH0030_H_FLG_COPY_SAKI</t>
    <phoneticPr fontId="1"/>
  </si>
  <si>
    <t>同時発行フラグ</t>
    <rPh sb="0" eb="2">
      <t>ドウジ</t>
    </rPh>
    <rPh sb="2" eb="4">
      <t>ハッコウ</t>
    </rPh>
    <phoneticPr fontId="1"/>
  </si>
  <si>
    <t>UNNH0030_H_DOJI_FLG</t>
    <phoneticPr fontId="1"/>
  </si>
  <si>
    <t>住所印字しないフラグ</t>
    <rPh sb="0" eb="2">
      <t>ジュウショ</t>
    </rPh>
    <rPh sb="2" eb="4">
      <t>インジ</t>
    </rPh>
    <phoneticPr fontId="1"/>
  </si>
  <si>
    <t>UNNH0030_H_JUSHO_NO_PRINT_FLG</t>
    <phoneticPr fontId="1"/>
  </si>
  <si>
    <t>分析方法▼</t>
    <rPh sb="0" eb="2">
      <t>ブンセキ</t>
    </rPh>
    <rPh sb="2" eb="4">
      <t>ホウホウ</t>
    </rPh>
    <phoneticPr fontId="1"/>
  </si>
  <si>
    <t>UNNH0030_H_BUSHO_CD</t>
    <phoneticPr fontId="1"/>
  </si>
  <si>
    <t>UNNH0030_H_NYURYOKUSHA_CD</t>
    <phoneticPr fontId="1"/>
  </si>
  <si>
    <t>ステータスCD</t>
    <phoneticPr fontId="1"/>
  </si>
  <si>
    <t>UNNH0030_H_STS_CD</t>
    <phoneticPr fontId="1"/>
  </si>
  <si>
    <t>伝票送付先：</t>
    <rPh sb="0" eb="2">
      <t>デンピョウ</t>
    </rPh>
    <rPh sb="2" eb="4">
      <t>ソウフ</t>
    </rPh>
    <rPh sb="4" eb="5">
      <t>サキ</t>
    </rPh>
    <phoneticPr fontId="1"/>
  </si>
  <si>
    <t>伝票区分CD</t>
    <rPh sb="0" eb="2">
      <t>デンピョウ</t>
    </rPh>
    <rPh sb="2" eb="4">
      <t>クブン</t>
    </rPh>
    <phoneticPr fontId="1"/>
  </si>
  <si>
    <t>UNNH0030_H_DEMPYO_KBN_CD</t>
    <phoneticPr fontId="1"/>
  </si>
  <si>
    <t>UNNH0030_H_SEIKYUSAKI_MEI</t>
    <phoneticPr fontId="1"/>
  </si>
  <si>
    <t>受注区分CD</t>
    <rPh sb="0" eb="2">
      <t>ジュチュウ</t>
    </rPh>
    <rPh sb="2" eb="4">
      <t>クブン</t>
    </rPh>
    <phoneticPr fontId="1"/>
  </si>
  <si>
    <t>UNNH0030_H_JUCHU_KBN_CD</t>
    <phoneticPr fontId="1"/>
  </si>
  <si>
    <t>商魂連動区分CD</t>
    <rPh sb="0" eb="2">
      <t>ショウコン</t>
    </rPh>
    <rPh sb="2" eb="4">
      <t>レンドウ</t>
    </rPh>
    <rPh sb="4" eb="6">
      <t>クブン</t>
    </rPh>
    <phoneticPr fontId="1"/>
  </si>
  <si>
    <t>UNNH0030_H_RENDO_KBN_CD</t>
    <phoneticPr fontId="1"/>
  </si>
  <si>
    <t>訂正備考：</t>
    <phoneticPr fontId="1"/>
  </si>
  <si>
    <t>商魂連動日時</t>
    <rPh sb="0" eb="2">
      <t>ショウコン</t>
    </rPh>
    <rPh sb="2" eb="4">
      <t>レンドウ</t>
    </rPh>
    <rPh sb="4" eb="6">
      <t>ニチジ</t>
    </rPh>
    <phoneticPr fontId="1"/>
  </si>
  <si>
    <t>UNNH0030_H_SHOKON_LIST_DATE_TIME</t>
    <phoneticPr fontId="1"/>
  </si>
  <si>
    <t>UNNH0030_H_TAX_RATE</t>
    <phoneticPr fontId="1"/>
  </si>
  <si>
    <t>請求先端数処理区分</t>
    <rPh sb="0" eb="2">
      <t>セイキュウ</t>
    </rPh>
    <rPh sb="2" eb="3">
      <t>サキ</t>
    </rPh>
    <rPh sb="3" eb="5">
      <t>ハスウ</t>
    </rPh>
    <rPh sb="5" eb="7">
      <t>ショリ</t>
    </rPh>
    <rPh sb="7" eb="9">
      <t>クブン</t>
    </rPh>
    <phoneticPr fontId="1"/>
  </si>
  <si>
    <t>UNNH0030_H_SEIKYUSAKI_HASU</t>
    <phoneticPr fontId="1"/>
  </si>
  <si>
    <t>UNNH0030_H_PAGE_TOTAL</t>
    <phoneticPr fontId="1"/>
  </si>
  <si>
    <t>現在ページ番号</t>
    <rPh sb="0" eb="2">
      <t>ゲンザイ</t>
    </rPh>
    <rPh sb="5" eb="7">
      <t>バンゴウ</t>
    </rPh>
    <phoneticPr fontId="1"/>
  </si>
  <si>
    <t>UNNH0030_H_PAGE_NO</t>
    <phoneticPr fontId="1"/>
  </si>
  <si>
    <t>UNNH0030_H_PAGE_PREV</t>
    <phoneticPr fontId="1"/>
  </si>
  <si>
    <t>UNNH0030_H_PAGE_NEXT</t>
    <phoneticPr fontId="1"/>
  </si>
  <si>
    <t>UNNH0030_B_HIDE_ROW</t>
    <phoneticPr fontId="1"/>
  </si>
  <si>
    <t>行区分</t>
    <rPh sb="0" eb="1">
      <t>ギョウ</t>
    </rPh>
    <rPh sb="1" eb="3">
      <t>クブン</t>
    </rPh>
    <phoneticPr fontId="1"/>
  </si>
  <si>
    <t>入数単位</t>
    <rPh sb="0" eb="1">
      <t>イ</t>
    </rPh>
    <rPh sb="1" eb="2">
      <t>スウ</t>
    </rPh>
    <rPh sb="2" eb="4">
      <t>タンイ</t>
    </rPh>
    <phoneticPr fontId="1"/>
  </si>
  <si>
    <t>UNNH0030_B_HIDE_COLUMN</t>
    <phoneticPr fontId="1"/>
  </si>
  <si>
    <t>UNNH0030_B_SCROLL_LOCK</t>
  </si>
  <si>
    <t>UNNH0030_B_LIST_START</t>
    <phoneticPr fontId="1"/>
  </si>
  <si>
    <t>入力行数</t>
    <rPh sb="0" eb="2">
      <t>ニュウリョク</t>
    </rPh>
    <rPh sb="2" eb="4">
      <t>ギョウスウ</t>
    </rPh>
    <phoneticPr fontId="1"/>
  </si>
  <si>
    <t>UNNH0030_B_GYO_COUNT</t>
    <phoneticPr fontId="1"/>
  </si>
  <si>
    <t>入力行数_加算分</t>
    <rPh sb="0" eb="2">
      <t>ニュウリョク</t>
    </rPh>
    <rPh sb="2" eb="4">
      <t>ギョウスウ</t>
    </rPh>
    <rPh sb="5" eb="7">
      <t>カサン</t>
    </rPh>
    <rPh sb="7" eb="8">
      <t>ブン</t>
    </rPh>
    <phoneticPr fontId="1"/>
  </si>
  <si>
    <t>UNNH0030_B_GYO_INCREMENT</t>
    <phoneticPr fontId="1"/>
  </si>
  <si>
    <t>入力行数_減算分</t>
    <rPh sb="0" eb="2">
      <t>ニュウリョク</t>
    </rPh>
    <rPh sb="2" eb="4">
      <t>ギョウスウ</t>
    </rPh>
    <rPh sb="5" eb="7">
      <t>ゲンサン</t>
    </rPh>
    <rPh sb="7" eb="8">
      <t>ブン</t>
    </rPh>
    <phoneticPr fontId="1"/>
  </si>
  <si>
    <t>UNNH0030_B_GYO_DECREMENT</t>
    <phoneticPr fontId="1"/>
  </si>
  <si>
    <t>商品CD展開位置</t>
    <rPh sb="0" eb="2">
      <t>ショウヒン</t>
    </rPh>
    <rPh sb="4" eb="6">
      <t>テンカイ</t>
    </rPh>
    <rPh sb="6" eb="8">
      <t>イチ</t>
    </rPh>
    <phoneticPr fontId="1"/>
  </si>
  <si>
    <t>UNNH0030_B_SHOHIN_CD_TENKAI</t>
    <phoneticPr fontId="1"/>
  </si>
  <si>
    <t>商品名展開位置</t>
    <rPh sb="0" eb="2">
      <t>ショウヒン</t>
    </rPh>
    <rPh sb="2" eb="3">
      <t>メイ</t>
    </rPh>
    <rPh sb="3" eb="5">
      <t>テンカイ</t>
    </rPh>
    <rPh sb="5" eb="7">
      <t>イチ</t>
    </rPh>
    <phoneticPr fontId="1"/>
  </si>
  <si>
    <t>UNNH0030_B_SHOHIN_MEI_TENKAI</t>
    <phoneticPr fontId="1"/>
  </si>
  <si>
    <t>原価展開位置</t>
    <rPh sb="0" eb="2">
      <t>ゲンカ</t>
    </rPh>
    <rPh sb="2" eb="4">
      <t>テンカイ</t>
    </rPh>
    <rPh sb="4" eb="6">
      <t>イチ</t>
    </rPh>
    <phoneticPr fontId="1"/>
  </si>
  <si>
    <t>UNNH0030_B_GENKA_TENKAI</t>
    <phoneticPr fontId="1"/>
  </si>
  <si>
    <t>売価展開位置</t>
    <rPh sb="0" eb="2">
      <t>バイカ</t>
    </rPh>
    <rPh sb="2" eb="4">
      <t>テンカイ</t>
    </rPh>
    <rPh sb="4" eb="6">
      <t>イチ</t>
    </rPh>
    <phoneticPr fontId="1"/>
  </si>
  <si>
    <t>UNNH0030_B_BAIKA_TENKAI</t>
    <phoneticPr fontId="1"/>
  </si>
  <si>
    <t>定価展開位置</t>
    <rPh sb="0" eb="2">
      <t>テイカ</t>
    </rPh>
    <rPh sb="2" eb="4">
      <t>テンカイ</t>
    </rPh>
    <rPh sb="4" eb="6">
      <t>イチ</t>
    </rPh>
    <phoneticPr fontId="1"/>
  </si>
  <si>
    <t>UNNH0030_B_TEIKA_TENKAI</t>
    <phoneticPr fontId="1"/>
  </si>
  <si>
    <t>入数単位展開位置</t>
    <rPh sb="0" eb="1">
      <t>イ</t>
    </rPh>
    <rPh sb="1" eb="4">
      <t>スウタンイ</t>
    </rPh>
    <rPh sb="4" eb="6">
      <t>テンカイ</t>
    </rPh>
    <rPh sb="6" eb="8">
      <t>イチ</t>
    </rPh>
    <phoneticPr fontId="1"/>
  </si>
  <si>
    <t>UNNH0030_B_IRISU_TANI_TENKAI</t>
    <phoneticPr fontId="1"/>
  </si>
  <si>
    <t>仕入入数展開位置</t>
    <rPh sb="4" eb="6">
      <t>テンカイ</t>
    </rPh>
    <rPh sb="6" eb="8">
      <t>イチ</t>
    </rPh>
    <phoneticPr fontId="1"/>
  </si>
  <si>
    <t>UNNH0030_B_SHIIRE_IRISU_TENKAI</t>
    <phoneticPr fontId="1"/>
  </si>
  <si>
    <t>仕入入数単位展開位置</t>
    <rPh sb="6" eb="8">
      <t>テンカイ</t>
    </rPh>
    <rPh sb="8" eb="10">
      <t>イチ</t>
    </rPh>
    <phoneticPr fontId="1"/>
  </si>
  <si>
    <t>UNNH0030_B_SHIIRE_TANI_TENKAI</t>
    <phoneticPr fontId="1"/>
  </si>
  <si>
    <t>バラ単位展開位置</t>
    <rPh sb="4" eb="6">
      <t>テンカイ</t>
    </rPh>
    <rPh sb="6" eb="8">
      <t>イチ</t>
    </rPh>
    <phoneticPr fontId="1"/>
  </si>
  <si>
    <t>UNNH0030_B_BARA_TANI_TENKAI</t>
    <phoneticPr fontId="1"/>
  </si>
  <si>
    <t>挿入行区分</t>
    <rPh sb="0" eb="2">
      <t>ソウニュウ</t>
    </rPh>
    <rPh sb="2" eb="3">
      <t>ギョウ</t>
    </rPh>
    <rPh sb="3" eb="5">
      <t>クブン</t>
    </rPh>
    <phoneticPr fontId="1"/>
  </si>
  <si>
    <t>UNNH0030_B_LIST_INSERT_TYPE</t>
  </si>
  <si>
    <t>1:明細 / 2:コメント / 3：値引</t>
    <rPh sb="2" eb="4">
      <t>メイサイ</t>
    </rPh>
    <rPh sb="18" eb="20">
      <t>ネビキ</t>
    </rPh>
    <phoneticPr fontId="1"/>
  </si>
  <si>
    <t>行挿入元範囲</t>
    <rPh sb="0" eb="1">
      <t>ギョウ</t>
    </rPh>
    <rPh sb="1" eb="3">
      <t>ソウニュウ</t>
    </rPh>
    <rPh sb="3" eb="4">
      <t>モト</t>
    </rPh>
    <rPh sb="4" eb="6">
      <t>ハンイ</t>
    </rPh>
    <phoneticPr fontId="1"/>
  </si>
  <si>
    <t>UNNH0030_B_LIST_INSERT_COPY_AREA</t>
  </si>
  <si>
    <t>行数式コピー先</t>
    <rPh sb="0" eb="1">
      <t>ギョウ</t>
    </rPh>
    <rPh sb="1" eb="3">
      <t>スウシキ</t>
    </rPh>
    <rPh sb="6" eb="7">
      <t>サキ</t>
    </rPh>
    <phoneticPr fontId="1"/>
  </si>
  <si>
    <t>UNNH0030_B_COPY_GYO_SUSHIKI</t>
  </si>
  <si>
    <t>クリア範囲</t>
    <rPh sb="3" eb="5">
      <t>ハンイ</t>
    </rPh>
    <phoneticPr fontId="1"/>
  </si>
  <si>
    <t>UNNH0030_B_LIST_CLEAR_AREA</t>
  </si>
  <si>
    <t>行挿入範囲</t>
    <rPh sb="0" eb="1">
      <t>ギョウ</t>
    </rPh>
    <rPh sb="1" eb="3">
      <t>ソウニュウ</t>
    </rPh>
    <rPh sb="3" eb="5">
      <t>ハンイ</t>
    </rPh>
    <phoneticPr fontId="1"/>
  </si>
  <si>
    <t>UNNH0030_B_LIST_INSERT_AREA</t>
  </si>
  <si>
    <t>行削除範囲</t>
    <rPh sb="0" eb="1">
      <t>ギョウ</t>
    </rPh>
    <rPh sb="1" eb="3">
      <t>サクジョ</t>
    </rPh>
    <rPh sb="3" eb="5">
      <t>ハンイ</t>
    </rPh>
    <phoneticPr fontId="1"/>
  </si>
  <si>
    <t>UNNH0030_B_LIST_DELETE_AREA</t>
  </si>
  <si>
    <t>複数選択コピー先</t>
    <rPh sb="0" eb="2">
      <t>フクスウ</t>
    </rPh>
    <rPh sb="2" eb="4">
      <t>センタク</t>
    </rPh>
    <rPh sb="7" eb="8">
      <t>サキ</t>
    </rPh>
    <phoneticPr fontId="1"/>
  </si>
  <si>
    <t>UNNH0030_B_MULTI_SELECT_COPY_SAKI</t>
  </si>
  <si>
    <t>【処理用】</t>
    <rPh sb="1" eb="4">
      <t>ショリヨウ</t>
    </rPh>
    <phoneticPr fontId="1"/>
  </si>
  <si>
    <t>【書式コピー元】</t>
    <rPh sb="1" eb="3">
      <t>ショシキ</t>
    </rPh>
    <rPh sb="6" eb="7">
      <t>モト</t>
    </rPh>
    <phoneticPr fontId="1"/>
  </si>
  <si>
    <t>【保存】</t>
    <rPh sb="1" eb="3">
      <t>ホゾン</t>
    </rPh>
    <phoneticPr fontId="1"/>
  </si>
  <si>
    <t>【複数商品追加】</t>
    <rPh sb="1" eb="3">
      <t>フクスウ</t>
    </rPh>
    <rPh sb="3" eb="5">
      <t>ショウヒン</t>
    </rPh>
    <rPh sb="5" eb="7">
      <t>ツイカ</t>
    </rPh>
    <phoneticPr fontId="1"/>
  </si>
  <si>
    <t>UNNH0030_IF_FLG_COPY_MOTO</t>
    <phoneticPr fontId="1"/>
  </si>
  <si>
    <t>【ヘッダ】</t>
    <phoneticPr fontId="1"/>
  </si>
  <si>
    <t>【ボディ】</t>
    <phoneticPr fontId="1"/>
  </si>
  <si>
    <t>処理用</t>
    <rPh sb="0" eb="2">
      <t>ショリ</t>
    </rPh>
    <rPh sb="2" eb="3">
      <t>ヨウ</t>
    </rPh>
    <phoneticPr fontId="1"/>
  </si>
  <si>
    <t>ヘッダ</t>
    <phoneticPr fontId="1"/>
  </si>
  <si>
    <t>ボディ</t>
    <phoneticPr fontId="1"/>
  </si>
  <si>
    <t>UNNH0030_IF_MULTI_SELECT_LIST_GYO</t>
  </si>
  <si>
    <t>UNNH0030_IF_MULTI_SELECT_LIST_KINGAKU</t>
  </si>
  <si>
    <t>UNNH0030_IF_MULTI_SELECT_LIST_SOSU</t>
  </si>
  <si>
    <t>UNNH0030_IF_MULTI_SELECT_LIST_ARARI_AREA</t>
  </si>
  <si>
    <t>UNNH0030_IF_DATA_SEARCH_FLG</t>
  </si>
  <si>
    <t>ON:1</t>
  </si>
  <si>
    <t>OFF:1以外</t>
    <rPh sb="5" eb="7">
      <t>イガイ</t>
    </rPh>
    <phoneticPr fontId="1"/>
  </si>
  <si>
    <t>リスト名</t>
    <rPh sb="3" eb="4">
      <t>メイ</t>
    </rPh>
    <phoneticPr fontId="1"/>
  </si>
  <si>
    <t>敬称</t>
    <rPh sb="0" eb="2">
      <t>ケイショウ</t>
    </rPh>
    <phoneticPr fontId="1"/>
  </si>
  <si>
    <t>UNNH0030_H_DOJI_FLG</t>
    <phoneticPr fontId="1"/>
  </si>
  <si>
    <t>必須情報</t>
    <rPh sb="0" eb="2">
      <t>ヒッス</t>
    </rPh>
    <rPh sb="2" eb="4">
      <t>ジョウホウ</t>
    </rPh>
    <phoneticPr fontId="1"/>
  </si>
  <si>
    <t>保存数式コピー元</t>
    <rPh sb="0" eb="2">
      <t>ホゾン</t>
    </rPh>
    <rPh sb="2" eb="4">
      <t>スウシキ</t>
    </rPh>
    <rPh sb="7" eb="8">
      <t>モト</t>
    </rPh>
    <phoneticPr fontId="1"/>
  </si>
  <si>
    <t>UNNH0030_IF_SAVE_COPY_MOTO</t>
  </si>
  <si>
    <t>複数商品選択件数</t>
    <rPh sb="0" eb="2">
      <t>フクスウ</t>
    </rPh>
    <rPh sb="2" eb="4">
      <t>ショウヒン</t>
    </rPh>
    <rPh sb="4" eb="6">
      <t>センタク</t>
    </rPh>
    <rPh sb="6" eb="8">
      <t>ケンスウ</t>
    </rPh>
    <phoneticPr fontId="1"/>
  </si>
  <si>
    <t>UNNH0030_IF_MULTI_SELECT_KENSU</t>
  </si>
  <si>
    <t>対象売上/受理/見積No.</t>
    <rPh sb="0" eb="2">
      <t>タイショウ</t>
    </rPh>
    <rPh sb="2" eb="4">
      <t>ウリアゲ</t>
    </rPh>
    <rPh sb="5" eb="7">
      <t>ジュリ</t>
    </rPh>
    <rPh sb="8" eb="10">
      <t>ミツモリ</t>
    </rPh>
    <phoneticPr fontId="1"/>
  </si>
  <si>
    <t>UNNH0030_IF_REF_NO</t>
    <phoneticPr fontId="1"/>
  </si>
  <si>
    <t>U16-010001</t>
    <phoneticPr fontId="1"/>
  </si>
  <si>
    <t>件数</t>
    <rPh sb="0" eb="2">
      <t>ケンスウ</t>
    </rPh>
    <phoneticPr fontId="1"/>
  </si>
  <si>
    <t>UNNH0030_H_JUSHO_NO_PRINT_FLG</t>
    <phoneticPr fontId="1"/>
  </si>
  <si>
    <t>【新規】</t>
    <rPh sb="1" eb="3">
      <t>シンキ</t>
    </rPh>
    <phoneticPr fontId="1"/>
  </si>
  <si>
    <t>【明細行】</t>
    <rPh sb="1" eb="3">
      <t>メイサイ</t>
    </rPh>
    <rPh sb="3" eb="4">
      <t>ギョウ</t>
    </rPh>
    <phoneticPr fontId="1"/>
  </si>
  <si>
    <t>UNNH0030_IF_COPY_B_MEISAI_SHINKI</t>
  </si>
  <si>
    <t>UNNH0030_IF_COPY_B_MEISAI_KINGAKU_SUSHIKI</t>
  </si>
  <si>
    <t>UNNH0030_IF_COPY_B_MEISAI_TOTAL_SUSHIKI</t>
  </si>
  <si>
    <t>UNNH0030_IF_COPY_B_MEISAI_ARARI_SUSHIKI</t>
  </si>
  <si>
    <t>ユーザーID</t>
    <phoneticPr fontId="1"/>
  </si>
  <si>
    <t>UNNH0030_IF_W_USER_ID</t>
  </si>
  <si>
    <t>必須チェック設定</t>
    <rPh sb="0" eb="2">
      <t>ヒッス</t>
    </rPh>
    <rPh sb="6" eb="8">
      <t>セッテイ</t>
    </rPh>
    <phoneticPr fontId="1"/>
  </si>
  <si>
    <t>【保存対象】</t>
    <rPh sb="1" eb="3">
      <t>ホゾン</t>
    </rPh>
    <rPh sb="3" eb="5">
      <t>タイショウ</t>
    </rPh>
    <phoneticPr fontId="1"/>
  </si>
  <si>
    <t>UNNH0030_IF_SAVE_JOGAI_GYO</t>
    <phoneticPr fontId="1"/>
  </si>
  <si>
    <t>W_USER_ID</t>
  </si>
  <si>
    <t>W_SERIAL</t>
  </si>
  <si>
    <t>W_PAGE</t>
  </si>
  <si>
    <t>W_ROW</t>
  </si>
  <si>
    <t>W_MODE</t>
  </si>
  <si>
    <t>URIAGE_NO</t>
  </si>
  <si>
    <t>DEMPYO_KBN</t>
  </si>
  <si>
    <t>RENDO_KBN</t>
  </si>
  <si>
    <t>URIAGE_DATE</t>
  </si>
  <si>
    <t>BUSHO_CD</t>
  </si>
  <si>
    <t>URIAGE_NYURYOKUSHA_CD</t>
  </si>
  <si>
    <t>NYURYOKU_DATE_TIME</t>
    <phoneticPr fontId="1"/>
  </si>
  <si>
    <t>JUCHU_KBN</t>
  </si>
  <si>
    <t>JURI_NO</t>
  </si>
  <si>
    <t>MITSU_NO</t>
  </si>
  <si>
    <t>SAKI_URIAGE_NO</t>
  </si>
  <si>
    <t>NOHIN_DATE</t>
  </si>
  <si>
    <t>URIAGE_STS</t>
  </si>
  <si>
    <t>DOJI_FLG</t>
  </si>
  <si>
    <t>SEIKYU_CD</t>
  </si>
  <si>
    <t>KAISHU_DATE</t>
  </si>
  <si>
    <t>BUNSEKI_HOHO</t>
    <phoneticPr fontId="1"/>
  </si>
  <si>
    <t>TEKIYO_H</t>
  </si>
  <si>
    <t>DEMPYO_SOFU_MEI</t>
  </si>
  <si>
    <t>KEISHO</t>
  </si>
  <si>
    <t>YUBIN_NO</t>
  </si>
  <si>
    <t>ADDRESS_1</t>
  </si>
  <si>
    <t>ADDRESS_2</t>
  </si>
  <si>
    <t>TEL</t>
  </si>
  <si>
    <t>FAX</t>
  </si>
  <si>
    <t>SOFU_TANTO</t>
  </si>
  <si>
    <t>TEISEI_BIKO</t>
  </si>
  <si>
    <t>JUSHO_NO_PRINT_FLG</t>
  </si>
  <si>
    <t>TAX_RATE</t>
  </si>
  <si>
    <t>NUKI_TOTAL</t>
  </si>
  <si>
    <t>TAX</t>
  </si>
  <si>
    <t>KOMI_TOTAL</t>
  </si>
  <si>
    <t>GENKA_TOTAL</t>
  </si>
  <si>
    <t>ARARIEKI_H</t>
  </si>
  <si>
    <t>ARARIRITSU_H</t>
  </si>
  <si>
    <t>SHOKON_NO</t>
  </si>
  <si>
    <t>SHOKON_LIST_DATE_TIME</t>
  </si>
  <si>
    <t>GYO_NO</t>
  </si>
  <si>
    <t>ROW_KBN</t>
  </si>
  <si>
    <t>SHOHIN_CD</t>
  </si>
  <si>
    <t>SHOHIN_MEI</t>
  </si>
  <si>
    <t>URIAGE_SURYO</t>
  </si>
  <si>
    <t>URIAGE_SURYO_TANI</t>
  </si>
  <si>
    <t>HAMBAI_TANKA</t>
  </si>
  <si>
    <t>HAMBAI_KINGAKU</t>
  </si>
  <si>
    <t>TEKIYO_B</t>
  </si>
  <si>
    <t>GENTANKA</t>
  </si>
  <si>
    <t>GENKA_SURYO</t>
  </si>
  <si>
    <t>IRISU_TANI</t>
  </si>
  <si>
    <t>SOSU</t>
  </si>
  <si>
    <t>BARA_TANI</t>
  </si>
  <si>
    <t>GENKA_KINGAKU</t>
  </si>
  <si>
    <t>ARARIRITSU_B</t>
  </si>
  <si>
    <t>ARARIEKI_B</t>
  </si>
  <si>
    <t>TEIKA</t>
  </si>
  <si>
    <t>DEL_FLG</t>
  </si>
  <si>
    <t>DBS_STATUS</t>
  </si>
  <si>
    <t>DBS_CREATE_USER</t>
  </si>
  <si>
    <t>DBS_CREATE_DATE</t>
  </si>
  <si>
    <t>DBS_UPDATE_USER</t>
  </si>
  <si>
    <t>DBS_UPDATE_DATE</t>
  </si>
  <si>
    <t>複数商品選択展開開始位置</t>
    <rPh sb="0" eb="2">
      <t>フクスウ</t>
    </rPh>
    <rPh sb="2" eb="4">
      <t>ショウヒン</t>
    </rPh>
    <rPh sb="4" eb="6">
      <t>センタク</t>
    </rPh>
    <rPh sb="6" eb="8">
      <t>テンカイ</t>
    </rPh>
    <rPh sb="8" eb="10">
      <t>カイシ</t>
    </rPh>
    <rPh sb="10" eb="12">
      <t>イチ</t>
    </rPh>
    <phoneticPr fontId="1"/>
  </si>
  <si>
    <t>UNNH0030_IF_MULTI_SELECT_TENKAI_START</t>
  </si>
  <si>
    <t>対象履歴No.</t>
    <rPh sb="0" eb="2">
      <t>タイショウ</t>
    </rPh>
    <rPh sb="2" eb="4">
      <t>リレキ</t>
    </rPh>
    <phoneticPr fontId="1"/>
  </si>
  <si>
    <t>UNNH0030_IF_RIREKI_NO</t>
    <phoneticPr fontId="1"/>
  </si>
  <si>
    <t>UNNH0030_IF_LIST_DEMPYO_KBN</t>
  </si>
  <si>
    <t>「=OFFSET(UNNH0030_IF_LIST_DEMPYO_KBN_START,,,IF(UNNH0030_IF_LIST_DEMPYO_KBN_KENSU=0,1,UNNH0030_IF_LIST_DEMPYO_KBN_KENSU),1)」</t>
  </si>
  <si>
    <t>UNNH0030_IF_LIST_KEISHO_KBN</t>
  </si>
  <si>
    <t>「=OFFSET(UNNH0030_IF_LIST_KEISHO_KBN_START,,,IF(UNNH0030_IF_LIST_KEISHO_KBN_KENSU=0,1,UNNH0030_IF_LIST_KEISHO_KBN_KENSU),1)」</t>
    <phoneticPr fontId="1"/>
  </si>
  <si>
    <t>UNNH0030_IF_COPY_H_SHINKI</t>
    <phoneticPr fontId="1"/>
  </si>
  <si>
    <t>UNNH0030_IF_COPY_B_GYO_SUSHIKI</t>
  </si>
  <si>
    <t>UNNH0030_IF_W_SERIAL</t>
  </si>
  <si>
    <t>結果出力先シート名</t>
    <rPh sb="0" eb="2">
      <t>ケッカ</t>
    </rPh>
    <rPh sb="2" eb="5">
      <t>シュツリョクサキ</t>
    </rPh>
    <rPh sb="8" eb="9">
      <t>メイ</t>
    </rPh>
    <phoneticPr fontId="1"/>
  </si>
  <si>
    <t>UNNH0030_IF</t>
  </si>
  <si>
    <t>除外行</t>
    <rPh sb="0" eb="2">
      <t>ジョガイ</t>
    </rPh>
    <rPh sb="2" eb="3">
      <t>ギョウ</t>
    </rPh>
    <phoneticPr fontId="1"/>
  </si>
  <si>
    <t>ユーザID</t>
  </si>
  <si>
    <t>シリアル</t>
  </si>
  <si>
    <t>行番号</t>
  </si>
  <si>
    <t>処理モード</t>
  </si>
  <si>
    <t>売上No.</t>
  </si>
  <si>
    <t>伝票区分</t>
  </si>
  <si>
    <t>商魂連動区分</t>
  </si>
  <si>
    <t>売上日</t>
  </si>
  <si>
    <t>担当部署CD</t>
  </si>
  <si>
    <t>売上入力者CD</t>
  </si>
  <si>
    <t>入力日時</t>
    <rPh sb="0" eb="2">
      <t>ニュウリョク</t>
    </rPh>
    <rPh sb="2" eb="4">
      <t>ニチジ</t>
    </rPh>
    <phoneticPr fontId="1"/>
  </si>
  <si>
    <t>受注区分</t>
  </si>
  <si>
    <t>対象受理No.</t>
  </si>
  <si>
    <t>対象見積No.</t>
  </si>
  <si>
    <t>結合先売上No.</t>
  </si>
  <si>
    <t>納品日</t>
  </si>
  <si>
    <t>売上ステータス</t>
  </si>
  <si>
    <t>同時発行フラグ</t>
  </si>
  <si>
    <t>請求先CD</t>
  </si>
  <si>
    <t>回収予定日</t>
  </si>
  <si>
    <t>分析方法</t>
    <rPh sb="0" eb="2">
      <t>ブンセキ</t>
    </rPh>
    <rPh sb="2" eb="4">
      <t>ホウホウ</t>
    </rPh>
    <phoneticPr fontId="1"/>
  </si>
  <si>
    <t>摘要</t>
  </si>
  <si>
    <t>伝票送付先名</t>
  </si>
  <si>
    <t>敬称</t>
  </si>
  <si>
    <t>送付先郵便番号</t>
  </si>
  <si>
    <t>送付先住所１</t>
  </si>
  <si>
    <t>送付先住所２</t>
  </si>
  <si>
    <t>送付先TEL</t>
  </si>
  <si>
    <t>送付先FAX</t>
  </si>
  <si>
    <t>送付先担当者</t>
  </si>
  <si>
    <t>訂正備考</t>
  </si>
  <si>
    <t>住所印字不要フラグ</t>
  </si>
  <si>
    <t>税率</t>
  </si>
  <si>
    <t>税抜合計</t>
  </si>
  <si>
    <t>消費税</t>
  </si>
  <si>
    <t>税込合計</t>
  </si>
  <si>
    <t>原価合計</t>
  </si>
  <si>
    <t>粗利益</t>
  </si>
  <si>
    <t>粗利率</t>
  </si>
  <si>
    <t>商魂伝票No.</t>
  </si>
  <si>
    <t>連動日時</t>
  </si>
  <si>
    <t>行No.</t>
  </si>
  <si>
    <t>行区分</t>
  </si>
  <si>
    <t>商品CD</t>
  </si>
  <si>
    <t>商品名</t>
  </si>
  <si>
    <t>売上数量</t>
  </si>
  <si>
    <t>売上数量単位</t>
  </si>
  <si>
    <t>販売単価</t>
  </si>
  <si>
    <t>販売金額</t>
  </si>
  <si>
    <t>原単価</t>
  </si>
  <si>
    <t>原価数量</t>
  </si>
  <si>
    <t>入数単位</t>
  </si>
  <si>
    <t>総数</t>
  </si>
  <si>
    <t>バラ単位</t>
  </si>
  <si>
    <t>原価金額</t>
  </si>
  <si>
    <t>定価</t>
  </si>
  <si>
    <t>削除フラグ</t>
  </si>
  <si>
    <t>レコード状態</t>
  </si>
  <si>
    <t>作成ユーザＩＤ</t>
  </si>
  <si>
    <t>作成日時</t>
  </si>
  <si>
    <t>更新ユーザＩＤ</t>
  </si>
  <si>
    <t>更新日時</t>
  </si>
  <si>
    <t>展開件数</t>
    <rPh sb="0" eb="2">
      <t>テンカイ</t>
    </rPh>
    <rPh sb="2" eb="4">
      <t>ケンスウ</t>
    </rPh>
    <phoneticPr fontId="1"/>
  </si>
  <si>
    <t>UNNH0030_IF_MULTI_SELECT_TENKAI_KENSU</t>
  </si>
  <si>
    <t>複数商品選択フラグ</t>
    <rPh sb="0" eb="2">
      <t>フクスウ</t>
    </rPh>
    <rPh sb="2" eb="4">
      <t>ショウヒン</t>
    </rPh>
    <rPh sb="4" eb="6">
      <t>センタク</t>
    </rPh>
    <phoneticPr fontId="1"/>
  </si>
  <si>
    <t>UNNH0030_IF_MULTI_SELECT_FLG</t>
  </si>
  <si>
    <t>OFF:2</t>
  </si>
  <si>
    <t>名称</t>
    <rPh sb="0" eb="2">
      <t>メイショウ</t>
    </rPh>
    <phoneticPr fontId="1"/>
  </si>
  <si>
    <t>コード</t>
    <phoneticPr fontId="1"/>
  </si>
  <si>
    <t>コード</t>
  </si>
  <si>
    <t>シリアル生成</t>
    <rPh sb="4" eb="6">
      <t>セイセイ</t>
    </rPh>
    <phoneticPr fontId="1"/>
  </si>
  <si>
    <t>UNNH0030_IF_W_SERIAL_CREATE</t>
  </si>
  <si>
    <t>結果出力先セル</t>
    <rPh sb="0" eb="2">
      <t>ケッカ</t>
    </rPh>
    <rPh sb="2" eb="5">
      <t>シュツリョクサキ</t>
    </rPh>
    <phoneticPr fontId="1"/>
  </si>
  <si>
    <t>展開開始位置</t>
    <rPh sb="0" eb="2">
      <t>テンカイ</t>
    </rPh>
    <rPh sb="2" eb="4">
      <t>カイシ</t>
    </rPh>
    <rPh sb="4" eb="6">
      <t>イチ</t>
    </rPh>
    <phoneticPr fontId="1"/>
  </si>
  <si>
    <t>UNNH0030_IF_SAVE_COPY_START</t>
  </si>
  <si>
    <t>展開処理実行判定</t>
    <rPh sb="0" eb="2">
      <t>テンカイ</t>
    </rPh>
    <rPh sb="2" eb="4">
      <t>ショリ</t>
    </rPh>
    <rPh sb="4" eb="6">
      <t>ジッコウ</t>
    </rPh>
    <rPh sb="6" eb="8">
      <t>ハンテイ</t>
    </rPh>
    <phoneticPr fontId="1"/>
  </si>
  <si>
    <t>UNNH0030_IF_MULTI_SELECT_CHECK</t>
  </si>
  <si>
    <t>1:有効 / 2:無効</t>
    <rPh sb="2" eb="4">
      <t>ユウコウ</t>
    </rPh>
    <rPh sb="9" eb="11">
      <t>ムコウ</t>
    </rPh>
    <phoneticPr fontId="1"/>
  </si>
  <si>
    <t>保存後処理判定</t>
    <rPh sb="0" eb="2">
      <t>ホゾン</t>
    </rPh>
    <rPh sb="2" eb="3">
      <t>ゴ</t>
    </rPh>
    <rPh sb="3" eb="5">
      <t>ショリ</t>
    </rPh>
    <rPh sb="5" eb="7">
      <t>ハンテイ</t>
    </rPh>
    <phoneticPr fontId="1"/>
  </si>
  <si>
    <t>UNNH0030_IF_PAGE_SAVE_CHECK</t>
    <phoneticPr fontId="1"/>
  </si>
  <si>
    <t>現ページが2以上かつ&gt;=総ページの場合、削除後、前ページを表示する</t>
    <rPh sb="0" eb="1">
      <t>ゲン</t>
    </rPh>
    <rPh sb="6" eb="8">
      <t>イジョウ</t>
    </rPh>
    <rPh sb="12" eb="13">
      <t>ソウ</t>
    </rPh>
    <rPh sb="17" eb="19">
      <t>バアイ</t>
    </rPh>
    <rPh sb="20" eb="22">
      <t>サクジョ</t>
    </rPh>
    <rPh sb="22" eb="23">
      <t>ゴ</t>
    </rPh>
    <rPh sb="24" eb="25">
      <t>マエ</t>
    </rPh>
    <rPh sb="29" eb="31">
      <t>ヒョウジ</t>
    </rPh>
    <phoneticPr fontId="1"/>
  </si>
  <si>
    <t>【コメント行】</t>
    <rPh sb="5" eb="6">
      <t>ギョウ</t>
    </rPh>
    <phoneticPr fontId="1"/>
  </si>
  <si>
    <t>UNNH0030_IF_COPY_B_COMMENT_SHINKI</t>
  </si>
  <si>
    <t>UNNH0030_IF_W_MODE</t>
  </si>
  <si>
    <t>0:読込 / 1:新規保存 / 2:更新 / 3:削除 / 4:受注データ検索接続 / 5:受注接続一括保存 / 6:参照作成 / 7:履歴データ取得 / 8:伝票発行済設定 / 9(ELSE):ワークテーブルクリア</t>
    <phoneticPr fontId="1"/>
  </si>
  <si>
    <t>項目名</t>
    <rPh sb="0" eb="3">
      <t>コウモクメイ</t>
    </rPh>
    <phoneticPr fontId="1"/>
  </si>
  <si>
    <t>情報</t>
    <rPh sb="0" eb="2">
      <t>ジョウホウ</t>
    </rPh>
    <phoneticPr fontId="1"/>
  </si>
  <si>
    <t>展開後件数</t>
    <rPh sb="0" eb="2">
      <t>テンカイ</t>
    </rPh>
    <rPh sb="2" eb="3">
      <t>ゴ</t>
    </rPh>
    <rPh sb="3" eb="5">
      <t>ケンスウ</t>
    </rPh>
    <phoneticPr fontId="1"/>
  </si>
  <si>
    <t>UNNH0030_IF_MULTI_SELECT_GYO_INCREMENT</t>
  </si>
  <si>
    <t>【モード判定】</t>
    <rPh sb="4" eb="6">
      <t>ハンテイ</t>
    </rPh>
    <phoneticPr fontId="1"/>
  </si>
  <si>
    <t>様</t>
    <rPh sb="0" eb="1">
      <t>サマ</t>
    </rPh>
    <phoneticPr fontId="1"/>
  </si>
  <si>
    <t>comment</t>
    <phoneticPr fontId="1"/>
  </si>
  <si>
    <t>シート名</t>
    <rPh sb="3" eb="4">
      <t>メイ</t>
    </rPh>
    <phoneticPr fontId="1"/>
  </si>
  <si>
    <t>UNNH0030_H</t>
  </si>
  <si>
    <t>表示モード</t>
    <rPh sb="0" eb="2">
      <t>ヒョウジ</t>
    </rPh>
    <phoneticPr fontId="1"/>
  </si>
  <si>
    <t>UNNH0030_IF_MODE</t>
    <phoneticPr fontId="1"/>
  </si>
  <si>
    <t>1：新規2：修正0：参照</t>
    <rPh sb="2" eb="4">
      <t>シンキ</t>
    </rPh>
    <rPh sb="6" eb="8">
      <t>シュウセイ</t>
    </rPh>
    <rPh sb="10" eb="12">
      <t>サンショウ</t>
    </rPh>
    <phoneticPr fontId="1"/>
  </si>
  <si>
    <t>一時保存フラグ</t>
    <rPh sb="0" eb="2">
      <t>イチジ</t>
    </rPh>
    <rPh sb="2" eb="4">
      <t>ホゾン</t>
    </rPh>
    <phoneticPr fontId="1"/>
  </si>
  <si>
    <t>UNNH0030_SAVE_TEMP_FLG</t>
  </si>
  <si>
    <t>ON:1 / OFF:1以外</t>
    <rPh sb="12" eb="14">
      <t>イガイ</t>
    </rPh>
    <phoneticPr fontId="1"/>
  </si>
  <si>
    <t>入力チェックセル名</t>
    <rPh sb="0" eb="2">
      <t>ニュウリョク</t>
    </rPh>
    <rPh sb="8" eb="9">
      <t>メイ</t>
    </rPh>
    <phoneticPr fontId="1"/>
  </si>
  <si>
    <t>書式コピー先</t>
    <rPh sb="0" eb="2">
      <t>ショシキ</t>
    </rPh>
    <rPh sb="5" eb="6">
      <t>サキ</t>
    </rPh>
    <phoneticPr fontId="1"/>
  </si>
  <si>
    <t>UNNH0030_IF_MULTI_SELECT_SHOSHIKI_COPY_SAKI</t>
  </si>
  <si>
    <t>受注データ接続モード</t>
    <rPh sb="0" eb="2">
      <t>ジュチュウ</t>
    </rPh>
    <rPh sb="5" eb="7">
      <t>セツゾク</t>
    </rPh>
    <phoneticPr fontId="1"/>
  </si>
  <si>
    <t>UNNH0030_IF_JUCHU_MODE</t>
    <phoneticPr fontId="1"/>
  </si>
  <si>
    <t>【値引行】</t>
    <rPh sb="1" eb="3">
      <t>ネビ</t>
    </rPh>
    <rPh sb="3" eb="4">
      <t>ギョウ</t>
    </rPh>
    <phoneticPr fontId="1"/>
  </si>
  <si>
    <t>UNNH0030_IF_COPY_B_NEBIKI_DIR_SHINKI</t>
  </si>
  <si>
    <t>入力チェックセル項目名</t>
    <rPh sb="0" eb="2">
      <t>ニュウリョク</t>
    </rPh>
    <rPh sb="8" eb="11">
      <t>コウモクメイ</t>
    </rPh>
    <phoneticPr fontId="1"/>
  </si>
  <si>
    <t>行数式コピー先</t>
    <rPh sb="0" eb="2">
      <t>ギョウスウ</t>
    </rPh>
    <rPh sb="2" eb="3">
      <t>シキ</t>
    </rPh>
    <rPh sb="6" eb="7">
      <t>サキ</t>
    </rPh>
    <phoneticPr fontId="1"/>
  </si>
  <si>
    <t>UNNH0030_IF_MULTI_SELECT_GYO_SUSHIKI_COPY_SAKI</t>
  </si>
  <si>
    <t>結合用</t>
    <rPh sb="0" eb="3">
      <t>ケツゴウヨウ</t>
    </rPh>
    <phoneticPr fontId="1"/>
  </si>
  <si>
    <t>nebiki_dir</t>
    <phoneticPr fontId="1"/>
  </si>
  <si>
    <t>値引</t>
    <rPh sb="0" eb="2">
      <t>ネビキ</t>
    </rPh>
    <phoneticPr fontId="1"/>
  </si>
  <si>
    <t>入力チェック・リスト</t>
    <rPh sb="0" eb="2">
      <t>ニュウリョク</t>
    </rPh>
    <phoneticPr fontId="1"/>
  </si>
  <si>
    <t>金額数式コピー先</t>
    <rPh sb="0" eb="2">
      <t>キンガク</t>
    </rPh>
    <rPh sb="2" eb="4">
      <t>スウシキ</t>
    </rPh>
    <rPh sb="7" eb="8">
      <t>サキ</t>
    </rPh>
    <phoneticPr fontId="1"/>
  </si>
  <si>
    <t>UNNH0030_IF_MULTI_SELECT_KINGAKU_SUSHIKI_COPY_SAKI</t>
  </si>
  <si>
    <t>UNNH0030_IF_SAVE_COPY_SAKI</t>
  </si>
  <si>
    <t>総数数式コピー先</t>
    <rPh sb="0" eb="2">
      <t>ソウスウ</t>
    </rPh>
    <rPh sb="2" eb="4">
      <t>スウシキ</t>
    </rPh>
    <rPh sb="7" eb="8">
      <t>サキ</t>
    </rPh>
    <phoneticPr fontId="1"/>
  </si>
  <si>
    <t>UNNH0030_IF_MULTI_SELECT_SOSU_SUSHIKI_COPY_SAKI</t>
  </si>
  <si>
    <t>UNNH0030_IF_ACTIVE_SHEET</t>
    <phoneticPr fontId="1"/>
  </si>
  <si>
    <t>UNNH0030_B</t>
  </si>
  <si>
    <t>UNNH0030_IF_SAVE_KENSU</t>
  </si>
  <si>
    <t>開始位置</t>
    <rPh sb="0" eb="2">
      <t>カイシ</t>
    </rPh>
    <rPh sb="2" eb="4">
      <t>イチ</t>
    </rPh>
    <phoneticPr fontId="1"/>
  </si>
  <si>
    <t>原価・粗利数式コピー先</t>
    <rPh sb="0" eb="2">
      <t>ゲンカ</t>
    </rPh>
    <rPh sb="3" eb="5">
      <t>アラリ</t>
    </rPh>
    <rPh sb="5" eb="7">
      <t>スウシキ</t>
    </rPh>
    <rPh sb="10" eb="11">
      <t>サキ</t>
    </rPh>
    <phoneticPr fontId="1"/>
  </si>
  <si>
    <t>UNNH0030_IF_MULTI_SELECT_GENKA_SUSHIKI_COPY_SAKI</t>
  </si>
  <si>
    <t>UNNH0030_IF_ACTIVE_ROW</t>
    <phoneticPr fontId="1"/>
  </si>
  <si>
    <t>横幅（列数）</t>
    <rPh sb="0" eb="2">
      <t>ヨコハバ</t>
    </rPh>
    <rPh sb="3" eb="4">
      <t>レツ</t>
    </rPh>
    <rPh sb="4" eb="5">
      <t>スウ</t>
    </rPh>
    <phoneticPr fontId="1"/>
  </si>
  <si>
    <t>UNNH0030_IF_ACTIVE_COLUMN</t>
    <phoneticPr fontId="1"/>
  </si>
  <si>
    <t>縦幅（行数）</t>
    <rPh sb="0" eb="2">
      <t>タテハバ</t>
    </rPh>
    <rPh sb="3" eb="5">
      <t>ギョウスウ</t>
    </rPh>
    <phoneticPr fontId="1"/>
  </si>
  <si>
    <t>コピー元</t>
    <rPh sb="3" eb="4">
      <t>モト</t>
    </rPh>
    <phoneticPr fontId="1"/>
  </si>
  <si>
    <t>UNNH0030_IF_MULTI_SELECT_COPY_MOTO</t>
  </si>
  <si>
    <t>【修正】</t>
    <rPh sb="1" eb="3">
      <t>シュウセイ</t>
    </rPh>
    <phoneticPr fontId="1"/>
  </si>
  <si>
    <t>UNNH0030_IF_COPY_B_MEISAI_SHUSEI</t>
  </si>
  <si>
    <t>項目名リスト</t>
    <rPh sb="0" eb="2">
      <t>コウモク</t>
    </rPh>
    <rPh sb="2" eb="3">
      <t>メイ</t>
    </rPh>
    <phoneticPr fontId="1"/>
  </si>
  <si>
    <t>商品CD,商品名,売上数量,売上数量単位,販売単価</t>
    <rPh sb="0" eb="2">
      <t>ショウヒン</t>
    </rPh>
    <rPh sb="5" eb="8">
      <t>ショウヒンメイ</t>
    </rPh>
    <rPh sb="9" eb="11">
      <t>ウリアゲ</t>
    </rPh>
    <rPh sb="11" eb="13">
      <t>スウリョウ</t>
    </rPh>
    <rPh sb="14" eb="16">
      <t>ウリアゲ</t>
    </rPh>
    <rPh sb="16" eb="18">
      <t>スウリョウ</t>
    </rPh>
    <rPh sb="18" eb="20">
      <t>タンイ</t>
    </rPh>
    <rPh sb="21" eb="23">
      <t>ハンバイ</t>
    </rPh>
    <rPh sb="23" eb="25">
      <t>タンカ</t>
    </rPh>
    <phoneticPr fontId="1"/>
  </si>
  <si>
    <t>UNNH0030_IF_ACTIVE_CELL_NAME</t>
    <phoneticPr fontId="1"/>
  </si>
  <si>
    <t>UNNH0030_B_SHIRYO_MEI</t>
  </si>
  <si>
    <t>除外セル(アドレス)</t>
    <rPh sb="0" eb="2">
      <t>ジョガイ</t>
    </rPh>
    <phoneticPr fontId="1"/>
  </si>
  <si>
    <t>除外列リスト(列数)</t>
    <rPh sb="0" eb="2">
      <t>ジョガイ</t>
    </rPh>
    <rPh sb="2" eb="3">
      <t>レツ</t>
    </rPh>
    <rPh sb="7" eb="8">
      <t>レツ</t>
    </rPh>
    <rPh sb="8" eb="9">
      <t>スウ</t>
    </rPh>
    <phoneticPr fontId="1"/>
  </si>
  <si>
    <t>UNNH0030_IF_COPY_B_COMMENT_SHUSEI</t>
  </si>
  <si>
    <t>除外行リスト(行数)</t>
    <rPh sb="0" eb="2">
      <t>ジョガイ</t>
    </rPh>
    <rPh sb="2" eb="3">
      <t>ギョウ</t>
    </rPh>
    <rPh sb="7" eb="9">
      <t>ギョウスウ</t>
    </rPh>
    <phoneticPr fontId="1"/>
  </si>
  <si>
    <t>【ボタン名】</t>
    <rPh sb="4" eb="5">
      <t>メイ</t>
    </rPh>
    <phoneticPr fontId="1"/>
  </si>
  <si>
    <t>新規</t>
    <rPh sb="0" eb="2">
      <t>シンキ</t>
    </rPh>
    <phoneticPr fontId="1"/>
  </si>
  <si>
    <t>参照</t>
    <rPh sb="0" eb="2">
      <t>サンショウ</t>
    </rPh>
    <phoneticPr fontId="1"/>
  </si>
  <si>
    <t>※エラー結果をExcelシートに出力</t>
    <rPh sb="4" eb="6">
      <t>ケッカ</t>
    </rPh>
    <rPh sb="16" eb="18">
      <t>シュツリョク</t>
    </rPh>
    <phoneticPr fontId="1"/>
  </si>
  <si>
    <t>修正/参照ボタン</t>
    <rPh sb="0" eb="2">
      <t>シュウセイ</t>
    </rPh>
    <rPh sb="3" eb="5">
      <t>サンショウ</t>
    </rPh>
    <phoneticPr fontId="1"/>
  </si>
  <si>
    <t>UNNH0030_IF_BUTTON_06_NAME</t>
    <phoneticPr fontId="1"/>
  </si>
  <si>
    <t>-</t>
    <phoneticPr fontId="1"/>
  </si>
  <si>
    <t>リスト：行番号、項目名</t>
    <rPh sb="8" eb="11">
      <t>コウモクメイ</t>
    </rPh>
    <phoneticPr fontId="1"/>
  </si>
  <si>
    <t>保存ボタン</t>
    <rPh sb="0" eb="2">
      <t>ホゾン</t>
    </rPh>
    <phoneticPr fontId="1"/>
  </si>
  <si>
    <t>UNNH0030_IF_BUTTON_10_NAME</t>
  </si>
  <si>
    <t>保存</t>
    <rPh sb="0" eb="2">
      <t>ホゾン</t>
    </rPh>
    <phoneticPr fontId="1"/>
  </si>
  <si>
    <t>-</t>
    <phoneticPr fontId="1"/>
  </si>
  <si>
    <t>UNNH0030_IF_COPY_B_NEBIKI_DIR_SHUSEI</t>
  </si>
  <si>
    <t>個別：行番号はゼロ、項目名</t>
    <rPh sb="0" eb="2">
      <t>コベツ</t>
    </rPh>
    <rPh sb="10" eb="13">
      <t>コウモクメイ</t>
    </rPh>
    <phoneticPr fontId="1"/>
  </si>
  <si>
    <t>UNNH0030_IF_COPY_H_SHUSEI</t>
  </si>
  <si>
    <t>nebiki_dir</t>
    <phoneticPr fontId="1"/>
  </si>
  <si>
    <t>開始位置が無い場合はリストチェックをしない</t>
    <rPh sb="0" eb="2">
      <t>カイシ</t>
    </rPh>
    <rPh sb="2" eb="4">
      <t>イチ</t>
    </rPh>
    <rPh sb="5" eb="6">
      <t>ナ</t>
    </rPh>
    <rPh sb="7" eb="9">
      <t>バアイ</t>
    </rPh>
    <phoneticPr fontId="1"/>
  </si>
  <si>
    <t>【必須チェック】</t>
    <rPh sb="1" eb="3">
      <t>ヒッス</t>
    </rPh>
    <phoneticPr fontId="1"/>
  </si>
  <si>
    <t>入力確認</t>
    <rPh sb="0" eb="2">
      <t>ニュウリョク</t>
    </rPh>
    <rPh sb="2" eb="4">
      <t>カクニン</t>
    </rPh>
    <phoneticPr fontId="1"/>
  </si>
  <si>
    <t>UNNH0030_IF_INPUT_CHECK</t>
  </si>
  <si>
    <t>エラーメッセージ</t>
    <phoneticPr fontId="1"/>
  </si>
  <si>
    <t>UNNH0030_IF_INPUT_ERROR_MESSAGE</t>
  </si>
  <si>
    <t>【ボタン表示制御】</t>
    <rPh sb="4" eb="6">
      <t>ヒョウジ</t>
    </rPh>
    <rPh sb="6" eb="8">
      <t>セイギョ</t>
    </rPh>
    <phoneticPr fontId="1"/>
  </si>
  <si>
    <t>【参照】</t>
    <rPh sb="1" eb="3">
      <t>サンショウ</t>
    </rPh>
    <phoneticPr fontId="1"/>
  </si>
  <si>
    <t>UNNH0030_IF_COPY_B_MEISAI_SANSHO</t>
  </si>
  <si>
    <t>新規作成ボタン</t>
    <rPh sb="0" eb="2">
      <t>シンキ</t>
    </rPh>
    <rPh sb="2" eb="4">
      <t>サクセイ</t>
    </rPh>
    <phoneticPr fontId="1"/>
  </si>
  <si>
    <t>UNNH0030_IF_BUTTON_03_HYOJI</t>
    <phoneticPr fontId="1"/>
  </si>
  <si>
    <t>-</t>
    <phoneticPr fontId="1"/>
  </si>
  <si>
    <t>無効(2)</t>
    <rPh sb="0" eb="2">
      <t>ムコウ</t>
    </rPh>
    <phoneticPr fontId="1"/>
  </si>
  <si>
    <t>UNNH0030_IF_SAVE_CHECK_RESULT</t>
  </si>
  <si>
    <t>UNNH0030_IF_SAVE_CHECK_ERROR_KOMOKU</t>
  </si>
  <si>
    <t>参照作成ボタン</t>
    <rPh sb="0" eb="2">
      <t>サンショウ</t>
    </rPh>
    <rPh sb="2" eb="4">
      <t>サクセイ</t>
    </rPh>
    <phoneticPr fontId="1"/>
  </si>
  <si>
    <t>UNNH0030_IF_BUTTON_04_HYOJI</t>
    <phoneticPr fontId="1"/>
  </si>
  <si>
    <t>無効(2)</t>
  </si>
  <si>
    <t>有効(1)</t>
  </si>
  <si>
    <t>-</t>
    <phoneticPr fontId="1"/>
  </si>
  <si>
    <t>必須チェック結果出力先</t>
    <rPh sb="0" eb="2">
      <t>ヒッス</t>
    </rPh>
    <rPh sb="6" eb="8">
      <t>ケッカ</t>
    </rPh>
    <rPh sb="8" eb="10">
      <t>シュツリョク</t>
    </rPh>
    <rPh sb="10" eb="11">
      <t>サキ</t>
    </rPh>
    <phoneticPr fontId="1"/>
  </si>
  <si>
    <t>訂正履歴表示ボタン</t>
    <rPh sb="0" eb="2">
      <t>テイセイ</t>
    </rPh>
    <rPh sb="2" eb="4">
      <t>リレキ</t>
    </rPh>
    <rPh sb="4" eb="6">
      <t>ヒョウジ</t>
    </rPh>
    <phoneticPr fontId="1"/>
  </si>
  <si>
    <t>UNNH0030_IF_BUTTON_05_HYOJI</t>
    <phoneticPr fontId="1"/>
  </si>
  <si>
    <t>UNNH0030_IF_COPY_B_COMMENT_SANSHO</t>
  </si>
  <si>
    <t>UNNH0030_IF_BUTTON_06_HYOJI</t>
  </si>
  <si>
    <t>comment</t>
    <phoneticPr fontId="1"/>
  </si>
  <si>
    <t>削除ボタン</t>
    <rPh sb="0" eb="2">
      <t>サクジョ</t>
    </rPh>
    <phoneticPr fontId="1"/>
  </si>
  <si>
    <t>UNNH0030_IF_BUTTON_07_HYOJI</t>
  </si>
  <si>
    <t>一時保存ボタン</t>
    <rPh sb="0" eb="2">
      <t>イチジ</t>
    </rPh>
    <rPh sb="2" eb="4">
      <t>ホゾン</t>
    </rPh>
    <phoneticPr fontId="1"/>
  </si>
  <si>
    <t>UNNH0030_IF_BUTTON_08_HYOJI</t>
  </si>
  <si>
    <t>UNNH0030_IF_COPY_B_NEBIKI_DIR_SANSHO</t>
  </si>
  <si>
    <t>対象売上No.</t>
    <rPh sb="0" eb="2">
      <t>タイショウ</t>
    </rPh>
    <rPh sb="2" eb="4">
      <t>ウリアゲ</t>
    </rPh>
    <phoneticPr fontId="1"/>
  </si>
  <si>
    <t>UNNH0030_IF_SAVE_RESULT_URIAGE_NO</t>
    <phoneticPr fontId="1"/>
  </si>
  <si>
    <t>キャンセルボタン</t>
    <phoneticPr fontId="1"/>
  </si>
  <si>
    <t>UNNH0030_IF_BUTTON_09_HYOJI</t>
  </si>
  <si>
    <t>nebiki_dir</t>
    <phoneticPr fontId="1"/>
  </si>
  <si>
    <t>UNNH0030_IF_SAVE_RESULT_CD</t>
  </si>
  <si>
    <t>UNNH0030_IF_BUTTON_10_HYOJI</t>
  </si>
  <si>
    <t>UNNH0030_IF_SAVE_RESULT_MESSAGE</t>
  </si>
  <si>
    <t>行追加ボタン</t>
    <rPh sb="0" eb="1">
      <t>ギョウ</t>
    </rPh>
    <rPh sb="1" eb="3">
      <t>ツイカ</t>
    </rPh>
    <phoneticPr fontId="1"/>
  </si>
  <si>
    <t>UNNH0030_IF_BUTTON_11_HYOJI</t>
  </si>
  <si>
    <t>UNNH0030_IF_SAVE_ERROR_CHECK</t>
  </si>
  <si>
    <t>コメント行追加ボタン</t>
    <rPh sb="4" eb="5">
      <t>ギョウ</t>
    </rPh>
    <rPh sb="5" eb="7">
      <t>ツイカ</t>
    </rPh>
    <phoneticPr fontId="1"/>
  </si>
  <si>
    <t>UNNH0030_IF_BUTTON_12_HYOJI</t>
  </si>
  <si>
    <t>UNNH0030_IF_SAVE_ERROR_MESSAGE</t>
  </si>
  <si>
    <t>処理に失敗しました。再度実行してください。</t>
    <phoneticPr fontId="1"/>
  </si>
  <si>
    <t>値引行追加ボタン</t>
    <rPh sb="0" eb="2">
      <t>ネビキ</t>
    </rPh>
    <rPh sb="2" eb="3">
      <t>ギョウ</t>
    </rPh>
    <rPh sb="3" eb="5">
      <t>ツイカ</t>
    </rPh>
    <phoneticPr fontId="1"/>
  </si>
  <si>
    <t>UNNH0030_IF_BUTTON_13_HYOJI</t>
  </si>
  <si>
    <t>【共通】</t>
    <rPh sb="1" eb="3">
      <t>キョウツウ</t>
    </rPh>
    <phoneticPr fontId="1"/>
  </si>
  <si>
    <t>UNNH0030_IF_COPY_B_LIST_CLEAR</t>
  </si>
  <si>
    <t>行削除ボタン</t>
    <rPh sb="0" eb="3">
      <t>ギョウサクジョ</t>
    </rPh>
    <phoneticPr fontId="1"/>
  </si>
  <si>
    <t>UNNH0030_IF_BUTTON_14_HYOJI</t>
  </si>
  <si>
    <t>【削除】</t>
    <rPh sb="1" eb="3">
      <t>サクジョ</t>
    </rPh>
    <phoneticPr fontId="1"/>
  </si>
  <si>
    <t>前ページボタン</t>
    <rPh sb="0" eb="1">
      <t>マエ</t>
    </rPh>
    <phoneticPr fontId="1"/>
  </si>
  <si>
    <t>UNNH0030_IF_BUTTON_15_HYOJI</t>
  </si>
  <si>
    <t>受注データ接続モードかつ現在ページ&gt;1の場合</t>
    <rPh sb="0" eb="2">
      <t>ジュチュウ</t>
    </rPh>
    <rPh sb="5" eb="7">
      <t>セツゾク</t>
    </rPh>
    <rPh sb="12" eb="14">
      <t>ゲンザイ</t>
    </rPh>
    <rPh sb="20" eb="22">
      <t>バアイ</t>
    </rPh>
    <phoneticPr fontId="1"/>
  </si>
  <si>
    <t>UNNH0030_IF_COPY_H_SANSHO</t>
  </si>
  <si>
    <t>次ページボタン</t>
    <rPh sb="0" eb="1">
      <t>ツギ</t>
    </rPh>
    <phoneticPr fontId="1"/>
  </si>
  <si>
    <t>UNNH0030_IF_BUTTON_16_HYOJI</t>
  </si>
  <si>
    <t>受注データ接続モードかつ現在ページ&lt;最大ページの場合</t>
    <rPh sb="0" eb="2">
      <t>ジュチュウ</t>
    </rPh>
    <rPh sb="5" eb="7">
      <t>セツゾク</t>
    </rPh>
    <rPh sb="12" eb="14">
      <t>ゲンザイ</t>
    </rPh>
    <rPh sb="18" eb="20">
      <t>サイダイ</t>
    </rPh>
    <rPh sb="24" eb="26">
      <t>バアイ</t>
    </rPh>
    <phoneticPr fontId="1"/>
  </si>
  <si>
    <t>UNNH0030_IF_BUTTON_17_HYOJI</t>
  </si>
  <si>
    <t>結合元リスト表示ボタン</t>
    <phoneticPr fontId="1"/>
  </si>
  <si>
    <t>UNNH0030_IF_BUTTON_18_HYOJI</t>
  </si>
  <si>
    <t>納品請求書発行ボタン</t>
    <phoneticPr fontId="1"/>
  </si>
  <si>
    <t>UNNH0030_IF_BUTTON_19_HYOJI</t>
  </si>
  <si>
    <t>Excel出力ボタン</t>
    <phoneticPr fontId="1"/>
  </si>
  <si>
    <t>UNNH0030_IF_BUTTON_20_HYOJI</t>
  </si>
  <si>
    <t>【ボタンエラー判定】</t>
    <rPh sb="7" eb="9">
      <t>ハンテイ</t>
    </rPh>
    <phoneticPr fontId="1"/>
  </si>
  <si>
    <t>行削除</t>
    <rPh sb="0" eb="3">
      <t>ギョウサクジョ</t>
    </rPh>
    <phoneticPr fontId="1"/>
  </si>
  <si>
    <t>UNNH0030_IF_BUTTON_14_ERROR</t>
    <phoneticPr fontId="1"/>
  </si>
  <si>
    <t>1:エラー</t>
  </si>
  <si>
    <t>0:OK</t>
  </si>
  <si>
    <t>【Excel保存】</t>
    <rPh sb="6" eb="8">
      <t>ホゾン</t>
    </rPh>
    <phoneticPr fontId="1"/>
  </si>
  <si>
    <t>Excel保存ファイル名</t>
    <rPh sb="5" eb="7">
      <t>ホゾン</t>
    </rPh>
    <rPh sb="11" eb="12">
      <t>メイ</t>
    </rPh>
    <phoneticPr fontId="1"/>
  </si>
  <si>
    <t>UNNH0030_IF_EXCEL_FILE_NAME</t>
    <phoneticPr fontId="1"/>
  </si>
  <si>
    <t>UNNH0030_IF_PREVIOUS_ID</t>
    <phoneticPr fontId="1"/>
  </si>
  <si>
    <t>遷移元プログラムID</t>
    <rPh sb="0" eb="2">
      <t>センイ</t>
    </rPh>
    <rPh sb="2" eb="3">
      <t>モト</t>
    </rPh>
    <phoneticPr fontId="1"/>
  </si>
  <si>
    <t>UNNH0030_IF_SAVE_RESULT_KENSU</t>
    <phoneticPr fontId="1"/>
  </si>
  <si>
    <t>【一括保存時処理判定】</t>
    <rPh sb="1" eb="3">
      <t>イッカツ</t>
    </rPh>
    <rPh sb="3" eb="5">
      <t>ホゾン</t>
    </rPh>
    <rPh sb="5" eb="6">
      <t>ジ</t>
    </rPh>
    <rPh sb="6" eb="8">
      <t>ショリ</t>
    </rPh>
    <rPh sb="8" eb="10">
      <t>ハンテイ</t>
    </rPh>
    <phoneticPr fontId="1"/>
  </si>
  <si>
    <t>ループカウント</t>
    <phoneticPr fontId="1"/>
  </si>
  <si>
    <t>対象売上No.</t>
    <rPh sb="0" eb="2">
      <t>タイショウ</t>
    </rPh>
    <rPh sb="2" eb="4">
      <t>ウリアゲ</t>
    </rPh>
    <phoneticPr fontId="1"/>
  </si>
  <si>
    <t>連動済判定</t>
    <rPh sb="0" eb="2">
      <t>レンドウ</t>
    </rPh>
    <rPh sb="2" eb="3">
      <t>ス</t>
    </rPh>
    <rPh sb="3" eb="5">
      <t>ハンテイ</t>
    </rPh>
    <phoneticPr fontId="1"/>
  </si>
  <si>
    <t>UNNH0030_IF_SAVE_RENDO_CHECK</t>
    <phoneticPr fontId="1"/>
  </si>
  <si>
    <t>結合元売上No.</t>
    <rPh sb="0" eb="2">
      <t>ケツゴウ</t>
    </rPh>
    <rPh sb="2" eb="3">
      <t>モト</t>
    </rPh>
    <rPh sb="3" eb="5">
      <t>ウリアゲ</t>
    </rPh>
    <phoneticPr fontId="1"/>
  </si>
  <si>
    <t>UNNH0030_IF_MOTO_URIAGE_NO</t>
    <phoneticPr fontId="1"/>
  </si>
  <si>
    <t>【結合解除処理】</t>
    <rPh sb="1" eb="3">
      <t>ケツゴウ</t>
    </rPh>
    <rPh sb="3" eb="5">
      <t>カイジョ</t>
    </rPh>
    <rPh sb="5" eb="7">
      <t>ショリ</t>
    </rPh>
    <phoneticPr fontId="1"/>
  </si>
  <si>
    <t>解除確認メッセージ</t>
    <rPh sb="0" eb="2">
      <t>カイジョ</t>
    </rPh>
    <rPh sb="2" eb="4">
      <t>カクニン</t>
    </rPh>
    <phoneticPr fontId="1"/>
  </si>
  <si>
    <t>UNNH0030_IF_MERGE_RELEASE_CONFIRM_MSG</t>
    <phoneticPr fontId="1"/>
  </si>
  <si>
    <t>UNNH0030_IF_MERGE_RELEASE_WARNING_MSG</t>
    <phoneticPr fontId="1"/>
  </si>
  <si>
    <t>解除確認警告判定</t>
    <rPh sb="0" eb="2">
      <t>カイジョ</t>
    </rPh>
    <rPh sb="2" eb="4">
      <t>カクニン</t>
    </rPh>
    <rPh sb="4" eb="6">
      <t>ケイコク</t>
    </rPh>
    <rPh sb="6" eb="8">
      <t>ハンテイ</t>
    </rPh>
    <phoneticPr fontId="1"/>
  </si>
  <si>
    <t>UNNH0030_IF_MERGE_RELEASE_WARNING_CHECK</t>
    <phoneticPr fontId="1"/>
  </si>
  <si>
    <t>解除確認完了メッセージ</t>
    <rPh sb="0" eb="2">
      <t>カイジョ</t>
    </rPh>
    <rPh sb="2" eb="4">
      <t>カクニン</t>
    </rPh>
    <rPh sb="4" eb="6">
      <t>カンリョウ</t>
    </rPh>
    <phoneticPr fontId="1"/>
  </si>
  <si>
    <t>UNNH0030_IF_MERGE_RELEASE_COMP_MSG</t>
    <phoneticPr fontId="1"/>
  </si>
  <si>
    <t>解除確認警告メッセージ</t>
    <rPh sb="0" eb="2">
      <t>カイジョ</t>
    </rPh>
    <rPh sb="2" eb="4">
      <t>カクニン</t>
    </rPh>
    <rPh sb="4" eb="6">
      <t>ケイコク</t>
    </rPh>
    <phoneticPr fontId="1"/>
  </si>
  <si>
    <t>UNNH0030_IF_LIST_RENDO_KBN</t>
    <phoneticPr fontId="1"/>
  </si>
  <si>
    <t>連動不要</t>
    <rPh sb="0" eb="2">
      <t>レンドウ</t>
    </rPh>
    <rPh sb="2" eb="4">
      <t>フヨウ</t>
    </rPh>
    <phoneticPr fontId="1"/>
  </si>
  <si>
    <t>未連動</t>
    <rPh sb="0" eb="1">
      <t>ミ</t>
    </rPh>
    <rPh sb="1" eb="3">
      <t>レンドウ</t>
    </rPh>
    <phoneticPr fontId="1"/>
  </si>
  <si>
    <t>連動済</t>
    <rPh sb="0" eb="2">
      <t>レンドウ</t>
    </rPh>
    <rPh sb="2" eb="3">
      <t>ス</t>
    </rPh>
    <phoneticPr fontId="1"/>
  </si>
  <si>
    <t>UNNH0030_IF_COPY_H_DEMPYO_KBN</t>
    <phoneticPr fontId="1"/>
  </si>
  <si>
    <t>UNNH0030_IF_COPY_H_RENDO_KBN</t>
    <phoneticPr fontId="1"/>
  </si>
  <si>
    <t>UNNH0030_H_HIDE_COLUMN</t>
    <phoneticPr fontId="1"/>
  </si>
  <si>
    <t>伝票区分保護判定</t>
    <rPh sb="0" eb="2">
      <t>デンピョウ</t>
    </rPh>
    <rPh sb="2" eb="4">
      <t>クブン</t>
    </rPh>
    <rPh sb="4" eb="6">
      <t>ホゴ</t>
    </rPh>
    <rPh sb="6" eb="8">
      <t>ハンテイ</t>
    </rPh>
    <phoneticPr fontId="1"/>
  </si>
  <si>
    <t>UNNH0030_IF_COPY_H_DEMPYO_KBN_CHECK</t>
    <phoneticPr fontId="1"/>
  </si>
  <si>
    <t>商魂連動区分保護判定</t>
    <rPh sb="0" eb="2">
      <t>ショウコン</t>
    </rPh>
    <rPh sb="2" eb="4">
      <t>レンドウ</t>
    </rPh>
    <rPh sb="4" eb="6">
      <t>クブン</t>
    </rPh>
    <rPh sb="6" eb="8">
      <t>ホゴ</t>
    </rPh>
    <rPh sb="8" eb="10">
      <t>ハンテイ</t>
    </rPh>
    <phoneticPr fontId="1"/>
  </si>
  <si>
    <t>UNNH0030_IF_COPY_H_RENDO_KBN_CHECK</t>
    <phoneticPr fontId="1"/>
  </si>
  <si>
    <t>伝票区分が結合用の場合</t>
    <rPh sb="0" eb="2">
      <t>デンピョウ</t>
    </rPh>
    <rPh sb="2" eb="4">
      <t>クブン</t>
    </rPh>
    <rPh sb="5" eb="8">
      <t>ケツゴウヨウ</t>
    </rPh>
    <rPh sb="9" eb="11">
      <t>バアイ</t>
    </rPh>
    <phoneticPr fontId="1"/>
  </si>
  <si>
    <t>結合先売上No.がある場合</t>
    <rPh sb="0" eb="2">
      <t>ケツゴウ</t>
    </rPh>
    <rPh sb="2" eb="3">
      <t>サキ</t>
    </rPh>
    <rPh sb="3" eb="5">
      <t>ウリアゲ</t>
    </rPh>
    <rPh sb="11" eb="13">
      <t>バアイ</t>
    </rPh>
    <phoneticPr fontId="1"/>
  </si>
  <si>
    <t>履歴表示時無効</t>
    <rPh sb="0" eb="2">
      <t>リレキ</t>
    </rPh>
    <rPh sb="2" eb="4">
      <t>ヒョウジ</t>
    </rPh>
    <rPh sb="4" eb="5">
      <t>ジ</t>
    </rPh>
    <rPh sb="5" eb="7">
      <t>ムコウ</t>
    </rPh>
    <phoneticPr fontId="1"/>
  </si>
  <si>
    <t>【デフォルト値】</t>
    <rPh sb="6" eb="7">
      <t>チ</t>
    </rPh>
    <phoneticPr fontId="1"/>
  </si>
  <si>
    <t>売上日</t>
    <rPh sb="0" eb="3">
      <t>ウリアゲビ</t>
    </rPh>
    <phoneticPr fontId="1"/>
  </si>
  <si>
    <t>伝票区分</t>
    <rPh sb="0" eb="2">
      <t>デンピョウ</t>
    </rPh>
    <rPh sb="2" eb="4">
      <t>クブン</t>
    </rPh>
    <phoneticPr fontId="1"/>
  </si>
  <si>
    <t>UNNH0030_IF_COPY_H_URIAGE_DATE</t>
    <phoneticPr fontId="1"/>
  </si>
  <si>
    <t>商魂連動区分</t>
    <rPh sb="0" eb="2">
      <t>ショウコン</t>
    </rPh>
    <rPh sb="2" eb="4">
      <t>レンドウ</t>
    </rPh>
    <rPh sb="4" eb="6">
      <t>クブン</t>
    </rPh>
    <phoneticPr fontId="1"/>
  </si>
  <si>
    <t>UNNH0030_IF_COPY_H_INIT_DEMPYO_KBN</t>
    <phoneticPr fontId="1"/>
  </si>
  <si>
    <t>UNNH0030_IF_COPY_H_INIT_RENDO_KBN</t>
    <phoneticPr fontId="1"/>
  </si>
  <si>
    <t>【処理判定】</t>
    <rPh sb="1" eb="3">
      <t>ショリ</t>
    </rPh>
    <rPh sb="3" eb="5">
      <t>ハンテイ</t>
    </rPh>
    <phoneticPr fontId="1"/>
  </si>
  <si>
    <t>UNNH0030_IF_SAVE_PRINT_CHECK</t>
    <phoneticPr fontId="1"/>
  </si>
  <si>
    <t>保存時発行判定</t>
    <rPh sb="0" eb="2">
      <t>ホゾン</t>
    </rPh>
    <rPh sb="2" eb="3">
      <t>ジ</t>
    </rPh>
    <rPh sb="3" eb="5">
      <t>ハッコウ</t>
    </rPh>
    <rPh sb="5" eb="7">
      <t>ハンテイ</t>
    </rPh>
    <phoneticPr fontId="1"/>
  </si>
  <si>
    <t>新規＆同時発行フラグONの場合、有効(1)</t>
    <rPh sb="0" eb="2">
      <t>シンキ</t>
    </rPh>
    <rPh sb="3" eb="5">
      <t>ドウジ</t>
    </rPh>
    <rPh sb="5" eb="7">
      <t>ハッコウ</t>
    </rPh>
    <rPh sb="13" eb="15">
      <t>バアイ</t>
    </rPh>
    <rPh sb="16" eb="18">
      <t>ユウコウ</t>
    </rPh>
    <phoneticPr fontId="1"/>
  </si>
  <si>
    <t>UNNH0030_H_CLEAR_AREA</t>
    <phoneticPr fontId="1"/>
  </si>
  <si>
    <t>回収日取得判定</t>
    <rPh sb="0" eb="3">
      <t>カイシュウビ</t>
    </rPh>
    <rPh sb="3" eb="5">
      <t>シュトク</t>
    </rPh>
    <rPh sb="5" eb="7">
      <t>ハンテイ</t>
    </rPh>
    <phoneticPr fontId="1"/>
  </si>
  <si>
    <t>UNNH0030_IF_GET_KAISHU_DATE_CHECK</t>
    <phoneticPr fontId="1"/>
  </si>
  <si>
    <t>請求先/売上日がない場合、無効(2)</t>
    <rPh sb="0" eb="2">
      <t>セイキュウ</t>
    </rPh>
    <rPh sb="2" eb="3">
      <t>サキ</t>
    </rPh>
    <rPh sb="4" eb="6">
      <t>ウリアゲ</t>
    </rPh>
    <rPh sb="6" eb="7">
      <t>ビ</t>
    </rPh>
    <rPh sb="10" eb="12">
      <t>バアイ</t>
    </rPh>
    <rPh sb="13" eb="15">
      <t>ムコウ</t>
    </rPh>
    <phoneticPr fontId="1"/>
  </si>
  <si>
    <t>UNNH0030_IF_SAVE_BAT_LOOP_CNT</t>
    <phoneticPr fontId="1"/>
  </si>
  <si>
    <t>UNNH0030_IF_SAVE_BAT_URIAGE_NO</t>
    <phoneticPr fontId="1"/>
  </si>
  <si>
    <t>UNNH0030_SAVE_BAT_FLG</t>
    <phoneticPr fontId="1"/>
  </si>
  <si>
    <t>一括保存フラグ</t>
    <rPh sb="0" eb="2">
      <t>イッカツ</t>
    </rPh>
    <rPh sb="2" eb="4">
      <t>ホゾン</t>
    </rPh>
    <phoneticPr fontId="1"/>
  </si>
  <si>
    <t>勘定科目▼</t>
    <rPh sb="0" eb="2">
      <t>カンジョウ</t>
    </rPh>
    <rPh sb="2" eb="4">
      <t>カモク</t>
    </rPh>
    <phoneticPr fontId="1"/>
  </si>
  <si>
    <t>勘定科目CD</t>
    <rPh sb="0" eb="2">
      <t>カンジョウ</t>
    </rPh>
    <rPh sb="2" eb="4">
      <t>カモク</t>
    </rPh>
    <phoneticPr fontId="1"/>
  </si>
  <si>
    <t>UNNH0030_H_KANJO_KAMOKU_CD</t>
    <phoneticPr fontId="1"/>
  </si>
  <si>
    <t>勘定科目区分</t>
    <rPh sb="0" eb="2">
      <t>カンジョウ</t>
    </rPh>
    <rPh sb="2" eb="4">
      <t>カモク</t>
    </rPh>
    <rPh sb="4" eb="6">
      <t>クブン</t>
    </rPh>
    <phoneticPr fontId="1"/>
  </si>
  <si>
    <t>UNNH0030_IF_LIST_KANJO_KAMOKU</t>
    <phoneticPr fontId="1"/>
  </si>
  <si>
    <t>「=OFFSET(UNNH0030_IF_LIST_KANJO_KAMOKU_START,,,IF(UNNH0030_IF_LIST_KANJO_KAMOKU_KENSU=0,1,UNNH0030_IF_LIST_KANJO_KAMOKU_KENSU),1)」</t>
    <phoneticPr fontId="1"/>
  </si>
  <si>
    <t>KANJO_KAMOKU</t>
    <phoneticPr fontId="1"/>
  </si>
  <si>
    <t>勘定科目</t>
    <rPh sb="0" eb="2">
      <t>カンジョウ</t>
    </rPh>
    <rPh sb="2" eb="4">
      <t>カモク</t>
    </rPh>
    <phoneticPr fontId="1"/>
  </si>
  <si>
    <t>売上伝区▼</t>
    <rPh sb="0" eb="2">
      <t>ウリアゲ</t>
    </rPh>
    <rPh sb="2" eb="3">
      <t>デン</t>
    </rPh>
    <rPh sb="3" eb="4">
      <t>ク</t>
    </rPh>
    <phoneticPr fontId="1"/>
  </si>
  <si>
    <t>UNNH0030_H_DENKU_CD</t>
    <phoneticPr fontId="1"/>
  </si>
  <si>
    <t>売上伝区CD</t>
    <rPh sb="0" eb="2">
      <t>ウリアゲ</t>
    </rPh>
    <rPh sb="2" eb="3">
      <t>デン</t>
    </rPh>
    <rPh sb="3" eb="4">
      <t>ク</t>
    </rPh>
    <phoneticPr fontId="1"/>
  </si>
  <si>
    <t>売上伝区</t>
    <rPh sb="0" eb="2">
      <t>ウリアゲ</t>
    </rPh>
    <rPh sb="2" eb="3">
      <t>デン</t>
    </rPh>
    <rPh sb="3" eb="4">
      <t>ク</t>
    </rPh>
    <phoneticPr fontId="1"/>
  </si>
  <si>
    <t>UNNH0030_IF_LIST_DENKU</t>
    <phoneticPr fontId="1"/>
  </si>
  <si>
    <t>「=OFFSET(UNNH0030_IF_LIST_DENKU_START,,,IF(UNNH0030_IF_LIST_DENKU_KENSU=0,1,UNNH0030_IF_LIST_DENKU_KENSU),1)」</t>
  </si>
  <si>
    <t>でんく</t>
    <phoneticPr fontId="1"/>
  </si>
  <si>
    <t>でんく２</t>
    <phoneticPr fontId="1"/>
  </si>
  <si>
    <t>売上伝区</t>
    <rPh sb="0" eb="2">
      <t>ウリアゲ</t>
    </rPh>
    <rPh sb="2" eb="3">
      <t>デン</t>
    </rPh>
    <rPh sb="3" eb="4">
      <t>ク</t>
    </rPh>
    <phoneticPr fontId="1"/>
  </si>
  <si>
    <t>DENKU</t>
    <phoneticPr fontId="1"/>
  </si>
  <si>
    <t>消費税計算区分</t>
    <rPh sb="0" eb="3">
      <t>ショウヒゼイ</t>
    </rPh>
    <rPh sb="3" eb="5">
      <t>ケイサン</t>
    </rPh>
    <rPh sb="5" eb="7">
      <t>クブン</t>
    </rPh>
    <phoneticPr fontId="1"/>
  </si>
  <si>
    <t>UNNH0030_H_TAX_KBN</t>
    <phoneticPr fontId="1"/>
  </si>
  <si>
    <t>消費税</t>
    <rPh sb="0" eb="3">
      <t>ショウヒゼイ</t>
    </rPh>
    <phoneticPr fontId="1"/>
  </si>
  <si>
    <t>UNNH0030_IF_MULTI_SELECT_LIST_TAX</t>
    <phoneticPr fontId="1"/>
  </si>
  <si>
    <t>消費税数式コピー先</t>
    <rPh sb="0" eb="3">
      <t>ショウヒゼイ</t>
    </rPh>
    <rPh sb="3" eb="5">
      <t>スウシキ</t>
    </rPh>
    <rPh sb="8" eb="9">
      <t>サキ</t>
    </rPh>
    <phoneticPr fontId="1"/>
  </si>
  <si>
    <t>UNNH0030_IF_MULTI_SELECT_TAX_SUSHIKI_COPY_SAKI</t>
    <phoneticPr fontId="1"/>
  </si>
  <si>
    <t>UNNH0030_IF_COPY_B_MEISAI_TAX_SUSHIKI</t>
    <phoneticPr fontId="1"/>
  </si>
  <si>
    <t>営業担当者CD</t>
    <rPh sb="0" eb="2">
      <t>エイギョウ</t>
    </rPh>
    <rPh sb="2" eb="5">
      <t>タントウシャ</t>
    </rPh>
    <phoneticPr fontId="1"/>
  </si>
  <si>
    <t>UNNH0030_H_EIGYO_TANTO_CD</t>
    <phoneticPr fontId="1"/>
  </si>
  <si>
    <t>営業担当者名▼</t>
    <rPh sb="0" eb="2">
      <t>エイギョウ</t>
    </rPh>
    <rPh sb="2" eb="5">
      <t>タントウシャ</t>
    </rPh>
    <rPh sb="5" eb="6">
      <t>メイ</t>
    </rPh>
    <phoneticPr fontId="1"/>
  </si>
  <si>
    <t>営業担当者CD</t>
    <rPh sb="0" eb="2">
      <t>エイギョウ</t>
    </rPh>
    <rPh sb="2" eb="4">
      <t>タントウ</t>
    </rPh>
    <phoneticPr fontId="1"/>
  </si>
  <si>
    <t>EIGYO_TANTO_CD</t>
    <phoneticPr fontId="1"/>
  </si>
  <si>
    <t>送付先部署・担当者名：</t>
    <rPh sb="0" eb="2">
      <t>ソウフ</t>
    </rPh>
    <rPh sb="2" eb="3">
      <t>サキ</t>
    </rPh>
    <rPh sb="3" eb="5">
      <t>ブショ</t>
    </rPh>
    <rPh sb="6" eb="8">
      <t>タントウ</t>
    </rPh>
    <rPh sb="8" eb="9">
      <t>シャ</t>
    </rPh>
    <rPh sb="9" eb="10">
      <t>メイ</t>
    </rPh>
    <phoneticPr fontId="1"/>
  </si>
  <si>
    <t>ステータス：</t>
    <phoneticPr fontId="1"/>
  </si>
  <si>
    <t>訂正備考：</t>
    <phoneticPr fontId="1"/>
  </si>
  <si>
    <t>UNNH0030_H_URIAGE_DATE,UNNH0030_H_BUSHO_MEI,UNNH0030_H_NYURYOKUSHA_MEI,UNNH0030_H_EIGYO_TANTO_MEI,UNNH0030_H_STS,UNNH0030_H_SEIKYUSAKI_CD,UNNH0030_H_DEMPYO_KBN,UNNH0030_H_KAISHU_DATE,UNNH0030_H_DENKU,UNNH0030_H_KANJO_KAMOKU,UNNH0030_H_RENDO_KBN,UNNH0030_H_BUNSEKI_HOHO,UNNH0030_H_DEMPYO_MEI</t>
    <phoneticPr fontId="1"/>
  </si>
  <si>
    <t>売上日,担当部署,売上入力者,営業担当者,ステータス,請求先,伝票区分,回収日,売上伝区,勘定科目,商魂連動区分,分析方法,伝票送付先名</t>
    <rPh sb="4" eb="6">
      <t>タントウ</t>
    </rPh>
    <rPh sb="6" eb="8">
      <t>ブショ</t>
    </rPh>
    <rPh sb="15" eb="17">
      <t>エイギョウ</t>
    </rPh>
    <rPh sb="17" eb="20">
      <t>タントウシャ</t>
    </rPh>
    <rPh sb="40" eb="42">
      <t>ウリア</t>
    </rPh>
    <rPh sb="42" eb="43">
      <t>デン</t>
    </rPh>
    <rPh sb="43" eb="44">
      <t>ク</t>
    </rPh>
    <rPh sb="45" eb="47">
      <t>カンジョウ</t>
    </rPh>
    <rPh sb="47" eb="49">
      <t>カモク</t>
    </rPh>
    <rPh sb="57" eb="59">
      <t>ブンセキ</t>
    </rPh>
    <rPh sb="59" eb="61">
      <t>ホウホウ</t>
    </rPh>
    <rPh sb="62" eb="64">
      <t>デンピョウ</t>
    </rPh>
    <phoneticPr fontId="1"/>
  </si>
  <si>
    <t>受注複数選択ボタン</t>
    <rPh sb="0" eb="2">
      <t>ジュチュウ</t>
    </rPh>
    <rPh sb="2" eb="4">
      <t>フクスウ</t>
    </rPh>
    <rPh sb="4" eb="6">
      <t>センタク</t>
    </rPh>
    <phoneticPr fontId="1"/>
  </si>
  <si>
    <t>結合伝票(5)の場合無効</t>
    <rPh sb="0" eb="2">
      <t>ケツゴウ</t>
    </rPh>
    <rPh sb="2" eb="4">
      <t>デンピョウ</t>
    </rPh>
    <rPh sb="8" eb="10">
      <t>バアイ</t>
    </rPh>
    <rPh sb="10" eb="12">
      <t>ムコウ</t>
    </rPh>
    <phoneticPr fontId="1"/>
  </si>
  <si>
    <t>UNNH0030_IF_COPY_H_JURI_NO_LOCK</t>
    <phoneticPr fontId="1"/>
  </si>
  <si>
    <t>UNNH0030_IF_COPY_H_JURI_NO_UNLOCK</t>
    <phoneticPr fontId="1"/>
  </si>
  <si>
    <t>受理No.ロック判定</t>
    <rPh sb="0" eb="2">
      <t>ジュリ</t>
    </rPh>
    <rPh sb="8" eb="10">
      <t>ハンテイ</t>
    </rPh>
    <phoneticPr fontId="1"/>
  </si>
  <si>
    <t>UNNH0030_IF_COPY_H_JURI_NO_LOCK_CHECK</t>
    <phoneticPr fontId="1"/>
  </si>
  <si>
    <t>受理No.複数登録件数</t>
    <rPh sb="0" eb="2">
      <t>ジュリ</t>
    </rPh>
    <rPh sb="5" eb="7">
      <t>フクスウ</t>
    </rPh>
    <rPh sb="7" eb="9">
      <t>トウロク</t>
    </rPh>
    <rPh sb="9" eb="11">
      <t>ケンスウ</t>
    </rPh>
    <phoneticPr fontId="1"/>
  </si>
  <si>
    <t>UNNH0030_H_JURI_NO_CNT</t>
    <phoneticPr fontId="1"/>
  </si>
  <si>
    <t>複数登録または伝票区分が結合用の場合、1(無効化)</t>
    <rPh sb="0" eb="2">
      <t>フクスウ</t>
    </rPh>
    <rPh sb="2" eb="4">
      <t>トウロク</t>
    </rPh>
    <rPh sb="7" eb="9">
      <t>デンピョウ</t>
    </rPh>
    <rPh sb="9" eb="11">
      <t>クブン</t>
    </rPh>
    <rPh sb="12" eb="15">
      <t>ケツゴウヨウ</t>
    </rPh>
    <rPh sb="16" eb="18">
      <t>バアイ</t>
    </rPh>
    <rPh sb="21" eb="24">
      <t>ムコウカ</t>
    </rPh>
    <phoneticPr fontId="1"/>
  </si>
  <si>
    <t>UNNH0030_IF_BUTTON_17_NAME</t>
    <phoneticPr fontId="1"/>
  </si>
  <si>
    <t>受注選択数=0の場合無効(2)</t>
    <rPh sb="0" eb="2">
      <t>ジュチュウ</t>
    </rPh>
    <rPh sb="2" eb="4">
      <t>センタク</t>
    </rPh>
    <rPh sb="4" eb="5">
      <t>スウ</t>
    </rPh>
    <rPh sb="8" eb="10">
      <t>バアイ</t>
    </rPh>
    <phoneticPr fontId="1"/>
  </si>
  <si>
    <t>受理No.表示</t>
    <rPh sb="0" eb="2">
      <t>ジュリ</t>
    </rPh>
    <rPh sb="5" eb="7">
      <t>ヒョウジ</t>
    </rPh>
    <phoneticPr fontId="1"/>
  </si>
  <si>
    <t>受理No.複数選択</t>
    <rPh sb="0" eb="2">
      <t>ジュリ</t>
    </rPh>
    <rPh sb="5" eb="7">
      <t>フクスウ</t>
    </rPh>
    <rPh sb="7" eb="9">
      <t>センタク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</si>
</sst>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yyyy/mm/dd\ hh:mm:ss;@"/>
    <numFmt numFmtId="177" formatCode="#,##0_ "/>
    <numFmt numFmtId="178" formatCode="yyyy/mm/dd"/>
    <numFmt numFmtId="179" formatCode="0.0%"/>
    <numFmt numFmtId="180" formatCode="yyyy/mm/dd;@"/>
    <numFmt numFmtId="181" formatCode="yyyy/mm/dd\ hh:mm:ss"/>
    <numFmt numFmtId="182" formatCode="0.000_ "/>
    <numFmt numFmtId="183" formatCode="0.00_ "/>
    <numFmt numFmtId="184" formatCode="#,##0.00_ ;[Red]\-#,##0.00\ "/>
  </numFmts>
  <fonts count="2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theme="0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b/>
      <sz val="11"/>
      <color theme="1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9"/>
      <color indexed="81"/>
      <name val="ＭＳ Ｐゴシック"/>
      <family val="3"/>
      <charset val="128"/>
    </font>
  </fonts>
  <fills count="4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D9D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87E7AD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 diagonalUp="1">
      <left/>
      <right/>
      <top/>
      <bottom/>
      <diagonal style="thin">
        <color auto="1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4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5" applyNumberFormat="0" applyFill="0" applyAlignment="0" applyProtection="0">
      <alignment vertical="center"/>
    </xf>
    <xf numFmtId="0" fontId="11" fillId="0" borderId="16" applyNumberFormat="0" applyFill="0" applyAlignment="0" applyProtection="0">
      <alignment vertical="center"/>
    </xf>
    <xf numFmtId="0" fontId="12" fillId="0" borderId="17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6" fillId="12" borderId="18" applyNumberFormat="0" applyAlignment="0" applyProtection="0">
      <alignment vertical="center"/>
    </xf>
    <xf numFmtId="0" fontId="17" fillId="13" borderId="19" applyNumberFormat="0" applyAlignment="0" applyProtection="0">
      <alignment vertical="center"/>
    </xf>
    <xf numFmtId="0" fontId="18" fillId="13" borderId="18" applyNumberFormat="0" applyAlignment="0" applyProtection="0">
      <alignment vertical="center"/>
    </xf>
    <xf numFmtId="0" fontId="19" fillId="0" borderId="20" applyNumberFormat="0" applyFill="0" applyAlignment="0" applyProtection="0">
      <alignment vertical="center"/>
    </xf>
    <xf numFmtId="0" fontId="20" fillId="14" borderId="21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15" borderId="22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6" fillId="0" borderId="23" applyNumberFormat="0" applyFill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8" fillId="37" borderId="0" applyNumberFormat="0" applyBorder="0" applyAlignment="0" applyProtection="0">
      <alignment vertical="center"/>
    </xf>
    <xf numFmtId="0" fontId="8" fillId="38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207">
    <xf numFmtId="0" fontId="0" fillId="0" borderId="0" xfId="0">
      <alignment vertical="center"/>
    </xf>
    <xf numFmtId="0" fontId="2" fillId="3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4" borderId="0" xfId="0" applyFont="1" applyFill="1" applyBorder="1" applyAlignment="1">
      <alignment horizontal="right" vertical="center"/>
    </xf>
    <xf numFmtId="0" fontId="3" fillId="0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shrinkToFit="1"/>
    </xf>
    <xf numFmtId="0" fontId="5" fillId="4" borderId="0" xfId="0" applyFont="1" applyFill="1" applyBorder="1" applyAlignment="1">
      <alignment horizontal="right" vertical="center"/>
    </xf>
    <xf numFmtId="0" fontId="3" fillId="4" borderId="0" xfId="0" applyFont="1" applyFill="1" applyBorder="1" applyAlignment="1">
      <alignment horizontal="right" vertical="center" shrinkToFit="1"/>
    </xf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vertical="center" shrinkToFit="1"/>
      <protection locked="0"/>
    </xf>
    <xf numFmtId="0" fontId="3" fillId="7" borderId="0" xfId="0" applyFont="1" applyFill="1" applyBorder="1" applyAlignment="1">
      <alignment vertical="center"/>
    </xf>
    <xf numFmtId="0" fontId="3" fillId="7" borderId="0" xfId="0" applyFont="1" applyFill="1" applyBorder="1" applyAlignment="1" applyProtection="1">
      <alignment vertical="center"/>
      <protection locked="0"/>
    </xf>
    <xf numFmtId="0" fontId="0" fillId="0" borderId="0" xfId="0" applyAlignment="1">
      <alignment vertical="center" shrinkToFit="1"/>
    </xf>
    <xf numFmtId="0" fontId="0" fillId="7" borderId="0" xfId="0" applyFill="1">
      <alignment vertical="center"/>
    </xf>
    <xf numFmtId="0" fontId="0" fillId="7" borderId="0" xfId="0" applyFill="1" applyAlignment="1">
      <alignment horizontal="center" vertical="center"/>
    </xf>
    <xf numFmtId="0" fontId="0" fillId="0" borderId="0" xfId="0">
      <alignment vertical="center"/>
    </xf>
    <xf numFmtId="0" fontId="7" fillId="0" borderId="0" xfId="0" applyFont="1">
      <alignment vertical="center"/>
    </xf>
    <xf numFmtId="0" fontId="3" fillId="4" borderId="0" xfId="0" applyFont="1" applyFill="1" applyBorder="1" applyAlignment="1">
      <alignment vertical="center"/>
    </xf>
    <xf numFmtId="0" fontId="0" fillId="7" borderId="0" xfId="0" applyFill="1" applyAlignment="1">
      <alignment vertical="center" shrinkToFit="1"/>
    </xf>
    <xf numFmtId="0" fontId="3" fillId="2" borderId="1" xfId="0" applyFont="1" applyFill="1" applyBorder="1" applyAlignment="1">
      <alignment horizontal="center" vertical="center" shrinkToFit="1"/>
    </xf>
    <xf numFmtId="0" fontId="3" fillId="4" borderId="0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 shrinkToFit="1"/>
    </xf>
    <xf numFmtId="0" fontId="3" fillId="6" borderId="1" xfId="0" applyFont="1" applyFill="1" applyBorder="1" applyAlignment="1" applyProtection="1">
      <alignment horizontal="center" vertical="center" shrinkToFit="1"/>
      <protection locked="0"/>
    </xf>
    <xf numFmtId="0" fontId="4" fillId="6" borderId="1" xfId="0" applyFont="1" applyFill="1" applyBorder="1" applyAlignment="1" applyProtection="1">
      <alignment horizontal="center" vertical="center"/>
      <protection locked="0"/>
    </xf>
    <xf numFmtId="178" fontId="4" fillId="6" borderId="1" xfId="0" applyNumberFormat="1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7" borderId="14" xfId="0" applyFont="1" applyFill="1" applyBorder="1" applyAlignment="1" applyProtection="1">
      <alignment vertical="center"/>
      <protection locked="0"/>
    </xf>
    <xf numFmtId="0" fontId="3" fillId="6" borderId="1" xfId="0" applyFont="1" applyFill="1" applyBorder="1" applyAlignment="1" applyProtection="1">
      <alignment horizontal="center" vertical="center"/>
      <protection locked="0"/>
    </xf>
    <xf numFmtId="0" fontId="3" fillId="7" borderId="12" xfId="0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horizontal="left" vertical="center"/>
      <protection locked="0"/>
    </xf>
    <xf numFmtId="0" fontId="3" fillId="0" borderId="14" xfId="0" applyFont="1" applyFill="1" applyBorder="1" applyAlignment="1" applyProtection="1">
      <alignment horizontal="center" vertical="center"/>
      <protection locked="0"/>
    </xf>
    <xf numFmtId="9" fontId="3" fillId="4" borderId="1" xfId="0" applyNumberFormat="1" applyFont="1" applyFill="1" applyBorder="1" applyAlignment="1">
      <alignment horizontal="center" vertical="center"/>
    </xf>
    <xf numFmtId="177" fontId="3" fillId="4" borderId="1" xfId="0" applyNumberFormat="1" applyFont="1" applyFill="1" applyBorder="1" applyAlignment="1">
      <alignment horizontal="center" vertical="center" shrinkToFit="1"/>
    </xf>
    <xf numFmtId="177" fontId="3" fillId="4" borderId="9" xfId="0" applyNumberFormat="1" applyFont="1" applyFill="1" applyBorder="1" applyAlignment="1">
      <alignment horizontal="center" vertical="center" shrinkToFit="1"/>
    </xf>
    <xf numFmtId="179" fontId="3" fillId="4" borderId="1" xfId="0" applyNumberFormat="1" applyFont="1" applyFill="1" applyBorder="1" applyAlignment="1">
      <alignment horizontal="center" vertical="center" shrinkToFit="1"/>
    </xf>
    <xf numFmtId="179" fontId="3" fillId="7" borderId="0" xfId="0" applyNumberFormat="1" applyFont="1" applyFill="1" applyBorder="1" applyAlignment="1">
      <alignment horizontal="center" vertical="center" shrinkToFit="1"/>
    </xf>
    <xf numFmtId="0" fontId="3" fillId="40" borderId="0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/>
    </xf>
    <xf numFmtId="0" fontId="3" fillId="40" borderId="1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shrinkToFit="1"/>
    </xf>
    <xf numFmtId="0" fontId="3" fillId="4" borderId="3" xfId="0" applyFont="1" applyFill="1" applyBorder="1" applyAlignment="1">
      <alignment vertical="center"/>
    </xf>
    <xf numFmtId="0" fontId="7" fillId="0" borderId="0" xfId="0" applyFont="1" applyAlignment="1">
      <alignment vertical="center" shrinkToFit="1"/>
    </xf>
    <xf numFmtId="0" fontId="0" fillId="0" borderId="1" xfId="0" applyBorder="1" applyAlignment="1">
      <alignment vertical="center" shrinkToFit="1"/>
    </xf>
    <xf numFmtId="180" fontId="0" fillId="7" borderId="0" xfId="0" applyNumberFormat="1" applyFill="1">
      <alignment vertical="center"/>
    </xf>
    <xf numFmtId="181" fontId="0" fillId="7" borderId="0" xfId="0" applyNumberFormat="1" applyFill="1">
      <alignment vertical="center"/>
    </xf>
    <xf numFmtId="182" fontId="0" fillId="7" borderId="0" xfId="0" applyNumberFormat="1" applyFill="1">
      <alignment vertical="center"/>
    </xf>
    <xf numFmtId="183" fontId="0" fillId="7" borderId="0" xfId="0" applyNumberFormat="1" applyFill="1">
      <alignment vertical="center"/>
    </xf>
    <xf numFmtId="0" fontId="0" fillId="7" borderId="1" xfId="0" applyFill="1" applyBorder="1" applyAlignment="1">
      <alignment vertical="center" shrinkToFit="1"/>
    </xf>
    <xf numFmtId="0" fontId="3" fillId="2" borderId="1" xfId="0" applyFont="1" applyFill="1" applyBorder="1" applyAlignment="1">
      <alignment vertical="center"/>
    </xf>
    <xf numFmtId="0" fontId="0" fillId="41" borderId="1" xfId="0" applyFill="1" applyBorder="1">
      <alignment vertical="center"/>
    </xf>
    <xf numFmtId="184" fontId="3" fillId="0" borderId="1" xfId="0" quotePrefix="1" applyNumberFormat="1" applyFont="1" applyBorder="1" applyAlignment="1" applyProtection="1">
      <alignment horizontal="right" vertical="center" shrinkToFit="1"/>
      <protection locked="0"/>
    </xf>
    <xf numFmtId="184" fontId="3" fillId="4" borderId="1" xfId="0" quotePrefix="1" applyNumberFormat="1" applyFont="1" applyFill="1" applyBorder="1" applyAlignment="1">
      <alignment horizontal="right" vertical="center" shrinkToFit="1"/>
    </xf>
    <xf numFmtId="184" fontId="3" fillId="4" borderId="1" xfId="0" quotePrefix="1" applyNumberFormat="1" applyFont="1" applyFill="1" applyBorder="1" applyAlignment="1" applyProtection="1">
      <alignment horizontal="right" vertical="center" shrinkToFit="1"/>
    </xf>
    <xf numFmtId="179" fontId="3" fillId="4" borderId="1" xfId="0" applyNumberFormat="1" applyFont="1" applyFill="1" applyBorder="1" applyAlignment="1">
      <alignment horizontal="right" vertical="center" shrinkToFit="1"/>
    </xf>
    <xf numFmtId="0" fontId="0" fillId="7" borderId="0" xfId="0" applyNumberFormat="1" applyFill="1" applyAlignment="1">
      <alignment vertical="center" shrinkToFit="1"/>
    </xf>
    <xf numFmtId="0" fontId="24" fillId="42" borderId="1" xfId="42" applyFont="1" applyFill="1" applyBorder="1">
      <alignment vertical="center"/>
    </xf>
    <xf numFmtId="0" fontId="25" fillId="42" borderId="1" xfId="42" applyFont="1" applyFill="1" applyBorder="1">
      <alignment vertical="center"/>
    </xf>
    <xf numFmtId="0" fontId="0" fillId="7" borderId="0" xfId="0" applyFill="1" applyBorder="1" applyAlignment="1">
      <alignment horizontal="right" vertical="center" shrinkToFit="1"/>
    </xf>
    <xf numFmtId="0" fontId="0" fillId="0" borderId="0" xfId="0" applyFill="1" applyBorder="1" applyAlignment="1">
      <alignment vertical="center" shrinkToFit="1"/>
    </xf>
    <xf numFmtId="0" fontId="3" fillId="5" borderId="10" xfId="0" applyFont="1" applyFill="1" applyBorder="1" applyAlignment="1" applyProtection="1">
      <alignment vertical="center"/>
    </xf>
    <xf numFmtId="0" fontId="3" fillId="5" borderId="11" xfId="0" applyFont="1" applyFill="1" applyBorder="1" applyAlignment="1" applyProtection="1">
      <alignment vertical="center"/>
    </xf>
    <xf numFmtId="0" fontId="3" fillId="40" borderId="1" xfId="0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>
      <alignment vertical="center" shrinkToFit="1"/>
    </xf>
    <xf numFmtId="184" fontId="3" fillId="0" borderId="1" xfId="0" quotePrefix="1" applyNumberFormat="1" applyFont="1" applyFill="1" applyBorder="1" applyAlignment="1" applyProtection="1">
      <alignment horizontal="right" vertical="center" shrinkToFit="1"/>
      <protection locked="0"/>
    </xf>
    <xf numFmtId="184" fontId="3" fillId="40" borderId="1" xfId="0" quotePrefix="1" applyNumberFormat="1" applyFont="1" applyFill="1" applyBorder="1" applyAlignment="1" applyProtection="1">
      <alignment horizontal="right" vertical="center" shrinkToFit="1"/>
    </xf>
    <xf numFmtId="0" fontId="0" fillId="0" borderId="0" xfId="0" applyAlignment="1">
      <alignment horizontal="center" vertical="center"/>
    </xf>
    <xf numFmtId="0" fontId="3" fillId="0" borderId="1" xfId="0" applyFont="1" applyFill="1" applyBorder="1" applyAlignment="1">
      <alignment vertical="center" shrinkToFit="1"/>
    </xf>
    <xf numFmtId="14" fontId="3" fillId="0" borderId="0" xfId="0" applyNumberFormat="1" applyFont="1" applyFill="1" applyBorder="1" applyAlignment="1">
      <alignment vertical="center"/>
    </xf>
    <xf numFmtId="14" fontId="3" fillId="0" borderId="0" xfId="0" applyNumberFormat="1" applyFont="1" applyFill="1" applyBorder="1" applyAlignment="1">
      <alignment vertical="center" shrinkToFit="1"/>
    </xf>
    <xf numFmtId="0" fontId="3" fillId="40" borderId="1" xfId="0" applyFont="1" applyFill="1" applyBorder="1" applyAlignment="1" applyProtection="1">
      <alignment vertical="center"/>
    </xf>
    <xf numFmtId="0" fontId="3" fillId="40" borderId="1" xfId="0" applyFont="1" applyFill="1" applyBorder="1" applyAlignment="1" applyProtection="1">
      <alignment horizontal="center" vertical="center" shrinkToFit="1"/>
    </xf>
    <xf numFmtId="0" fontId="3" fillId="40" borderId="10" xfId="0" applyFont="1" applyFill="1" applyBorder="1" applyAlignment="1" applyProtection="1">
      <alignment vertical="center"/>
    </xf>
    <xf numFmtId="0" fontId="3" fillId="40" borderId="11" xfId="0" applyFont="1" applyFill="1" applyBorder="1" applyAlignment="1" applyProtection="1">
      <alignment vertical="center"/>
    </xf>
    <xf numFmtId="20" fontId="0" fillId="0" borderId="0" xfId="0" applyNumberFormat="1" applyAlignment="1">
      <alignment vertical="center" shrinkToFit="1"/>
    </xf>
    <xf numFmtId="0" fontId="0" fillId="40" borderId="0" xfId="0" applyFill="1">
      <alignment vertical="center"/>
    </xf>
    <xf numFmtId="0" fontId="7" fillId="0" borderId="0" xfId="0" applyFont="1" applyAlignment="1">
      <alignment horizontal="center" vertical="center"/>
    </xf>
    <xf numFmtId="0" fontId="3" fillId="40" borderId="1" xfId="0" applyFont="1" applyFill="1" applyBorder="1" applyAlignment="1" applyProtection="1">
      <alignment horizontal="left" vertical="center"/>
    </xf>
    <xf numFmtId="0" fontId="0" fillId="0" borderId="0" xfId="0">
      <alignment vertical="center"/>
    </xf>
    <xf numFmtId="0" fontId="3" fillId="4" borderId="1" xfId="0" applyFont="1" applyFill="1" applyBorder="1" applyAlignment="1" applyProtection="1">
      <alignment horizontal="center" vertical="center"/>
    </xf>
    <xf numFmtId="178" fontId="3" fillId="6" borderId="1" xfId="0" applyNumberFormat="1" applyFont="1" applyFill="1" applyBorder="1" applyAlignment="1" applyProtection="1">
      <alignment horizontal="center" vertical="center" shrinkToFit="1"/>
      <protection locked="0"/>
    </xf>
    <xf numFmtId="178" fontId="3" fillId="4" borderId="1" xfId="0" applyNumberFormat="1" applyFont="1" applyFill="1" applyBorder="1" applyAlignment="1" applyProtection="1">
      <alignment horizontal="center" vertical="center" shrinkToFit="1"/>
    </xf>
    <xf numFmtId="0" fontId="3" fillId="40" borderId="1" xfId="0" applyFont="1" applyFill="1" applyBorder="1" applyAlignment="1" applyProtection="1">
      <alignment horizontal="left" vertical="center" shrinkToFi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left" vertical="center" shrinkToFit="1"/>
      <protection locked="0"/>
    </xf>
    <xf numFmtId="0" fontId="3" fillId="0" borderId="1" xfId="0" applyFont="1" applyBorder="1" applyAlignment="1" applyProtection="1">
      <alignment horizontal="right" vertical="center"/>
      <protection locked="0"/>
    </xf>
    <xf numFmtId="0" fontId="3" fillId="40" borderId="1" xfId="0" applyFont="1" applyFill="1" applyBorder="1" applyAlignment="1" applyProtection="1">
      <alignment horizontal="right" vertical="center"/>
    </xf>
    <xf numFmtId="0" fontId="3" fillId="4" borderId="1" xfId="0" applyFont="1" applyFill="1" applyBorder="1" applyAlignment="1" applyProtection="1">
      <alignment horizontal="right" vertical="center"/>
    </xf>
    <xf numFmtId="0" fontId="3" fillId="7" borderId="24" xfId="0" applyFont="1" applyFill="1" applyBorder="1" applyAlignment="1" applyProtection="1">
      <alignment vertical="center"/>
      <protection locked="0"/>
    </xf>
    <xf numFmtId="0" fontId="3" fillId="7" borderId="24" xfId="0" applyFont="1" applyFill="1" applyBorder="1" applyAlignment="1">
      <alignment vertical="center" shrinkToFit="1"/>
    </xf>
    <xf numFmtId="0" fontId="3" fillId="7" borderId="24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4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horizontal="right" vertical="center"/>
    </xf>
    <xf numFmtId="0" fontId="3" fillId="4" borderId="1" xfId="0" applyFont="1" applyFill="1" applyBorder="1" applyAlignment="1" applyProtection="1">
      <alignment horizontal="center" vertical="center" shrinkToFit="1"/>
    </xf>
    <xf numFmtId="0" fontId="4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right" vertical="center"/>
    </xf>
    <xf numFmtId="178" fontId="4" fillId="4" borderId="1" xfId="0" applyNumberFormat="1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right" vertical="center" shrinkToFit="1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vertical="center" shrinkToFit="1"/>
    </xf>
    <xf numFmtId="0" fontId="0" fillId="7" borderId="1" xfId="0" applyNumberFormat="1" applyFill="1" applyBorder="1" applyAlignment="1">
      <alignment vertical="center" shrinkToFit="1"/>
    </xf>
    <xf numFmtId="0" fontId="3" fillId="0" borderId="1" xfId="0" applyFont="1" applyFill="1" applyBorder="1" applyAlignment="1" applyProtection="1">
      <alignment horizontal="center" vertical="center" shrinkToFit="1"/>
      <protection locked="0"/>
    </xf>
    <xf numFmtId="0" fontId="3" fillId="0" borderId="14" xfId="0" applyFont="1" applyFill="1" applyBorder="1" applyAlignment="1" applyProtection="1">
      <alignment horizontal="center" vertical="center" shrinkToFit="1"/>
      <protection locked="0"/>
    </xf>
    <xf numFmtId="0" fontId="3" fillId="4" borderId="14" xfId="0" applyFont="1" applyFill="1" applyBorder="1" applyAlignment="1" applyProtection="1">
      <alignment horizontal="center" vertical="center" shrinkToFit="1"/>
    </xf>
    <xf numFmtId="0" fontId="5" fillId="4" borderId="25" xfId="0" applyFont="1" applyFill="1" applyBorder="1" applyAlignment="1">
      <alignment horizontal="right" vertical="center"/>
    </xf>
    <xf numFmtId="178" fontId="4" fillId="6" borderId="26" xfId="0" applyNumberFormat="1" applyFont="1" applyFill="1" applyBorder="1" applyAlignment="1" applyProtection="1">
      <alignment horizontal="center" vertical="center"/>
      <protection locked="0"/>
    </xf>
    <xf numFmtId="0" fontId="3" fillId="4" borderId="14" xfId="0" applyFont="1" applyFill="1" applyBorder="1" applyAlignment="1" applyProtection="1">
      <alignment horizontal="center" vertical="center"/>
    </xf>
    <xf numFmtId="0" fontId="3" fillId="8" borderId="1" xfId="0" applyFont="1" applyFill="1" applyBorder="1" applyAlignment="1" applyProtection="1">
      <alignment horizontal="right" vertical="center"/>
    </xf>
    <xf numFmtId="49" fontId="3" fillId="5" borderId="9" xfId="0" applyNumberFormat="1" applyFont="1" applyFill="1" applyBorder="1" applyAlignment="1" applyProtection="1">
      <alignment vertical="center"/>
      <protection locked="0"/>
    </xf>
    <xf numFmtId="49" fontId="3" fillId="40" borderId="9" xfId="0" applyNumberFormat="1" applyFont="1" applyFill="1" applyBorder="1" applyAlignment="1" applyProtection="1">
      <alignment vertical="center"/>
    </xf>
    <xf numFmtId="0" fontId="3" fillId="0" borderId="1" xfId="0" applyFont="1" applyFill="1" applyBorder="1" applyAlignment="1" applyProtection="1">
      <alignment horizontal="center" vertical="center" shrinkToFit="1"/>
      <protection locked="0"/>
    </xf>
    <xf numFmtId="49" fontId="3" fillId="40" borderId="0" xfId="0" applyNumberFormat="1" applyFont="1" applyFill="1" applyBorder="1" applyAlignment="1">
      <alignment vertical="center"/>
    </xf>
    <xf numFmtId="49" fontId="3" fillId="2" borderId="1" xfId="0" applyNumberFormat="1" applyFont="1" applyFill="1" applyBorder="1" applyAlignment="1">
      <alignment horizontal="center" vertical="center" shrinkToFit="1"/>
    </xf>
    <xf numFmtId="49" fontId="3" fillId="4" borderId="3" xfId="0" applyNumberFormat="1" applyFont="1" applyFill="1" applyBorder="1" applyAlignment="1">
      <alignment vertical="center"/>
    </xf>
    <xf numFmtId="49" fontId="3" fillId="4" borderId="0" xfId="0" applyNumberFormat="1" applyFont="1" applyFill="1" applyBorder="1" applyAlignment="1">
      <alignment vertical="center"/>
    </xf>
    <xf numFmtId="9" fontId="3" fillId="4" borderId="1" xfId="0" applyNumberFormat="1" applyFont="1" applyFill="1" applyBorder="1" applyAlignment="1" applyProtection="1">
      <alignment horizontal="center" vertical="center"/>
    </xf>
    <xf numFmtId="177" fontId="3" fillId="4" borderId="1" xfId="0" applyNumberFormat="1" applyFont="1" applyFill="1" applyBorder="1" applyAlignment="1" applyProtection="1">
      <alignment horizontal="center" vertical="center" shrinkToFit="1"/>
    </xf>
    <xf numFmtId="177" fontId="3" fillId="4" borderId="9" xfId="0" applyNumberFormat="1" applyFont="1" applyFill="1" applyBorder="1" applyAlignment="1" applyProtection="1">
      <alignment horizontal="center" vertical="center" shrinkToFit="1"/>
    </xf>
    <xf numFmtId="179" fontId="3" fillId="4" borderId="1" xfId="0" applyNumberFormat="1" applyFont="1" applyFill="1" applyBorder="1" applyAlignment="1" applyProtection="1">
      <alignment horizontal="center" vertical="center" shrinkToFit="1"/>
    </xf>
    <xf numFmtId="0" fontId="3" fillId="4" borderId="1" xfId="0" applyFont="1" applyFill="1" applyBorder="1" applyAlignment="1" applyProtection="1">
      <alignment horizontal="left" vertical="center"/>
    </xf>
    <xf numFmtId="49" fontId="0" fillId="40" borderId="0" xfId="0" applyNumberFormat="1" applyFill="1">
      <alignment vertical="center"/>
    </xf>
    <xf numFmtId="49" fontId="3" fillId="40" borderId="1" xfId="0" applyNumberFormat="1" applyFont="1" applyFill="1" applyBorder="1" applyAlignment="1" applyProtection="1">
      <alignment horizontal="left" vertical="center" shrinkToFit="1"/>
    </xf>
    <xf numFmtId="49" fontId="3" fillId="40" borderId="1" xfId="0" applyNumberFormat="1" applyFont="1" applyFill="1" applyBorder="1" applyAlignment="1" applyProtection="1">
      <alignment vertical="center" shrinkToFit="1"/>
    </xf>
    <xf numFmtId="49" fontId="3" fillId="0" borderId="1" xfId="0" applyNumberFormat="1" applyFont="1" applyBorder="1" applyAlignment="1" applyProtection="1">
      <alignment vertical="center" shrinkToFit="1"/>
      <protection locked="0"/>
    </xf>
    <xf numFmtId="49" fontId="3" fillId="5" borderId="1" xfId="0" applyNumberFormat="1" applyFont="1" applyFill="1" applyBorder="1" applyAlignment="1" applyProtection="1">
      <alignment horizontal="left" vertical="center" shrinkToFit="1"/>
      <protection locked="0"/>
    </xf>
    <xf numFmtId="49" fontId="3" fillId="4" borderId="2" xfId="0" applyNumberFormat="1" applyFont="1" applyFill="1" applyBorder="1" applyAlignment="1" applyProtection="1">
      <alignment horizontal="left" vertical="top" wrapText="1"/>
    </xf>
    <xf numFmtId="49" fontId="3" fillId="4" borderId="13" xfId="0" applyNumberFormat="1" applyFont="1" applyFill="1" applyBorder="1" applyAlignment="1" applyProtection="1">
      <alignment horizontal="left" vertical="top" wrapText="1"/>
    </xf>
    <xf numFmtId="49" fontId="3" fillId="4" borderId="4" xfId="0" applyNumberFormat="1" applyFont="1" applyFill="1" applyBorder="1" applyAlignment="1" applyProtection="1">
      <alignment horizontal="left" vertical="top" wrapText="1"/>
    </xf>
    <xf numFmtId="49" fontId="3" fillId="4" borderId="5" xfId="0" applyNumberFormat="1" applyFont="1" applyFill="1" applyBorder="1" applyAlignment="1" applyProtection="1">
      <alignment horizontal="left" vertical="top" wrapText="1"/>
    </xf>
    <xf numFmtId="49" fontId="3" fillId="4" borderId="6" xfId="0" applyNumberFormat="1" applyFont="1" applyFill="1" applyBorder="1" applyAlignment="1" applyProtection="1">
      <alignment horizontal="left" vertical="top" wrapText="1"/>
    </xf>
    <xf numFmtId="49" fontId="3" fillId="4" borderId="8" xfId="0" applyNumberFormat="1" applyFont="1" applyFill="1" applyBorder="1" applyAlignment="1" applyProtection="1">
      <alignment horizontal="left" vertical="top" wrapText="1"/>
    </xf>
    <xf numFmtId="49" fontId="3" fillId="4" borderId="9" xfId="0" applyNumberFormat="1" applyFont="1" applyFill="1" applyBorder="1" applyAlignment="1" applyProtection="1">
      <alignment horizontal="left" vertical="center" shrinkToFit="1"/>
    </xf>
    <xf numFmtId="49" fontId="0" fillId="4" borderId="10" xfId="0" applyNumberFormat="1" applyFill="1" applyBorder="1" applyAlignment="1" applyProtection="1">
      <alignment horizontal="left" vertical="center" shrinkToFit="1"/>
    </xf>
    <xf numFmtId="49" fontId="0" fillId="4" borderId="11" xfId="0" applyNumberFormat="1" applyFill="1" applyBorder="1" applyAlignment="1" applyProtection="1">
      <alignment horizontal="left" vertical="center" shrinkToFit="1"/>
    </xf>
    <xf numFmtId="49" fontId="3" fillId="4" borderId="9" xfId="0" applyNumberFormat="1" applyFont="1" applyFill="1" applyBorder="1" applyAlignment="1" applyProtection="1">
      <alignment horizontal="left" vertical="center"/>
    </xf>
    <xf numFmtId="49" fontId="3" fillId="4" borderId="11" xfId="0" applyNumberFormat="1" applyFont="1" applyFill="1" applyBorder="1" applyAlignment="1" applyProtection="1">
      <alignment horizontal="left" vertical="center"/>
    </xf>
    <xf numFmtId="49" fontId="3" fillId="4" borderId="1" xfId="0" applyNumberFormat="1" applyFont="1" applyFill="1" applyBorder="1" applyAlignment="1" applyProtection="1">
      <alignment horizontal="left" vertical="center" shrinkToFit="1"/>
    </xf>
    <xf numFmtId="49" fontId="3" fillId="4" borderId="9" xfId="0" applyNumberFormat="1" applyFont="1" applyFill="1" applyBorder="1" applyAlignment="1" applyProtection="1">
      <alignment horizontal="center" vertical="center" shrinkToFit="1"/>
    </xf>
    <xf numFmtId="49" fontId="3" fillId="4" borderId="11" xfId="0" applyNumberFormat="1" applyFont="1" applyFill="1" applyBorder="1" applyAlignment="1" applyProtection="1">
      <alignment horizontal="center" vertical="center" shrinkToFit="1"/>
    </xf>
    <xf numFmtId="49" fontId="3" fillId="0" borderId="2" xfId="0" applyNumberFormat="1" applyFont="1" applyFill="1" applyBorder="1" applyAlignment="1" applyProtection="1">
      <alignment horizontal="left" vertical="top" wrapText="1"/>
      <protection locked="0"/>
    </xf>
    <xf numFmtId="49" fontId="3" fillId="0" borderId="13" xfId="0" applyNumberFormat="1" applyFont="1" applyFill="1" applyBorder="1" applyAlignment="1" applyProtection="1">
      <alignment horizontal="left" vertical="top" wrapText="1"/>
      <protection locked="0"/>
    </xf>
    <xf numFmtId="49" fontId="3" fillId="0" borderId="4" xfId="0" applyNumberFormat="1" applyFont="1" applyFill="1" applyBorder="1" applyAlignment="1" applyProtection="1">
      <alignment horizontal="left" vertical="top" wrapText="1"/>
      <protection locked="0"/>
    </xf>
    <xf numFmtId="49" fontId="3" fillId="0" borderId="5" xfId="0" applyNumberFormat="1" applyFont="1" applyFill="1" applyBorder="1" applyAlignment="1" applyProtection="1">
      <alignment horizontal="left" vertical="top" wrapText="1"/>
      <protection locked="0"/>
    </xf>
    <xf numFmtId="49" fontId="3" fillId="0" borderId="6" xfId="0" applyNumberFormat="1" applyFont="1" applyFill="1" applyBorder="1" applyAlignment="1" applyProtection="1">
      <alignment horizontal="left" vertical="top" wrapText="1"/>
      <protection locked="0"/>
    </xf>
    <xf numFmtId="49" fontId="3" fillId="0" borderId="8" xfId="0" applyNumberFormat="1" applyFont="1" applyFill="1" applyBorder="1" applyAlignment="1" applyProtection="1">
      <alignment horizontal="left" vertical="top" wrapText="1"/>
      <protection locked="0"/>
    </xf>
    <xf numFmtId="176" fontId="3" fillId="4" borderId="9" xfId="0" applyNumberFormat="1" applyFont="1" applyFill="1" applyBorder="1" applyAlignment="1" applyProtection="1">
      <alignment horizontal="center" vertical="center" shrinkToFit="1"/>
    </xf>
    <xf numFmtId="176" fontId="3" fillId="4" borderId="11" xfId="0" applyNumberFormat="1" applyFont="1" applyFill="1" applyBorder="1" applyAlignment="1" applyProtection="1">
      <alignment horizontal="center" vertical="center" shrinkToFit="1"/>
    </xf>
    <xf numFmtId="0" fontId="3" fillId="4" borderId="9" xfId="0" applyFont="1" applyFill="1" applyBorder="1" applyAlignment="1" applyProtection="1">
      <alignment horizontal="left" vertical="center"/>
    </xf>
    <xf numFmtId="0" fontId="3" fillId="4" borderId="10" xfId="0" applyFont="1" applyFill="1" applyBorder="1" applyAlignment="1" applyProtection="1">
      <alignment horizontal="left" vertical="center"/>
    </xf>
    <xf numFmtId="0" fontId="3" fillId="4" borderId="11" xfId="0" applyFont="1" applyFill="1" applyBorder="1" applyAlignment="1" applyProtection="1">
      <alignment horizontal="left" vertical="center"/>
    </xf>
    <xf numFmtId="0" fontId="3" fillId="4" borderId="2" xfId="0" applyFont="1" applyFill="1" applyBorder="1" applyAlignment="1" applyProtection="1">
      <alignment horizontal="left" vertical="top" wrapText="1"/>
    </xf>
    <xf numFmtId="0" fontId="0" fillId="4" borderId="3" xfId="0" applyFill="1" applyBorder="1" applyAlignment="1" applyProtection="1">
      <alignment horizontal="left" vertical="top" wrapText="1"/>
    </xf>
    <xf numFmtId="0" fontId="0" fillId="4" borderId="13" xfId="0" applyFill="1" applyBorder="1" applyAlignment="1" applyProtection="1">
      <alignment horizontal="left" vertical="top" wrapText="1"/>
    </xf>
    <xf numFmtId="0" fontId="0" fillId="4" borderId="4" xfId="0" applyFill="1" applyBorder="1" applyAlignment="1" applyProtection="1">
      <alignment horizontal="left" vertical="top" wrapText="1"/>
    </xf>
    <xf numFmtId="0" fontId="0" fillId="4" borderId="0" xfId="0" applyFill="1" applyAlignment="1" applyProtection="1">
      <alignment horizontal="left" vertical="top" wrapText="1"/>
    </xf>
    <xf numFmtId="0" fontId="0" fillId="4" borderId="5" xfId="0" applyFill="1" applyBorder="1" applyAlignment="1" applyProtection="1">
      <alignment horizontal="left" vertical="top" wrapText="1"/>
    </xf>
    <xf numFmtId="0" fontId="0" fillId="4" borderId="6" xfId="0" applyFill="1" applyBorder="1" applyAlignment="1" applyProtection="1">
      <alignment horizontal="left" vertical="top" wrapText="1"/>
    </xf>
    <xf numFmtId="0" fontId="0" fillId="4" borderId="7" xfId="0" applyFill="1" applyBorder="1" applyAlignment="1" applyProtection="1">
      <alignment horizontal="left" vertical="top" wrapText="1"/>
    </xf>
    <xf numFmtId="0" fontId="0" fillId="4" borderId="8" xfId="0" applyFill="1" applyBorder="1" applyAlignment="1" applyProtection="1">
      <alignment horizontal="left" vertical="top" wrapText="1"/>
    </xf>
    <xf numFmtId="0" fontId="4" fillId="4" borderId="9" xfId="0" applyNumberFormat="1" applyFont="1" applyFill="1" applyBorder="1" applyAlignment="1" applyProtection="1">
      <alignment horizontal="left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left" vertical="center"/>
    </xf>
    <xf numFmtId="49" fontId="3" fillId="4" borderId="2" xfId="0" applyNumberFormat="1" applyFont="1" applyFill="1" applyBorder="1" applyAlignment="1" applyProtection="1">
      <alignment horizontal="left" vertical="top" wrapText="1" shrinkToFit="1"/>
    </xf>
    <xf numFmtId="49" fontId="3" fillId="4" borderId="3" xfId="0" applyNumberFormat="1" applyFont="1" applyFill="1" applyBorder="1" applyAlignment="1" applyProtection="1">
      <alignment horizontal="left" vertical="top" wrapText="1" shrinkToFit="1"/>
    </xf>
    <xf numFmtId="49" fontId="3" fillId="4" borderId="13" xfId="0" applyNumberFormat="1" applyFont="1" applyFill="1" applyBorder="1" applyAlignment="1" applyProtection="1">
      <alignment horizontal="left" vertical="top" wrapText="1" shrinkToFit="1"/>
    </xf>
    <xf numFmtId="49" fontId="3" fillId="4" borderId="6" xfId="0" applyNumberFormat="1" applyFont="1" applyFill="1" applyBorder="1" applyAlignment="1" applyProtection="1">
      <alignment horizontal="left" vertical="top" wrapText="1" shrinkToFit="1"/>
    </xf>
    <xf numFmtId="49" fontId="3" fillId="4" borderId="7" xfId="0" applyNumberFormat="1" applyFont="1" applyFill="1" applyBorder="1" applyAlignment="1" applyProtection="1">
      <alignment horizontal="left" vertical="top" wrapText="1" shrinkToFit="1"/>
    </xf>
    <xf numFmtId="49" fontId="3" fillId="4" borderId="8" xfId="0" applyNumberFormat="1" applyFont="1" applyFill="1" applyBorder="1" applyAlignment="1" applyProtection="1">
      <alignment horizontal="left" vertical="top" wrapText="1" shrinkToFit="1"/>
    </xf>
    <xf numFmtId="0" fontId="3" fillId="4" borderId="1" xfId="0" applyFont="1" applyFill="1" applyBorder="1" applyAlignment="1" applyProtection="1">
      <alignment horizontal="center" vertical="center" shrinkToFit="1"/>
    </xf>
    <xf numFmtId="49" fontId="3" fillId="0" borderId="1" xfId="0" applyNumberFormat="1" applyFont="1" applyFill="1" applyBorder="1" applyAlignment="1" applyProtection="1">
      <alignment horizontal="left" vertical="center" shrinkToFit="1"/>
      <protection locked="0"/>
    </xf>
    <xf numFmtId="49" fontId="3" fillId="0" borderId="9" xfId="0" applyNumberFormat="1" applyFont="1" applyFill="1" applyBorder="1" applyAlignment="1" applyProtection="1">
      <alignment horizontal="left" vertical="center" shrinkToFit="1"/>
      <protection locked="0"/>
    </xf>
    <xf numFmtId="49" fontId="0" fillId="0" borderId="10" xfId="0" applyNumberFormat="1" applyBorder="1" applyAlignment="1" applyProtection="1">
      <alignment horizontal="left" vertical="center" shrinkToFit="1"/>
      <protection locked="0"/>
    </xf>
    <xf numFmtId="49" fontId="0" fillId="0" borderId="11" xfId="0" applyNumberFormat="1" applyBorder="1" applyAlignment="1" applyProtection="1">
      <alignment horizontal="left" vertical="center" shrinkToFit="1"/>
      <protection locked="0"/>
    </xf>
    <xf numFmtId="49" fontId="3" fillId="0" borderId="9" xfId="0" applyNumberFormat="1" applyFont="1" applyFill="1" applyBorder="1" applyAlignment="1" applyProtection="1">
      <alignment horizontal="left" vertical="center"/>
      <protection locked="0"/>
    </xf>
    <xf numFmtId="49" fontId="3" fillId="0" borderId="11" xfId="0" applyNumberFormat="1" applyFont="1" applyFill="1" applyBorder="1" applyAlignment="1" applyProtection="1">
      <alignment horizontal="left" vertical="center"/>
      <protection locked="0"/>
    </xf>
    <xf numFmtId="49" fontId="3" fillId="0" borderId="9" xfId="0" applyNumberFormat="1" applyFont="1" applyFill="1" applyBorder="1" applyAlignment="1" applyProtection="1">
      <alignment horizontal="center" vertical="center" shrinkToFit="1"/>
      <protection locked="0"/>
    </xf>
    <xf numFmtId="49" fontId="3" fillId="0" borderId="11" xfId="0" applyNumberFormat="1" applyFont="1" applyFill="1" applyBorder="1" applyAlignment="1" applyProtection="1">
      <alignment horizontal="center" vertical="center" shrinkToFit="1"/>
      <protection locked="0"/>
    </xf>
    <xf numFmtId="176" fontId="3" fillId="4" borderId="9" xfId="0" applyNumberFormat="1" applyFont="1" applyFill="1" applyBorder="1" applyAlignment="1">
      <alignment horizontal="center" vertical="center" shrinkToFit="1"/>
    </xf>
    <xf numFmtId="176" fontId="3" fillId="4" borderId="11" xfId="0" applyNumberFormat="1" applyFont="1" applyFill="1" applyBorder="1" applyAlignment="1">
      <alignment horizontal="center" vertical="center" shrinkToFit="1"/>
    </xf>
    <xf numFmtId="0" fontId="3" fillId="4" borderId="9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vertical="center"/>
    </xf>
    <xf numFmtId="0" fontId="3" fillId="4" borderId="11" xfId="0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4" fillId="6" borderId="9" xfId="0" applyNumberFormat="1" applyFont="1" applyFill="1" applyBorder="1" applyAlignment="1" applyProtection="1">
      <alignment horizontal="left" vertical="center"/>
      <protection locked="0"/>
    </xf>
    <xf numFmtId="0" fontId="4" fillId="6" borderId="10" xfId="0" applyNumberFormat="1" applyFont="1" applyFill="1" applyBorder="1" applyAlignment="1" applyProtection="1">
      <alignment horizontal="left" vertical="center"/>
      <protection locked="0"/>
    </xf>
    <xf numFmtId="0" fontId="4" fillId="6" borderId="11" xfId="0" applyNumberFormat="1" applyFont="1" applyFill="1" applyBorder="1" applyAlignment="1" applyProtection="1">
      <alignment horizontal="left" vertical="center"/>
      <protection locked="0"/>
    </xf>
    <xf numFmtId="49" fontId="3" fillId="0" borderId="2" xfId="0" applyNumberFormat="1" applyFont="1" applyFill="1" applyBorder="1" applyAlignment="1" applyProtection="1">
      <alignment horizontal="left" vertical="top" wrapText="1" shrinkToFit="1"/>
      <protection locked="0"/>
    </xf>
    <xf numFmtId="49" fontId="3" fillId="0" borderId="3" xfId="0" applyNumberFormat="1" applyFont="1" applyFill="1" applyBorder="1" applyAlignment="1" applyProtection="1">
      <alignment horizontal="left" vertical="top" wrapText="1" shrinkToFit="1"/>
      <protection locked="0"/>
    </xf>
    <xf numFmtId="49" fontId="3" fillId="0" borderId="13" xfId="0" applyNumberFormat="1" applyFont="1" applyFill="1" applyBorder="1" applyAlignment="1" applyProtection="1">
      <alignment horizontal="left" vertical="top" wrapText="1" shrinkToFit="1"/>
      <protection locked="0"/>
    </xf>
    <xf numFmtId="49" fontId="3" fillId="0" borderId="6" xfId="0" applyNumberFormat="1" applyFont="1" applyFill="1" applyBorder="1" applyAlignment="1" applyProtection="1">
      <alignment horizontal="left" vertical="top" wrapText="1" shrinkToFit="1"/>
      <protection locked="0"/>
    </xf>
    <xf numFmtId="49" fontId="3" fillId="0" borderId="7" xfId="0" applyNumberFormat="1" applyFont="1" applyFill="1" applyBorder="1" applyAlignment="1" applyProtection="1">
      <alignment horizontal="left" vertical="top" wrapText="1" shrinkToFit="1"/>
      <protection locked="0"/>
    </xf>
    <xf numFmtId="49" fontId="3" fillId="0" borderId="8" xfId="0" applyNumberFormat="1" applyFont="1" applyFill="1" applyBorder="1" applyAlignment="1" applyProtection="1">
      <alignment horizontal="left" vertical="top" wrapText="1" shrinkToFit="1"/>
      <protection locked="0"/>
    </xf>
    <xf numFmtId="0" fontId="3" fillId="0" borderId="1" xfId="0" applyFont="1" applyFill="1" applyBorder="1" applyAlignment="1" applyProtection="1">
      <alignment horizontal="center" vertical="center" shrinkToFit="1"/>
      <protection locked="0"/>
    </xf>
    <xf numFmtId="0" fontId="3" fillId="2" borderId="1" xfId="0" applyFont="1" applyFill="1" applyBorder="1" applyAlignment="1">
      <alignment horizontal="left" vertical="center" shrinkToFit="1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2"/>
    <cellStyle name="良い" xfId="6" builtinId="26" customBuiltin="1"/>
  </cellStyles>
  <dxfs count="6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85" formatCode="#,##0_ ;[Red]\-#,##0\ 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009900"/>
      <color rgb="FFFF6600"/>
      <color rgb="FF006666"/>
      <color rgb="FF00CC99"/>
      <color rgb="FFFF00FF"/>
      <color rgb="FF66FF99"/>
      <color rgb="FFFFFF66"/>
      <color rgb="FFFFFF99"/>
      <color rgb="FFFFFFFF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UNNH0030_H_DOJI_FLG" lockText="1" noThreeD="1"/>
</file>

<file path=xl/ctrlProps/ctrlProp2.xml><?xml version="1.0" encoding="utf-8"?>
<formControlPr xmlns="http://schemas.microsoft.com/office/spreadsheetml/2009/9/main" objectType="CheckBox" fmlaLink="UNNH0030_H_JUSHO_NO_PRINT_FLG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84</xdr:col>
      <xdr:colOff>1809750</xdr:colOff>
      <xdr:row>3</xdr:row>
      <xdr:rowOff>200025</xdr:rowOff>
    </xdr:from>
    <xdr:to>
      <xdr:col>85</xdr:col>
      <xdr:colOff>1447800</xdr:colOff>
      <xdr:row>5</xdr:row>
      <xdr:rowOff>200025</xdr:rowOff>
    </xdr:to>
    <xdr:sp macro="" textlink="">
      <xdr:nvSpPr>
        <xdr:cNvPr id="2" name="正方形/長方形 1"/>
        <xdr:cNvSpPr/>
      </xdr:nvSpPr>
      <xdr:spPr>
        <a:xfrm>
          <a:off x="6905625" y="790575"/>
          <a:ext cx="1457325" cy="4191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84</xdr:col>
      <xdr:colOff>1800225</xdr:colOff>
      <xdr:row>29</xdr:row>
      <xdr:rowOff>0</xdr:rowOff>
    </xdr:from>
    <xdr:to>
      <xdr:col>87</xdr:col>
      <xdr:colOff>11206</xdr:colOff>
      <xdr:row>30</xdr:row>
      <xdr:rowOff>1</xdr:rowOff>
    </xdr:to>
    <xdr:sp macro="" textlink="">
      <xdr:nvSpPr>
        <xdr:cNvPr id="3" name="正方形/長方形 2"/>
        <xdr:cNvSpPr/>
      </xdr:nvSpPr>
      <xdr:spPr>
        <a:xfrm>
          <a:off x="6887696" y="6129618"/>
          <a:ext cx="2166657" cy="212912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85</xdr:col>
      <xdr:colOff>1447800</xdr:colOff>
      <xdr:row>4</xdr:row>
      <xdr:rowOff>200025</xdr:rowOff>
    </xdr:from>
    <xdr:to>
      <xdr:col>87</xdr:col>
      <xdr:colOff>11206</xdr:colOff>
      <xdr:row>29</xdr:row>
      <xdr:rowOff>106456</xdr:rowOff>
    </xdr:to>
    <xdr:cxnSp macro="">
      <xdr:nvCxnSpPr>
        <xdr:cNvPr id="5" name="カギ線コネクタ 4"/>
        <xdr:cNvCxnSpPr>
          <a:stCxn id="2" idx="3"/>
          <a:endCxn id="3" idx="3"/>
        </xdr:cNvCxnSpPr>
      </xdr:nvCxnSpPr>
      <xdr:spPr>
        <a:xfrm>
          <a:off x="8350624" y="1006849"/>
          <a:ext cx="703729" cy="5229225"/>
        </a:xfrm>
        <a:prstGeom prst="bentConnector3">
          <a:avLst>
            <a:gd name="adj1" fmla="val 132484"/>
          </a:avLst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0</xdr:colOff>
      <xdr:row>6</xdr:row>
      <xdr:rowOff>9525</xdr:rowOff>
    </xdr:from>
    <xdr:to>
      <xdr:col>85</xdr:col>
      <xdr:colOff>1447800</xdr:colOff>
      <xdr:row>9</xdr:row>
      <xdr:rowOff>190501</xdr:rowOff>
    </xdr:to>
    <xdr:sp macro="" textlink="">
      <xdr:nvSpPr>
        <xdr:cNvPr id="7" name="正方形/長方形 6"/>
        <xdr:cNvSpPr/>
      </xdr:nvSpPr>
      <xdr:spPr>
        <a:xfrm>
          <a:off x="5095875" y="1228725"/>
          <a:ext cx="3267075" cy="809626"/>
        </a:xfrm>
        <a:prstGeom prst="rect">
          <a:avLst/>
        </a:prstGeom>
        <a:noFill/>
        <a:ln>
          <a:solidFill>
            <a:srgbClr val="0099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80</xdr:col>
      <xdr:colOff>1238250</xdr:colOff>
      <xdr:row>3</xdr:row>
      <xdr:rowOff>161925</xdr:rowOff>
    </xdr:from>
    <xdr:to>
      <xdr:col>83</xdr:col>
      <xdr:colOff>409575</xdr:colOff>
      <xdr:row>5</xdr:row>
      <xdr:rowOff>123825</xdr:rowOff>
    </xdr:to>
    <xdr:sp macro="" textlink="">
      <xdr:nvSpPr>
        <xdr:cNvPr id="8" name="四角形吹き出し 7"/>
        <xdr:cNvSpPr/>
      </xdr:nvSpPr>
      <xdr:spPr>
        <a:xfrm>
          <a:off x="2952750" y="752475"/>
          <a:ext cx="1866900" cy="381000"/>
        </a:xfrm>
        <a:prstGeom prst="wedgeRectCallout">
          <a:avLst>
            <a:gd name="adj1" fmla="val 61854"/>
            <a:gd name="adj2" fmla="val 22143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ヘッダシートの必須チェック</a:t>
          </a:r>
        </a:p>
      </xdr:txBody>
    </xdr:sp>
    <xdr:clientData/>
  </xdr:twoCellAnchor>
  <xdr:twoCellAnchor>
    <xdr:from>
      <xdr:col>84</xdr:col>
      <xdr:colOff>0</xdr:colOff>
      <xdr:row>10</xdr:row>
      <xdr:rowOff>19049</xdr:rowOff>
    </xdr:from>
    <xdr:to>
      <xdr:col>85</xdr:col>
      <xdr:colOff>1447800</xdr:colOff>
      <xdr:row>18</xdr:row>
      <xdr:rowOff>200025</xdr:rowOff>
    </xdr:to>
    <xdr:sp macro="" textlink="">
      <xdr:nvSpPr>
        <xdr:cNvPr id="9" name="正方形/長方形 8"/>
        <xdr:cNvSpPr/>
      </xdr:nvSpPr>
      <xdr:spPr>
        <a:xfrm>
          <a:off x="5095875" y="2076449"/>
          <a:ext cx="3267075" cy="1857376"/>
        </a:xfrm>
        <a:prstGeom prst="rect">
          <a:avLst/>
        </a:prstGeom>
        <a:noFill/>
        <a:ln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80</xdr:col>
      <xdr:colOff>1200150</xdr:colOff>
      <xdr:row>15</xdr:row>
      <xdr:rowOff>38100</xdr:rowOff>
    </xdr:from>
    <xdr:to>
      <xdr:col>83</xdr:col>
      <xdr:colOff>371475</xdr:colOff>
      <xdr:row>17</xdr:row>
      <xdr:rowOff>0</xdr:rowOff>
    </xdr:to>
    <xdr:sp macro="" textlink="">
      <xdr:nvSpPr>
        <xdr:cNvPr id="10" name="四角形吹き出し 9"/>
        <xdr:cNvSpPr/>
      </xdr:nvSpPr>
      <xdr:spPr>
        <a:xfrm>
          <a:off x="2914650" y="3143250"/>
          <a:ext cx="1866900" cy="381000"/>
        </a:xfrm>
        <a:prstGeom prst="wedgeRectCallout">
          <a:avLst>
            <a:gd name="adj1" fmla="val 58793"/>
            <a:gd name="adj2" fmla="val -14356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ボディシートの必須チェック</a:t>
          </a:r>
        </a:p>
      </xdr:txBody>
    </xdr:sp>
    <xdr:clientData/>
  </xdr:twoCellAnchor>
  <xdr:twoCellAnchor>
    <xdr:from>
      <xdr:col>85</xdr:col>
      <xdr:colOff>0</xdr:colOff>
      <xdr:row>12</xdr:row>
      <xdr:rowOff>8282</xdr:rowOff>
    </xdr:from>
    <xdr:to>
      <xdr:col>86</xdr:col>
      <xdr:colOff>2485</xdr:colOff>
      <xdr:row>13</xdr:row>
      <xdr:rowOff>0</xdr:rowOff>
    </xdr:to>
    <xdr:sp macro="" textlink="">
      <xdr:nvSpPr>
        <xdr:cNvPr id="12" name="正方形/長方形 11"/>
        <xdr:cNvSpPr/>
      </xdr:nvSpPr>
      <xdr:spPr>
        <a:xfrm>
          <a:off x="6924261" y="2459934"/>
          <a:ext cx="1460224" cy="19878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139</xdr:col>
      <xdr:colOff>0</xdr:colOff>
      <xdr:row>5</xdr:row>
      <xdr:rowOff>1</xdr:rowOff>
    </xdr:from>
    <xdr:to>
      <xdr:col>140</xdr:col>
      <xdr:colOff>0</xdr:colOff>
      <xdr:row>5</xdr:row>
      <xdr:rowOff>198783</xdr:rowOff>
    </xdr:to>
    <xdr:sp macro="" textlink="">
      <xdr:nvSpPr>
        <xdr:cNvPr id="14" name="正方形/長方形 13"/>
        <xdr:cNvSpPr/>
      </xdr:nvSpPr>
      <xdr:spPr>
        <a:xfrm>
          <a:off x="45645457" y="1002197"/>
          <a:ext cx="687456" cy="198782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86</xdr:col>
      <xdr:colOff>2485</xdr:colOff>
      <xdr:row>5</xdr:row>
      <xdr:rowOff>99392</xdr:rowOff>
    </xdr:from>
    <xdr:to>
      <xdr:col>139</xdr:col>
      <xdr:colOff>0</xdr:colOff>
      <xdr:row>12</xdr:row>
      <xdr:rowOff>118441</xdr:rowOff>
    </xdr:to>
    <xdr:cxnSp macro="">
      <xdr:nvCxnSpPr>
        <xdr:cNvPr id="15" name="カギ線コネクタ 14"/>
        <xdr:cNvCxnSpPr>
          <a:stCxn id="12" idx="3"/>
          <a:endCxn id="14" idx="1"/>
        </xdr:cNvCxnSpPr>
      </xdr:nvCxnSpPr>
      <xdr:spPr>
        <a:xfrm flipV="1">
          <a:off x="8384485" y="1204292"/>
          <a:ext cx="37183115" cy="1619249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291352</xdr:colOff>
      <xdr:row>32</xdr:row>
      <xdr:rowOff>56029</xdr:rowOff>
    </xdr:from>
    <xdr:to>
      <xdr:col>84</xdr:col>
      <xdr:colOff>1468530</xdr:colOff>
      <xdr:row>34</xdr:row>
      <xdr:rowOff>17929</xdr:rowOff>
    </xdr:to>
    <xdr:sp macro="" textlink="">
      <xdr:nvSpPr>
        <xdr:cNvPr id="17" name="四角形吹き出し 16"/>
        <xdr:cNvSpPr/>
      </xdr:nvSpPr>
      <xdr:spPr>
        <a:xfrm>
          <a:off x="4695264" y="6824382"/>
          <a:ext cx="1860737" cy="387723"/>
        </a:xfrm>
        <a:prstGeom prst="wedgeRectCallout">
          <a:avLst>
            <a:gd name="adj1" fmla="val 61202"/>
            <a:gd name="adj2" fmla="val -14934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必須チェック結果出力先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5</xdr:row>
          <xdr:rowOff>19050</xdr:rowOff>
        </xdr:from>
        <xdr:to>
          <xdr:col>17</xdr:col>
          <xdr:colOff>133350</xdr:colOff>
          <xdr:row>5</xdr:row>
          <xdr:rowOff>171450</xdr:rowOff>
        </xdr:to>
        <xdr:sp macro="" textlink="">
          <xdr:nvSpPr>
            <xdr:cNvPr id="336897" name="Check Box 1" hidden="1">
              <a:extLst>
                <a:ext uri="{63B3BB69-23CF-44E3-9099-C40C66FF867C}">
                  <a14:compatExt spid="_x0000_s33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12</xdr:row>
          <xdr:rowOff>19050</xdr:rowOff>
        </xdr:from>
        <xdr:to>
          <xdr:col>17</xdr:col>
          <xdr:colOff>133350</xdr:colOff>
          <xdr:row>12</xdr:row>
          <xdr:rowOff>171450</xdr:rowOff>
        </xdr:to>
        <xdr:sp macro="" textlink="">
          <xdr:nvSpPr>
            <xdr:cNvPr id="336898" name="Check Box 2" hidden="1">
              <a:extLst>
                <a:ext uri="{63B3BB69-23CF-44E3-9099-C40C66FF867C}">
                  <a14:compatExt spid="_x0000_s33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GH81"/>
  <sheetViews>
    <sheetView tabSelected="1" topLeftCell="CA1" zoomScale="70" zoomScaleNormal="70" workbookViewId="0">
      <selection activeCell="CA1" sqref="CA1"/>
    </sheetView>
  </sheetViews>
  <sheetFormatPr defaultRowHeight="13.5" x14ac:dyDescent="0.15"/>
  <cols>
    <col min="1" max="15" width="0" style="19" hidden="1" customWidth="1"/>
    <col min="16" max="23" width="0" style="82" hidden="1" customWidth="1"/>
    <col min="24" max="24" width="0" style="103" hidden="1" customWidth="1"/>
    <col min="25" max="26" width="0" style="82" hidden="1" customWidth="1"/>
    <col min="27" max="33" width="0" style="19" hidden="1" customWidth="1"/>
    <col min="34" max="45" width="4.875" style="19" hidden="1" customWidth="1"/>
    <col min="46" max="46" width="9" style="82" hidden="1" customWidth="1"/>
    <col min="47" max="47" width="4.875" style="82" hidden="1" customWidth="1"/>
    <col min="48" max="48" width="4.875" style="19" hidden="1" customWidth="1"/>
    <col min="49" max="50" width="4.875" style="82" hidden="1" customWidth="1"/>
    <col min="51" max="55" width="0" style="19" hidden="1" customWidth="1"/>
    <col min="56" max="56" width="0" style="82" hidden="1" customWidth="1"/>
    <col min="57" max="78" width="0" style="19" hidden="1" customWidth="1"/>
    <col min="79" max="79" width="9" style="19"/>
    <col min="80" max="80" width="13.5" style="19" customWidth="1"/>
    <col min="81" max="81" width="17.375" style="19" customWidth="1"/>
    <col min="82" max="84" width="9" style="19"/>
    <col min="85" max="85" width="23.875" style="19" customWidth="1"/>
    <col min="86" max="86" width="19.125" style="19" customWidth="1"/>
    <col min="87" max="100" width="9" style="19"/>
    <col min="101" max="102" width="9" style="82"/>
    <col min="103" max="105" width="9" style="19"/>
    <col min="106" max="106" width="9" style="82"/>
    <col min="107" max="107" width="19.875" style="19" bestFit="1" customWidth="1"/>
    <col min="108" max="172" width="9" style="19"/>
    <col min="173" max="173" width="9" style="82"/>
    <col min="174" max="16384" width="9" style="19"/>
  </cols>
  <sheetData>
    <row r="1" spans="1:190" x14ac:dyDescent="0.15">
      <c r="A1" s="46" t="s">
        <v>170</v>
      </c>
      <c r="J1" s="20" t="s">
        <v>78</v>
      </c>
      <c r="AA1" s="19" t="s">
        <v>556</v>
      </c>
      <c r="AF1" s="16" t="s">
        <v>171</v>
      </c>
      <c r="CA1" s="46" t="s">
        <v>172</v>
      </c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FH1" s="20" t="s">
        <v>173</v>
      </c>
    </row>
    <row r="2" spans="1:190" ht="16.5" x14ac:dyDescent="0.15">
      <c r="A2" s="46"/>
      <c r="B2" s="16"/>
      <c r="C2" s="16"/>
      <c r="D2" s="16"/>
      <c r="E2" s="16"/>
      <c r="F2" s="16"/>
      <c r="AD2" s="19" t="s">
        <v>174</v>
      </c>
      <c r="AG2" s="16" t="s">
        <v>175</v>
      </c>
      <c r="AY2" s="16" t="s">
        <v>176</v>
      </c>
      <c r="AZ2" s="16"/>
      <c r="BA2" s="16"/>
      <c r="BB2" s="23" t="s">
        <v>10</v>
      </c>
      <c r="BC2" s="43" t="s">
        <v>126</v>
      </c>
      <c r="BD2" s="43" t="s">
        <v>595</v>
      </c>
      <c r="BE2" s="44" t="s">
        <v>15</v>
      </c>
      <c r="BF2" s="44" t="s">
        <v>11</v>
      </c>
      <c r="BG2" s="44" t="s">
        <v>48</v>
      </c>
      <c r="BH2" s="23" t="s">
        <v>50</v>
      </c>
      <c r="BI2" s="44" t="s">
        <v>35</v>
      </c>
      <c r="BJ2" s="23" t="s">
        <v>29</v>
      </c>
      <c r="BK2" s="23" t="s">
        <v>12</v>
      </c>
      <c r="BL2" s="23" t="s">
        <v>14</v>
      </c>
      <c r="BM2" s="23" t="s">
        <v>42</v>
      </c>
      <c r="BN2" s="23" t="s">
        <v>30</v>
      </c>
      <c r="BO2" s="23" t="s">
        <v>31</v>
      </c>
      <c r="BP2" s="23" t="s">
        <v>127</v>
      </c>
      <c r="BQ2" s="23" t="s">
        <v>32</v>
      </c>
      <c r="BR2" s="23" t="s">
        <v>49</v>
      </c>
      <c r="BS2" s="23" t="s">
        <v>33</v>
      </c>
      <c r="BT2" s="23" t="s">
        <v>13</v>
      </c>
      <c r="BU2" s="23" t="s">
        <v>2</v>
      </c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O2" s="19" t="s">
        <v>177</v>
      </c>
      <c r="CT2" s="19" t="s">
        <v>178</v>
      </c>
      <c r="EH2" s="19" t="s">
        <v>179</v>
      </c>
      <c r="FO2" s="17" t="s">
        <v>180</v>
      </c>
      <c r="FQ2" s="17" t="s">
        <v>596</v>
      </c>
      <c r="FW2" s="17" t="s">
        <v>181</v>
      </c>
      <c r="GD2" s="17" t="s">
        <v>182</v>
      </c>
      <c r="GF2" s="17" t="s">
        <v>183</v>
      </c>
      <c r="GG2" s="17"/>
      <c r="GH2" s="17"/>
    </row>
    <row r="3" spans="1:190" ht="16.5" x14ac:dyDescent="0.15">
      <c r="A3" s="16"/>
      <c r="B3" s="16" t="s">
        <v>72</v>
      </c>
      <c r="C3" s="16" t="s">
        <v>184</v>
      </c>
      <c r="D3" s="22"/>
      <c r="E3" s="16" t="s">
        <v>185</v>
      </c>
      <c r="F3" s="16" t="s">
        <v>186</v>
      </c>
      <c r="K3" s="47" t="s">
        <v>187</v>
      </c>
      <c r="L3" s="47" t="s">
        <v>45</v>
      </c>
      <c r="N3" s="47" t="s">
        <v>187</v>
      </c>
      <c r="O3" s="47" t="s">
        <v>188</v>
      </c>
      <c r="Q3" s="47" t="s">
        <v>187</v>
      </c>
      <c r="R3" s="47" t="s">
        <v>60</v>
      </c>
      <c r="T3" s="47" t="s">
        <v>187</v>
      </c>
      <c r="U3" s="47" t="s">
        <v>586</v>
      </c>
      <c r="W3" s="47" t="s">
        <v>187</v>
      </c>
      <c r="X3" s="104" t="s">
        <v>578</v>
      </c>
      <c r="AB3" s="2" t="s">
        <v>97</v>
      </c>
      <c r="AC3" s="2" t="s">
        <v>189</v>
      </c>
      <c r="AD3" s="15" t="b">
        <v>1</v>
      </c>
      <c r="CA3" s="16"/>
      <c r="CB3" s="46" t="s">
        <v>79</v>
      </c>
      <c r="CC3" s="16"/>
      <c r="CD3" s="16"/>
      <c r="CE3" s="16"/>
      <c r="CF3" s="16"/>
      <c r="CG3" s="2" t="s">
        <v>190</v>
      </c>
      <c r="CH3" s="2"/>
      <c r="CI3" s="16"/>
      <c r="CJ3" s="16"/>
      <c r="CL3" s="19" t="s">
        <v>191</v>
      </c>
      <c r="CM3" s="16" t="s">
        <v>192</v>
      </c>
      <c r="CN3" s="17" t="str">
        <f ca="1">IF(AND(EI3&lt;&gt;"",EI3&gt;1),ROW(),"")</f>
        <v/>
      </c>
      <c r="CO3" s="17">
        <f>UNNH0030_IF_W_USER_ID</f>
        <v>0</v>
      </c>
      <c r="CP3" s="17">
        <f>UNNH0030_IF_W_SERIAL</f>
        <v>0</v>
      </c>
      <c r="CQ3" s="17">
        <f>IF(UNNH0030_H_PAGE_NO=0,1,UNNH0030_H_PAGE_NO)</f>
        <v>1</v>
      </c>
      <c r="CR3" s="17">
        <f>ROW()-ROW(UNNH0030_IF_SAVE_W_ROW)</f>
        <v>-2</v>
      </c>
      <c r="CS3" s="17">
        <f>UNNH0030_IF_W_MODE</f>
        <v>0</v>
      </c>
      <c r="CT3" s="17" t="str">
        <f>IF(UNNH0030_H_URIAGE_NO="","",UNNH0030_H_URIAGE_NO)</f>
        <v/>
      </c>
      <c r="CU3" s="17" t="str">
        <f ca="1">IF(UNNH0030_H_DEMPYO_KBN_CD=0,"",UNNH0030_H_DEMPYO_KBN_CD)</f>
        <v/>
      </c>
      <c r="CV3" s="17">
        <f ca="1">IF(UNNH0030_H_RENDO_KBN_CD=0,"",UNNH0030_H_RENDO_KBN_CD)</f>
        <v>2</v>
      </c>
      <c r="CW3" s="17" t="str">
        <f ca="1">IF(UNNH0030_H_DENKU_CD="","",UNNH0030_H_DENKU_CD)</f>
        <v/>
      </c>
      <c r="CX3" s="17" t="str">
        <f ca="1">IF(UNNH0030_H_KANJO_KAMOKU_CD="","",UNNH0030_H_KANJO_KAMOKU_CD)</f>
        <v/>
      </c>
      <c r="CY3" s="48" t="str">
        <f>IF(UNNH0030_H_URIAGE_DATE=0,"",UNNH0030_H_URIAGE_DATE)</f>
        <v/>
      </c>
      <c r="CZ3" s="17" t="str">
        <f>IF(OR(UNNH0030_H_BUSHO_CD=0,UNNH0030_H_BUSHO_MEI=""),"",UNNH0030_H_BUSHO_CD)</f>
        <v/>
      </c>
      <c r="DA3" s="17" t="str">
        <f>IF(OR(UNNH0030_H_NYURYOKUSHA_CD=0,UNNH0030_H_NYURYOKUSHA_MEI=""),"",UNNH0030_H_NYURYOKUSHA_CD)</f>
        <v/>
      </c>
      <c r="DB3" s="17" t="str">
        <f>IF(OR(UNNH0030_H_EIGYO_TANTO_CD=0,UNNH0030_H_EIGYO_TANTO_MEI=""),"",UNNH0030_H_EIGYO_TANTO_CD)</f>
        <v/>
      </c>
      <c r="DC3" s="49">
        <f ca="1">IF(UNNH0030_H_NYURYOKU_DATETIME="",NOW(),UNNH0030_H_NYURYOKU_DATETIME)</f>
        <v>42804.466910995368</v>
      </c>
      <c r="DD3" s="17" t="str">
        <f>IF(UNNH0030_H_JUCHU_KBN_CD=0,"",UNNH0030_H_JUCHU_KBN_CD)</f>
        <v/>
      </c>
      <c r="DE3" s="17" t="str">
        <f>IF(UNNH0030_H_JURI_NO=0,"",UNNH0030_H_JURI_NO)</f>
        <v/>
      </c>
      <c r="DF3" s="17" t="str">
        <f>IF(UNNH0030_H_MITSU_NO=0,"",UNNH0030_H_MITSU_NO)</f>
        <v/>
      </c>
      <c r="DG3" s="17" t="str">
        <f>IF(UNNH0030_H_SAKI_URIAGE_NO=0,"",UNNH0030_H_SAKI_URIAGE_NO)</f>
        <v/>
      </c>
      <c r="DH3" s="48"/>
      <c r="DI3" s="17" t="str">
        <f>IF(OR(UNNH0030_H_STS_CD=0,UNNH0030_H_STS=""),"",UNNH0030_H_STS_CD)</f>
        <v/>
      </c>
      <c r="DJ3" s="17" t="b">
        <f>IF(UNNH0030_H_DOJI_FLG=TRUE,TRUE,FALSE)</f>
        <v>1</v>
      </c>
      <c r="DK3" s="17" t="str">
        <f>IF(UNNH0030_H_SEIKYUSAKI_CD=0,"",UNNH0030_H_SEIKYUSAKI_CD)</f>
        <v/>
      </c>
      <c r="DL3" s="48" t="str">
        <f>IF(UNNH0030_H_KAISHU_DATE=0,"",UNNH0030_H_KAISHU_DATE)</f>
        <v/>
      </c>
      <c r="DM3" s="48" t="str">
        <f>IF(UNNH0030_H_BUNSEKI_HOHO=0,"",UNNH0030_H_BUNSEKI_HOHO)</f>
        <v/>
      </c>
      <c r="DN3" s="17" t="str">
        <f>IF(UNNH0030_H_TEKIYO=0,"",UNNH0030_H_TEKIYO)</f>
        <v/>
      </c>
      <c r="DO3" s="17" t="str">
        <f>IF(UNNH0030_H_DEMPYO_MEI=0,"",UNNH0030_H_DEMPYO_MEI)</f>
        <v/>
      </c>
      <c r="DP3" s="17" t="str">
        <f>IF(UNNH0030_H_KEISHO=0,"",UNNH0030_H_KEISHO)</f>
        <v/>
      </c>
      <c r="DQ3" s="17" t="str">
        <f>IF(UNNH0030_H_SOFU_YUBIN=0,"",UNNH0030_H_SOFU_YUBIN)</f>
        <v/>
      </c>
      <c r="DR3" s="17" t="str">
        <f>IF(UNNH0030_H_SOFU_JUSHO_1=0,"",UNNH0030_H_SOFU_JUSHO_1)</f>
        <v/>
      </c>
      <c r="DS3" s="17" t="str">
        <f>IF(UNNH0030_H_SOFU_JUSHO_2=0,"",UNNH0030_H_SOFU_JUSHO_2)</f>
        <v/>
      </c>
      <c r="DT3" s="17" t="str">
        <f>IF(UNNH0030_H_SOFU_TEL=0,"",UNNH0030_H_SOFU_TEL)</f>
        <v/>
      </c>
      <c r="DU3" s="17" t="str">
        <f>IF(UNNH0030_H_SOFU_FAX=0,"",UNNH0030_H_SOFU_FAX)</f>
        <v/>
      </c>
      <c r="DV3" s="17" t="str">
        <f>IF(UNNH0030_H_SOFU_TANTOSHA_MEI=0,"",UNNH0030_H_SOFU_TANTOSHA_MEI)</f>
        <v/>
      </c>
      <c r="DW3" s="17" t="str">
        <f>IF(UNNH0030_H_BIKO=0,"",UNNH0030_H_BIKO)</f>
        <v/>
      </c>
      <c r="DX3" s="17" t="b">
        <f>IF(UNNH0030_H_JUSHO_NO_PRINT_FLG=TRUE,TRUE,FALSE)</f>
        <v>0</v>
      </c>
      <c r="DY3" s="50">
        <f>UNNH0030_H_TAX_RATE</f>
        <v>0</v>
      </c>
      <c r="DZ3" s="17">
        <f ca="1">UNNH0030_H_NUKI_TOTAL</f>
        <v>0</v>
      </c>
      <c r="EA3" s="17">
        <f ca="1">UNNH0030_H_TAX</f>
        <v>0</v>
      </c>
      <c r="EB3" s="17">
        <f>UNNH0030_H_KOMI_TOTAL</f>
        <v>0</v>
      </c>
      <c r="EC3" s="17">
        <f ca="1">UNNH0030_H_GENKA_TOTAL</f>
        <v>0</v>
      </c>
      <c r="ED3" s="17">
        <f>UNNH0030_H_ARARIEKI</f>
        <v>0</v>
      </c>
      <c r="EE3" s="51">
        <f>UNNH0030_H_RIEKI_RATE</f>
        <v>0</v>
      </c>
      <c r="EF3" s="17" t="str">
        <f>IF(UNNH0030_H_SHOKON_NO=0,"",UNNH0030_H_SHOKON_NO)</f>
        <v/>
      </c>
      <c r="EG3" s="49" t="str">
        <f>IF(UNNH0030_H_SHOKON_LIST_DATE_TIME=0,"",UNNH0030_H_SHOKON_LIST_DATE_TIME)</f>
        <v/>
      </c>
      <c r="EH3" s="17">
        <f ca="1">OFFSET(UNNH0030_B_GYO,1+ROW()-ROW(UNNH0030_IF_SAVE_START),0)</f>
        <v>0</v>
      </c>
      <c r="EI3" s="17" t="str">
        <f ca="1">IF(OFFSET(UNNH0030_B_ROW_KBN,1+ROW()-ROW(UNNH0030_IF_SAVE_START),0)=0,"",
OFFSET(UNNH0030_B_ROW_KBN,1+ROW()-ROW(UNNH0030_IF_SAVE_START),0))</f>
        <v/>
      </c>
      <c r="EJ3" s="17" t="str">
        <f ca="1">IF(OFFSET(UNNH0030_B_SHOHIN_CD,1+ROW()-ROW(UNNH0030_IF_SAVE_START),0)=0,"",
OFFSET(UNNH0030_B_SHOHIN_CD,1+ROW()-ROW(UNNH0030_IF_SAVE_START),0))</f>
        <v/>
      </c>
      <c r="EK3" s="17" t="str">
        <f ca="1">IF(OFFSET(UNNH0030_B_SHOHIN_MEI,1+ROW()-ROW(UNNH0030_IF_SAVE_START),0)=0,"",
OFFSET(UNNH0030_B_SHOHIN_MEI,1+ROW()-ROW(UNNH0030_IF_SAVE_START),0))</f>
        <v/>
      </c>
      <c r="EL3" s="17" t="str">
        <f ca="1">IF(OFFSET(UNNH0030_B_SURYO,1+ROW()-ROW(UNNH0030_IF_SAVE_START),0)=0,"",
OFFSET(UNNH0030_B_SURYO,1+ROW()-ROW(UNNH0030_IF_SAVE_START),0))</f>
        <v/>
      </c>
      <c r="EM3" s="17" t="str">
        <f ca="1">IF(OFFSET(UNNH0030_B_TANI,1+ROW()-ROW(UNNH0030_IF_SAVE_START),0)=0,"",
OFFSET(UNNH0030_B_TANI,1+ROW()-ROW(UNNH0030_IF_SAVE_START),0))</f>
        <v/>
      </c>
      <c r="EN3" s="17" t="str">
        <f ca="1">IF(OFFSET(UNNH0030_B_HAMBAI_TANKA,1+ROW()-ROW(UNNH0030_IF_SAVE_START),0)="","",
OFFSET(UNNH0030_B_HAMBAI_TANKA,1+ROW()-ROW(UNNH0030_IF_SAVE_START),0))</f>
        <v/>
      </c>
      <c r="EO3" s="17" t="str">
        <f ca="1">IF(OFFSET(UNNH0030_B_HAMBAI_KINGAKU,1+ROW()-ROW(UNNH0030_IF_SAVE_START),0)="","",
OFFSET(UNNH0030_B_HAMBAI_KINGAKU,1+ROW()-ROW(UNNH0030_IF_SAVE_START),0))</f>
        <v/>
      </c>
      <c r="EP3" s="17" t="str">
        <f ca="1">IF(OFFSET(UNNH0030_B_TEKIYO,1+ROW()-ROW(UNNH0030_IF_SAVE_START),0)=0,"",
OFFSET(UNNH0030_B_TEKIYO,1+ROW()-ROW(UNNH0030_IF_SAVE_START),0))</f>
        <v/>
      </c>
      <c r="EQ3" s="17" t="str">
        <f ca="1">IF(OFFSET(UNNH0030_B_GENTANKA,1+ROW()-ROW(UNNH0030_IF_SAVE_START),0)="","",
OFFSET(UNNH0030_B_GENTANKA,1+ROW()-ROW(UNNH0030_IF_SAVE_START),0))</f>
        <v/>
      </c>
      <c r="ER3" s="17" t="str">
        <f ca="1">EL3</f>
        <v/>
      </c>
      <c r="ES3" s="17" t="str">
        <f ca="1">IF(OFFSET(UNNH0030_B_IRISU_TANI,1+ROW()-ROW(UNNH0030_IF_SAVE_START),0)=0,"",
OFFSET(UNNH0030_B_IRISU_TANI,1+ROW()-ROW(UNNH0030_IF_SAVE_START),0))</f>
        <v/>
      </c>
      <c r="ET3" s="17" t="str">
        <f ca="1">IF(OFFSET(UNNH0030_B_SOSU,1+ROW()-ROW(UNNH0030_IF_SAVE_START),0)="","",
OFFSET(UNNH0030_B_SOSU,1+ROW()-ROW(UNNH0030_IF_SAVE_START),0))</f>
        <v/>
      </c>
      <c r="EU3" s="17" t="str">
        <f ca="1">IF(OFFSET(UNNH0030_B_BARA_TANI,1+ROW()-ROW(UNNH0030_IF_SAVE_START),0)=0,"",
OFFSET(UNNH0030_B_BARA_TANI,1+ROW()-ROW(UNNH0030_IF_SAVE_START),0))</f>
        <v/>
      </c>
      <c r="EV3" s="17" t="str">
        <f ca="1">IF(OFFSET(UNNH0030_B_GENKA_KINGAKU,1+ROW()-ROW(UNNH0030_IF_SAVE_START),0)="","",
OFFSET(UNNH0030_B_GENKA_KINGAKU,1+ROW()-ROW(UNNH0030_IF_SAVE_START),0))</f>
        <v/>
      </c>
      <c r="EW3" s="50" t="str">
        <f ca="1">IF(OFFSET(UNNH0030_B_ARARIRITSU,1+ROW()-ROW(UNNH0030_IF_SAVE_START),0)=0,"",
OFFSET(UNNH0030_B_ARARIRITSU,1+ROW()-ROW(UNNH0030_IF_SAVE_START),0))</f>
        <v/>
      </c>
      <c r="EX3" s="17" t="str">
        <f ca="1">IF(OFFSET(UNNH0030_B_ARARIEKI,1+ROW()-ROW(UNNH0030_IF_SAVE_START),0)=0,"",
OFFSET(UNNH0030_B_ARARIEKI,1+ROW()-ROW(UNNH0030_IF_SAVE_START),0))</f>
        <v/>
      </c>
      <c r="EY3" s="17" t="str">
        <f ca="1">IF(OFFSET(UNNH0030_B_TEIKA,1+ROW()-ROW(UNNH0030_IF_SAVE_START),0)=0,"",
OFFSET(UNNH0030_B_TEIKA,1+ROW()-ROW(UNNH0030_IF_SAVE_START),0))</f>
        <v/>
      </c>
      <c r="EZ3" s="17" t="b">
        <v>0</v>
      </c>
      <c r="FA3" s="17"/>
      <c r="FB3" s="17"/>
      <c r="FC3" s="17"/>
      <c r="FD3" s="17"/>
      <c r="FE3" s="17"/>
      <c r="FI3" s="19" t="s">
        <v>193</v>
      </c>
      <c r="FJ3" s="19" t="s">
        <v>194</v>
      </c>
      <c r="FK3" s="17"/>
      <c r="FO3" s="23" t="s">
        <v>10</v>
      </c>
      <c r="FP3" s="43" t="s">
        <v>126</v>
      </c>
      <c r="FQ3" s="43" t="s">
        <v>595</v>
      </c>
      <c r="FR3" s="44" t="s">
        <v>15</v>
      </c>
      <c r="FS3" s="23" t="s">
        <v>11</v>
      </c>
      <c r="FT3" s="44" t="s">
        <v>48</v>
      </c>
      <c r="FU3" s="23" t="s">
        <v>50</v>
      </c>
      <c r="FV3" s="44" t="s">
        <v>35</v>
      </c>
      <c r="FW3" s="23" t="s">
        <v>29</v>
      </c>
      <c r="FX3" s="23" t="s">
        <v>12</v>
      </c>
      <c r="FY3" s="23" t="s">
        <v>14</v>
      </c>
      <c r="FZ3" s="23" t="s">
        <v>42</v>
      </c>
      <c r="GA3" s="23" t="s">
        <v>30</v>
      </c>
      <c r="GB3" s="23" t="s">
        <v>31</v>
      </c>
      <c r="GC3" s="23" t="s">
        <v>127</v>
      </c>
      <c r="GD3" s="23" t="s">
        <v>32</v>
      </c>
      <c r="GE3" s="23" t="s">
        <v>49</v>
      </c>
      <c r="GF3" s="23" t="s">
        <v>33</v>
      </c>
      <c r="GG3" s="23" t="s">
        <v>13</v>
      </c>
      <c r="GH3" s="23" t="s">
        <v>2</v>
      </c>
    </row>
    <row r="4" spans="1:190" ht="16.5" x14ac:dyDescent="0.15">
      <c r="A4" s="16"/>
      <c r="B4" s="16" t="s">
        <v>195</v>
      </c>
      <c r="C4" s="16" t="s">
        <v>196</v>
      </c>
      <c r="D4" s="22" t="s">
        <v>197</v>
      </c>
      <c r="E4" s="16"/>
      <c r="F4" s="16"/>
      <c r="K4" s="47" t="s">
        <v>198</v>
      </c>
      <c r="L4" s="52">
        <v>5</v>
      </c>
      <c r="N4" s="47" t="s">
        <v>198</v>
      </c>
      <c r="O4" s="52">
        <v>2</v>
      </c>
      <c r="Q4" s="47" t="s">
        <v>198</v>
      </c>
      <c r="R4" s="52">
        <v>3</v>
      </c>
      <c r="T4" s="47" t="s">
        <v>198</v>
      </c>
      <c r="U4" s="52">
        <v>2</v>
      </c>
      <c r="W4" s="47" t="s">
        <v>198</v>
      </c>
      <c r="X4" s="105">
        <v>3</v>
      </c>
      <c r="AB4" s="2" t="s">
        <v>99</v>
      </c>
      <c r="AC4" s="2" t="s">
        <v>199</v>
      </c>
      <c r="AD4" s="15" t="b">
        <v>0</v>
      </c>
      <c r="AG4" s="19" t="s">
        <v>200</v>
      </c>
      <c r="AH4" s="84"/>
      <c r="AI4" s="21"/>
      <c r="AJ4" s="8" t="s">
        <v>47</v>
      </c>
      <c r="AK4" s="26"/>
      <c r="AL4" s="21"/>
      <c r="AM4" s="3" t="s">
        <v>55</v>
      </c>
      <c r="AN4" s="27"/>
      <c r="AO4" s="21"/>
      <c r="AP4" s="8" t="s">
        <v>602</v>
      </c>
      <c r="AQ4" s="26"/>
      <c r="AS4" s="8" t="s">
        <v>46</v>
      </c>
      <c r="AT4" s="82" t="s">
        <v>546</v>
      </c>
      <c r="AU4" s="83"/>
      <c r="AZ4" s="19" t="s">
        <v>200</v>
      </c>
      <c r="BA4" s="19" t="s">
        <v>201</v>
      </c>
      <c r="BB4" s="19" t="s">
        <v>202</v>
      </c>
      <c r="BD4" s="17" t="s">
        <v>599</v>
      </c>
      <c r="BJ4" s="17" t="s">
        <v>203</v>
      </c>
      <c r="BQ4" s="17" t="s">
        <v>204</v>
      </c>
      <c r="BS4" s="17" t="s">
        <v>205</v>
      </c>
      <c r="BT4" s="17"/>
      <c r="BU4" s="17"/>
      <c r="CA4" s="16"/>
      <c r="CB4" s="16" t="s">
        <v>206</v>
      </c>
      <c r="CC4" s="16" t="s">
        <v>207</v>
      </c>
      <c r="CD4" s="22"/>
      <c r="CE4" s="16"/>
      <c r="CF4" s="16"/>
      <c r="CG4" s="53" t="s">
        <v>208</v>
      </c>
      <c r="CH4" s="53"/>
      <c r="CI4" s="16"/>
      <c r="CJ4" s="16"/>
      <c r="CM4" s="19" t="s">
        <v>209</v>
      </c>
      <c r="CN4" s="19" t="s">
        <v>210</v>
      </c>
      <c r="CO4" s="54" t="s">
        <v>211</v>
      </c>
      <c r="CP4" s="54" t="s">
        <v>212</v>
      </c>
      <c r="CQ4" s="54" t="s">
        <v>213</v>
      </c>
      <c r="CR4" s="54" t="s">
        <v>214</v>
      </c>
      <c r="CS4" s="54" t="s">
        <v>215</v>
      </c>
      <c r="CT4" s="54" t="s">
        <v>216</v>
      </c>
      <c r="CU4" s="54" t="s">
        <v>217</v>
      </c>
      <c r="CV4" s="54" t="s">
        <v>218</v>
      </c>
      <c r="CW4" s="54" t="s">
        <v>592</v>
      </c>
      <c r="CX4" s="54" t="s">
        <v>581</v>
      </c>
      <c r="CY4" s="54" t="s">
        <v>219</v>
      </c>
      <c r="CZ4" s="54" t="s">
        <v>220</v>
      </c>
      <c r="DA4" s="54" t="s">
        <v>221</v>
      </c>
      <c r="DB4" s="54" t="s">
        <v>604</v>
      </c>
      <c r="DC4" s="54" t="s">
        <v>222</v>
      </c>
      <c r="DD4" s="54" t="s">
        <v>223</v>
      </c>
      <c r="DE4" s="54" t="s">
        <v>224</v>
      </c>
      <c r="DF4" s="54" t="s">
        <v>225</v>
      </c>
      <c r="DG4" s="54" t="s">
        <v>226</v>
      </c>
      <c r="DH4" s="54" t="s">
        <v>227</v>
      </c>
      <c r="DI4" s="54" t="s">
        <v>228</v>
      </c>
      <c r="DJ4" s="54" t="s">
        <v>229</v>
      </c>
      <c r="DK4" s="54" t="s">
        <v>230</v>
      </c>
      <c r="DL4" s="54" t="s">
        <v>231</v>
      </c>
      <c r="DM4" s="54" t="s">
        <v>232</v>
      </c>
      <c r="DN4" s="54" t="s">
        <v>233</v>
      </c>
      <c r="DO4" s="54" t="s">
        <v>234</v>
      </c>
      <c r="DP4" s="54" t="s">
        <v>235</v>
      </c>
      <c r="DQ4" s="54" t="s">
        <v>236</v>
      </c>
      <c r="DR4" s="54" t="s">
        <v>237</v>
      </c>
      <c r="DS4" s="54" t="s">
        <v>238</v>
      </c>
      <c r="DT4" s="54" t="s">
        <v>239</v>
      </c>
      <c r="DU4" s="54" t="s">
        <v>240</v>
      </c>
      <c r="DV4" s="54" t="s">
        <v>241</v>
      </c>
      <c r="DW4" s="54" t="s">
        <v>242</v>
      </c>
      <c r="DX4" s="54" t="s">
        <v>243</v>
      </c>
      <c r="DY4" s="54" t="s">
        <v>244</v>
      </c>
      <c r="DZ4" s="54" t="s">
        <v>245</v>
      </c>
      <c r="EA4" s="54" t="s">
        <v>246</v>
      </c>
      <c r="EB4" s="54" t="s">
        <v>247</v>
      </c>
      <c r="EC4" s="54" t="s">
        <v>248</v>
      </c>
      <c r="ED4" s="54" t="s">
        <v>249</v>
      </c>
      <c r="EE4" s="54" t="s">
        <v>250</v>
      </c>
      <c r="EF4" s="54" t="s">
        <v>251</v>
      </c>
      <c r="EG4" s="54" t="s">
        <v>252</v>
      </c>
      <c r="EH4" s="54" t="s">
        <v>253</v>
      </c>
      <c r="EI4" s="54" t="s">
        <v>254</v>
      </c>
      <c r="EJ4" s="54" t="s">
        <v>255</v>
      </c>
      <c r="EK4" s="54" t="s">
        <v>256</v>
      </c>
      <c r="EL4" s="54" t="s">
        <v>257</v>
      </c>
      <c r="EM4" s="54" t="s">
        <v>258</v>
      </c>
      <c r="EN4" s="54" t="s">
        <v>259</v>
      </c>
      <c r="EO4" s="54" t="s">
        <v>260</v>
      </c>
      <c r="EP4" s="54" t="s">
        <v>261</v>
      </c>
      <c r="EQ4" s="54" t="s">
        <v>262</v>
      </c>
      <c r="ER4" s="54" t="s">
        <v>263</v>
      </c>
      <c r="ES4" s="54" t="s">
        <v>264</v>
      </c>
      <c r="ET4" s="54" t="s">
        <v>265</v>
      </c>
      <c r="EU4" s="54" t="s">
        <v>266</v>
      </c>
      <c r="EV4" s="54" t="s">
        <v>267</v>
      </c>
      <c r="EW4" s="54" t="s">
        <v>268</v>
      </c>
      <c r="EX4" s="54" t="s">
        <v>269</v>
      </c>
      <c r="EY4" s="54" t="s">
        <v>270</v>
      </c>
      <c r="EZ4" s="54" t="s">
        <v>271</v>
      </c>
      <c r="FA4" s="54" t="s">
        <v>272</v>
      </c>
      <c r="FB4" s="54" t="s">
        <v>273</v>
      </c>
      <c r="FC4" s="54" t="s">
        <v>274</v>
      </c>
      <c r="FD4" s="54" t="s">
        <v>275</v>
      </c>
      <c r="FE4" s="54" t="s">
        <v>276</v>
      </c>
      <c r="FM4" s="19" t="s">
        <v>277</v>
      </c>
      <c r="FN4" s="19" t="s">
        <v>278</v>
      </c>
      <c r="FO4" s="17"/>
    </row>
    <row r="5" spans="1:190" ht="16.5" x14ac:dyDescent="0.15">
      <c r="A5" s="16"/>
      <c r="B5" s="16" t="s">
        <v>279</v>
      </c>
      <c r="C5" s="16" t="s">
        <v>280</v>
      </c>
      <c r="D5" s="22"/>
      <c r="K5" s="47" t="s">
        <v>281</v>
      </c>
      <c r="L5" s="47" t="s">
        <v>282</v>
      </c>
      <c r="N5" s="47" t="s">
        <v>283</v>
      </c>
      <c r="O5" s="47" t="s">
        <v>284</v>
      </c>
      <c r="Q5" s="47" t="s">
        <v>542</v>
      </c>
      <c r="R5" s="47" t="s">
        <v>282</v>
      </c>
      <c r="T5" s="47" t="s">
        <v>587</v>
      </c>
      <c r="U5" s="47" t="s">
        <v>588</v>
      </c>
      <c r="W5" s="47" t="s">
        <v>579</v>
      </c>
      <c r="X5" s="104" t="s">
        <v>580</v>
      </c>
      <c r="AG5" s="19" t="s">
        <v>285</v>
      </c>
      <c r="AH5" s="7"/>
      <c r="AI5" s="21"/>
      <c r="AJ5" s="8" t="s">
        <v>54</v>
      </c>
      <c r="AK5" s="26"/>
      <c r="AL5" s="21"/>
      <c r="AM5" s="3" t="s">
        <v>56</v>
      </c>
      <c r="AN5" s="27"/>
      <c r="AO5" s="21"/>
      <c r="AP5" s="8" t="s">
        <v>53</v>
      </c>
      <c r="AQ5" s="28"/>
      <c r="AS5" s="8" t="s">
        <v>61</v>
      </c>
      <c r="AT5" s="82" t="s">
        <v>547</v>
      </c>
      <c r="AU5" s="83"/>
      <c r="AZ5" s="19" t="s">
        <v>91</v>
      </c>
      <c r="BA5" s="19" t="s">
        <v>286</v>
      </c>
      <c r="BB5" s="5">
        <f ca="1">1+ROW()-ROW(INDIRECT(UNNH0030_B_LIST_START))</f>
        <v>-17</v>
      </c>
      <c r="BC5" s="5">
        <v>1</v>
      </c>
      <c r="BD5" s="5">
        <f>ROUNDDOWN(BJ5*UNNH0030_H_TAX_RATE,0)</f>
        <v>0</v>
      </c>
      <c r="BE5" s="26"/>
      <c r="BF5" s="129"/>
      <c r="BG5" s="55"/>
      <c r="BH5" s="87"/>
      <c r="BI5" s="55"/>
      <c r="BJ5" s="56">
        <f>IF(BG5=0,1,BG5)*BI5</f>
        <v>0</v>
      </c>
      <c r="BK5" s="34"/>
      <c r="BL5" s="56"/>
      <c r="BM5" s="89"/>
      <c r="BN5" s="56"/>
      <c r="BO5" s="89"/>
      <c r="BP5" s="87"/>
      <c r="BQ5" s="56">
        <f>IF(BG5=0,1,BG5)*BN5</f>
        <v>0</v>
      </c>
      <c r="BR5" s="87"/>
      <c r="BS5" s="57">
        <f>BM5*IF(BG5=0,1,BG5)</f>
        <v>0</v>
      </c>
      <c r="BT5" s="58">
        <f>IF(ISERROR(BU5/BJ5)=TRUE,0,
IF(BJ5&lt;0,0,
IF(BJ5&lt;BS5,BU5/BS5,
BU5/BJ5)))</f>
        <v>0</v>
      </c>
      <c r="BU5" s="56">
        <f>IF(BS5=0,0,BJ5-BS5)</f>
        <v>0</v>
      </c>
      <c r="CA5" s="16"/>
      <c r="CB5" s="16" t="s">
        <v>80</v>
      </c>
      <c r="CC5" s="16" t="s">
        <v>287</v>
      </c>
      <c r="CD5" s="59"/>
      <c r="CE5" s="16"/>
      <c r="CF5" s="16"/>
      <c r="CG5" s="4" t="s">
        <v>288</v>
      </c>
      <c r="CH5" s="4" t="s">
        <v>289</v>
      </c>
      <c r="CI5" s="16"/>
      <c r="CJ5" s="16"/>
      <c r="CN5" s="17" t="s">
        <v>290</v>
      </c>
      <c r="CO5" s="60" t="s">
        <v>291</v>
      </c>
      <c r="CP5" s="60" t="s">
        <v>292</v>
      </c>
      <c r="CQ5" s="60" t="s">
        <v>66</v>
      </c>
      <c r="CR5" s="60" t="s">
        <v>293</v>
      </c>
      <c r="CS5" s="60" t="s">
        <v>294</v>
      </c>
      <c r="CT5" s="60" t="s">
        <v>295</v>
      </c>
      <c r="CU5" s="60" t="s">
        <v>296</v>
      </c>
      <c r="CV5" s="60" t="s">
        <v>297</v>
      </c>
      <c r="CW5" s="60" t="s">
        <v>591</v>
      </c>
      <c r="CX5" s="60" t="s">
        <v>582</v>
      </c>
      <c r="CY5" s="60" t="s">
        <v>298</v>
      </c>
      <c r="CZ5" s="60" t="s">
        <v>299</v>
      </c>
      <c r="DA5" s="60" t="s">
        <v>300</v>
      </c>
      <c r="DB5" s="60" t="s">
        <v>603</v>
      </c>
      <c r="DC5" s="60" t="s">
        <v>301</v>
      </c>
      <c r="DD5" s="60" t="s">
        <v>302</v>
      </c>
      <c r="DE5" s="60" t="s">
        <v>303</v>
      </c>
      <c r="DF5" s="60" t="s">
        <v>304</v>
      </c>
      <c r="DG5" s="60" t="s">
        <v>305</v>
      </c>
      <c r="DH5" s="60" t="s">
        <v>306</v>
      </c>
      <c r="DI5" s="60" t="s">
        <v>307</v>
      </c>
      <c r="DJ5" s="60" t="s">
        <v>308</v>
      </c>
      <c r="DK5" s="60" t="s">
        <v>309</v>
      </c>
      <c r="DL5" s="60" t="s">
        <v>310</v>
      </c>
      <c r="DM5" s="60" t="s">
        <v>311</v>
      </c>
      <c r="DN5" s="60" t="s">
        <v>312</v>
      </c>
      <c r="DO5" s="60" t="s">
        <v>313</v>
      </c>
      <c r="DP5" s="60" t="s">
        <v>314</v>
      </c>
      <c r="DQ5" s="60" t="s">
        <v>315</v>
      </c>
      <c r="DR5" s="60" t="s">
        <v>316</v>
      </c>
      <c r="DS5" s="60" t="s">
        <v>317</v>
      </c>
      <c r="DT5" s="60" t="s">
        <v>318</v>
      </c>
      <c r="DU5" s="60" t="s">
        <v>319</v>
      </c>
      <c r="DV5" s="60" t="s">
        <v>320</v>
      </c>
      <c r="DW5" s="60" t="s">
        <v>321</v>
      </c>
      <c r="DX5" s="60" t="s">
        <v>322</v>
      </c>
      <c r="DY5" s="60" t="s">
        <v>323</v>
      </c>
      <c r="DZ5" s="60" t="s">
        <v>324</v>
      </c>
      <c r="EA5" s="60" t="s">
        <v>325</v>
      </c>
      <c r="EB5" s="60" t="s">
        <v>326</v>
      </c>
      <c r="EC5" s="60" t="s">
        <v>327</v>
      </c>
      <c r="ED5" s="60" t="s">
        <v>328</v>
      </c>
      <c r="EE5" s="60" t="s">
        <v>329</v>
      </c>
      <c r="EF5" s="60" t="s">
        <v>330</v>
      </c>
      <c r="EG5" s="60" t="s">
        <v>331</v>
      </c>
      <c r="EH5" s="60" t="s">
        <v>332</v>
      </c>
      <c r="EI5" s="60" t="s">
        <v>333</v>
      </c>
      <c r="EJ5" s="61" t="s">
        <v>334</v>
      </c>
      <c r="EK5" s="60" t="s">
        <v>335</v>
      </c>
      <c r="EL5" s="61" t="s">
        <v>336</v>
      </c>
      <c r="EM5" s="60" t="s">
        <v>337</v>
      </c>
      <c r="EN5" s="61" t="s">
        <v>338</v>
      </c>
      <c r="EO5" s="60" t="s">
        <v>339</v>
      </c>
      <c r="EP5" s="60" t="s">
        <v>312</v>
      </c>
      <c r="EQ5" s="60" t="s">
        <v>340</v>
      </c>
      <c r="ER5" s="60" t="s">
        <v>341</v>
      </c>
      <c r="ES5" s="60" t="s">
        <v>342</v>
      </c>
      <c r="ET5" s="60" t="s">
        <v>343</v>
      </c>
      <c r="EU5" s="60" t="s">
        <v>344</v>
      </c>
      <c r="EV5" s="60" t="s">
        <v>345</v>
      </c>
      <c r="EW5" s="60" t="s">
        <v>329</v>
      </c>
      <c r="EX5" s="60" t="s">
        <v>328</v>
      </c>
      <c r="EY5" s="60" t="s">
        <v>346</v>
      </c>
      <c r="EZ5" s="60" t="s">
        <v>347</v>
      </c>
      <c r="FA5" s="60" t="s">
        <v>348</v>
      </c>
      <c r="FB5" s="60" t="s">
        <v>349</v>
      </c>
      <c r="FC5" s="60" t="s">
        <v>350</v>
      </c>
      <c r="FD5" s="60" t="s">
        <v>351</v>
      </c>
      <c r="FE5" s="60" t="s">
        <v>352</v>
      </c>
      <c r="FI5" s="19" t="s">
        <v>353</v>
      </c>
      <c r="FJ5" s="19" t="s">
        <v>354</v>
      </c>
      <c r="FK5" s="17">
        <f>IF(UNNH0030_IF_MULTI_SELECT_KENSU+UNNH0030_B_GYO_COUNT&gt;99,99-UNNH0030_B_GYO_COUNT,UNNH0030_IF_MULTI_SELECT_KENSU)</f>
        <v>0</v>
      </c>
    </row>
    <row r="6" spans="1:190" ht="16.5" x14ac:dyDescent="0.15">
      <c r="A6" s="16"/>
      <c r="B6" s="16" t="s">
        <v>355</v>
      </c>
      <c r="C6" s="16" t="s">
        <v>356</v>
      </c>
      <c r="D6" s="22"/>
      <c r="E6" s="16" t="s">
        <v>185</v>
      </c>
      <c r="F6" s="16" t="s">
        <v>357</v>
      </c>
      <c r="K6" s="47" t="s">
        <v>358</v>
      </c>
      <c r="L6" s="47" t="s">
        <v>359</v>
      </c>
      <c r="N6" s="47" t="s">
        <v>358</v>
      </c>
      <c r="O6" s="47" t="s">
        <v>360</v>
      </c>
      <c r="Q6" s="47" t="s">
        <v>358</v>
      </c>
      <c r="R6" s="47" t="s">
        <v>359</v>
      </c>
      <c r="T6" s="47" t="s">
        <v>358</v>
      </c>
      <c r="U6" s="47" t="s">
        <v>359</v>
      </c>
      <c r="W6" s="47" t="s">
        <v>358</v>
      </c>
      <c r="X6" s="104" t="s">
        <v>359</v>
      </c>
      <c r="AB6" s="82" t="s">
        <v>557</v>
      </c>
      <c r="AC6" s="2" t="s">
        <v>559</v>
      </c>
      <c r="AD6" s="84">
        <f ca="1">TODAY()</f>
        <v>42804</v>
      </c>
      <c r="AH6" s="29"/>
      <c r="AI6" s="21"/>
      <c r="AJ6" s="3" t="s">
        <v>19</v>
      </c>
      <c r="AK6" s="182"/>
      <c r="AL6" s="183"/>
      <c r="AM6" s="9" t="s">
        <v>62</v>
      </c>
      <c r="AN6" s="30"/>
      <c r="AO6" s="21"/>
      <c r="AP6" s="8" t="s">
        <v>44</v>
      </c>
      <c r="AQ6" s="27"/>
      <c r="CA6" s="16"/>
      <c r="CB6" s="16" t="s">
        <v>361</v>
      </c>
      <c r="CC6" s="16" t="s">
        <v>362</v>
      </c>
      <c r="CD6" s="59">
        <v>0</v>
      </c>
      <c r="CE6" s="16"/>
      <c r="CF6" s="16"/>
      <c r="CG6" s="4" t="s">
        <v>363</v>
      </c>
      <c r="CH6" s="4" t="str">
        <f>ADDRESS(ROW(UNNH0030_IF_SAVE_CHECK_RESULT),COLUMN(UNNH0030_IF_SAVE_CHECK_RESULT))</f>
        <v>$CH$30</v>
      </c>
      <c r="CI6" s="16"/>
      <c r="CJ6" s="16"/>
      <c r="CL6" s="19" t="s">
        <v>364</v>
      </c>
      <c r="CM6" s="16" t="s">
        <v>365</v>
      </c>
      <c r="CN6" s="17"/>
      <c r="CO6" s="17"/>
      <c r="EJ6" s="17"/>
      <c r="FI6" s="19" t="s">
        <v>366</v>
      </c>
      <c r="FJ6" s="19" t="s">
        <v>367</v>
      </c>
      <c r="FK6" s="17">
        <f>IF(UNNH0030_IF_MULTI_SELECT_KENSU&gt;0,1,2)</f>
        <v>2</v>
      </c>
      <c r="FL6" s="19" t="s">
        <v>368</v>
      </c>
      <c r="GD6" s="82"/>
    </row>
    <row r="7" spans="1:190" ht="16.5" x14ac:dyDescent="0.15">
      <c r="B7" s="16" t="s">
        <v>369</v>
      </c>
      <c r="C7" s="16" t="s">
        <v>370</v>
      </c>
      <c r="D7" s="22">
        <f>IF(AND(UNNH0030_H_PAGE_NO&gt;1,UNNH0030_H_PAGE_NO&gt;=UNNH0030_H_PAGE_TOTAL),1,2)</f>
        <v>2</v>
      </c>
      <c r="E7" s="16" t="s">
        <v>371</v>
      </c>
      <c r="K7" s="62" t="s">
        <v>36</v>
      </c>
      <c r="L7" s="63">
        <v>1</v>
      </c>
      <c r="N7" s="62" t="s">
        <v>5</v>
      </c>
      <c r="O7" s="63">
        <v>1</v>
      </c>
      <c r="Q7" s="62" t="s">
        <v>543</v>
      </c>
      <c r="R7" s="82">
        <v>1</v>
      </c>
      <c r="T7" s="62" t="s">
        <v>589</v>
      </c>
      <c r="U7" s="63">
        <v>1</v>
      </c>
      <c r="W7" s="62" t="s">
        <v>57</v>
      </c>
      <c r="X7" s="103">
        <v>1</v>
      </c>
      <c r="AB7" s="19" t="s">
        <v>558</v>
      </c>
      <c r="AC7" s="2" t="s">
        <v>561</v>
      </c>
      <c r="AD7" s="17"/>
      <c r="AH7" s="21"/>
      <c r="AI7" s="21"/>
      <c r="AJ7" s="21"/>
      <c r="AK7" s="21"/>
      <c r="AL7" s="21"/>
      <c r="AM7" s="21"/>
      <c r="AN7" s="21"/>
      <c r="AO7" s="21"/>
      <c r="AP7" s="3" t="s">
        <v>20</v>
      </c>
      <c r="AQ7" s="21"/>
      <c r="AS7" s="3" t="s">
        <v>55</v>
      </c>
      <c r="AT7" s="82" t="s">
        <v>612</v>
      </c>
      <c r="AU7" s="99"/>
      <c r="BA7" s="19" t="s">
        <v>372</v>
      </c>
      <c r="BB7" s="19" t="s">
        <v>373</v>
      </c>
      <c r="CA7" s="16"/>
      <c r="CB7" s="16" t="s">
        <v>81</v>
      </c>
      <c r="CC7" s="16" t="s">
        <v>374</v>
      </c>
      <c r="CD7" s="22"/>
      <c r="CE7" s="16" t="s">
        <v>375</v>
      </c>
      <c r="CF7" s="16"/>
      <c r="CG7" s="53" t="s">
        <v>376</v>
      </c>
      <c r="CH7" s="53" t="s">
        <v>377</v>
      </c>
      <c r="CI7" s="16"/>
      <c r="CJ7" s="16"/>
      <c r="FI7" s="19" t="s">
        <v>378</v>
      </c>
      <c r="FJ7" s="19" t="s">
        <v>379</v>
      </c>
      <c r="FK7" s="17">
        <f>UNNH0030_B_GYO_COUNT+UNNH0030_IF_MULTI_SELECT_TENKAI_KENSU</f>
        <v>0</v>
      </c>
    </row>
    <row r="8" spans="1:190" ht="16.5" x14ac:dyDescent="0.15">
      <c r="B8" s="16" t="s">
        <v>529</v>
      </c>
      <c r="C8" s="16" t="s">
        <v>530</v>
      </c>
      <c r="D8" s="17">
        <f>IF(UNNH0030_H_SHOKON_NO="",2,1)</f>
        <v>2</v>
      </c>
      <c r="E8" s="16" t="s">
        <v>185</v>
      </c>
      <c r="F8" s="16" t="s">
        <v>357</v>
      </c>
      <c r="K8" s="63" t="s">
        <v>37</v>
      </c>
      <c r="L8" s="19">
        <v>2</v>
      </c>
      <c r="N8" s="63" t="s">
        <v>381</v>
      </c>
      <c r="O8" s="19">
        <v>2</v>
      </c>
      <c r="Q8" s="63" t="s">
        <v>544</v>
      </c>
      <c r="R8" s="82">
        <v>2</v>
      </c>
      <c r="T8" s="63" t="s">
        <v>590</v>
      </c>
      <c r="U8" s="63">
        <v>2</v>
      </c>
      <c r="W8" s="63" t="s">
        <v>58</v>
      </c>
      <c r="X8" s="103">
        <v>2</v>
      </c>
      <c r="AB8" s="82" t="s">
        <v>560</v>
      </c>
      <c r="AC8" s="2" t="s">
        <v>562</v>
      </c>
      <c r="AD8" s="17"/>
      <c r="AH8" s="32"/>
      <c r="AI8" s="184" t="str">
        <f>IF(UNNH0030_H_SEIKYUSAKI_CD="","",UNNH0030_H_SEIKYUSAKI_MEI)</f>
        <v/>
      </c>
      <c r="AJ8" s="185"/>
      <c r="AK8" s="186"/>
      <c r="AL8" s="21"/>
      <c r="AM8" s="8" t="s">
        <v>583</v>
      </c>
      <c r="AN8" s="107"/>
      <c r="AO8" s="21"/>
      <c r="AP8" s="8" t="s">
        <v>46</v>
      </c>
      <c r="AQ8" s="115"/>
      <c r="AS8" s="3" t="s">
        <v>55</v>
      </c>
      <c r="AT8" s="82" t="s">
        <v>613</v>
      </c>
      <c r="AU8" s="27"/>
      <c r="BB8" s="5">
        <f ca="1">1+ROW()-ROW(INDIRECT(UNNH0030_B_LIST_START))</f>
        <v>-14</v>
      </c>
      <c r="BC8" s="5">
        <v>2</v>
      </c>
      <c r="BD8" s="5"/>
      <c r="BE8" s="29" t="s">
        <v>382</v>
      </c>
      <c r="BF8" s="113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5"/>
      <c r="CA8" s="16"/>
      <c r="CB8" s="16" t="s">
        <v>574</v>
      </c>
      <c r="CC8" s="16" t="s">
        <v>573</v>
      </c>
      <c r="CD8" s="22"/>
      <c r="CE8" s="16" t="s">
        <v>390</v>
      </c>
      <c r="CF8" s="16"/>
      <c r="CG8" s="4" t="s">
        <v>383</v>
      </c>
      <c r="CH8" s="4" t="s">
        <v>384</v>
      </c>
      <c r="CI8" s="16"/>
      <c r="CJ8" s="16"/>
      <c r="CL8" s="16"/>
    </row>
    <row r="9" spans="1:190" ht="16.5" x14ac:dyDescent="0.15">
      <c r="K9" s="63" t="s">
        <v>38</v>
      </c>
      <c r="L9" s="19">
        <v>3</v>
      </c>
      <c r="N9" s="63"/>
      <c r="Q9" s="63" t="s">
        <v>545</v>
      </c>
      <c r="R9" s="82">
        <v>3</v>
      </c>
      <c r="T9" s="63"/>
      <c r="W9" s="63" t="s">
        <v>59</v>
      </c>
      <c r="X9" s="103">
        <v>3</v>
      </c>
      <c r="AB9" s="82"/>
      <c r="AH9" s="187"/>
      <c r="AI9" s="188"/>
      <c r="AJ9" s="188"/>
      <c r="AK9" s="189"/>
      <c r="AL9" s="21"/>
      <c r="AM9" s="8" t="s">
        <v>575</v>
      </c>
      <c r="AN9" s="205"/>
      <c r="AO9" s="205"/>
      <c r="AP9" s="8" t="s">
        <v>61</v>
      </c>
      <c r="AQ9" s="115"/>
      <c r="CA9" s="16"/>
      <c r="CB9" s="16" t="s">
        <v>388</v>
      </c>
      <c r="CC9" s="16" t="s">
        <v>389</v>
      </c>
      <c r="CD9" s="22"/>
      <c r="CE9" s="16" t="s">
        <v>390</v>
      </c>
      <c r="CF9" s="16"/>
      <c r="CG9" s="4" t="s">
        <v>391</v>
      </c>
      <c r="CH9" s="67" t="s">
        <v>608</v>
      </c>
      <c r="CI9" s="16"/>
      <c r="CJ9" s="16"/>
      <c r="CK9" s="16"/>
      <c r="CL9" s="16"/>
      <c r="FI9" s="19" t="s">
        <v>392</v>
      </c>
      <c r="FJ9" s="19" t="s">
        <v>393</v>
      </c>
      <c r="FK9" s="17" t="str">
        <f>"UNNH0030_IF!"&amp;
ADDRESS(ROW(UNNH0030_IF_MULTI_SELECT_TENKAI_START),COLUMN(UNNH0030_IF_MULTI_SELECT_LIST_GYO))
&amp;":"&amp;ADDRESS(ROW(UNNH0030_IF_MULTI_SELECT_TENKAI_START)+UNNH0030_IF_MULTI_SELECT_TENKAI_KENSU-1,COLUMN(UNNH0030_IF_MULTI_SELECT_LIST_GYO)+COLUMNS(UNNH0030_IF_COPY_B_MEISAI_SHINKI)-1)</f>
        <v>UNNH0030_IF!$FO$4:$GH$3</v>
      </c>
    </row>
    <row r="10" spans="1:190" ht="16.5" x14ac:dyDescent="0.15">
      <c r="A10" s="82"/>
      <c r="B10" s="82"/>
      <c r="C10" s="82"/>
      <c r="D10" s="82"/>
      <c r="E10" s="82"/>
      <c r="F10" s="82"/>
      <c r="G10" s="82"/>
      <c r="H10" s="82"/>
      <c r="I10" s="82"/>
      <c r="K10" s="63" t="s">
        <v>39</v>
      </c>
      <c r="L10" s="19">
        <v>4</v>
      </c>
      <c r="AB10" s="82"/>
      <c r="AH10" s="190"/>
      <c r="AI10" s="191"/>
      <c r="AJ10" s="191"/>
      <c r="AK10" s="192"/>
      <c r="AL10" s="21"/>
      <c r="AM10" s="8" t="s">
        <v>101</v>
      </c>
      <c r="AN10" s="196"/>
      <c r="AO10" s="197"/>
      <c r="AP10" s="197"/>
      <c r="AQ10" s="198"/>
      <c r="AS10" s="19" t="s">
        <v>549</v>
      </c>
      <c r="AT10" s="82" t="s">
        <v>550</v>
      </c>
      <c r="AU10" s="17">
        <f ca="1">IF(AND(UNNH0030_IF_MODE&lt;&gt;0,UNNH0030_H_DEMPYO_KBN_CD=5),1,2)</f>
        <v>2</v>
      </c>
      <c r="AV10" s="82" t="s">
        <v>553</v>
      </c>
      <c r="BA10" s="19" t="s">
        <v>396</v>
      </c>
      <c r="BB10" s="19" t="s">
        <v>397</v>
      </c>
      <c r="CA10" s="16"/>
      <c r="CB10" s="16"/>
      <c r="CC10" s="16"/>
      <c r="CD10" s="16"/>
      <c r="CE10" s="16"/>
      <c r="CF10" s="16"/>
      <c r="CG10" s="4" t="s">
        <v>398</v>
      </c>
      <c r="CH10" s="67" t="s">
        <v>609</v>
      </c>
      <c r="CI10" s="16"/>
      <c r="CJ10" s="16"/>
      <c r="CL10" s="16"/>
      <c r="FI10" s="19" t="s">
        <v>399</v>
      </c>
      <c r="FJ10" s="19" t="s">
        <v>400</v>
      </c>
      <c r="FK10" s="17" t="str">
        <f>"UNNH0030_IF!"&amp;
ADDRESS(ROW(UNNH0030_IF_MULTI_SELECT_TENKAI_START),COLUMN(UNNH0030_IF_MULTI_SELECT_LIST_GYO))
&amp;":"&amp;ADDRESS(ROW(UNNH0030_IF_MULTI_SELECT_TENKAI_START)+UNNH0030_IF_MULTI_SELECT_TENKAI_KENSU-1,COLUMN(UNNH0030_IF_MULTI_SELECT_LIST_GYO))</f>
        <v>UNNH0030_IF!$FO$4:$FO$3</v>
      </c>
    </row>
    <row r="11" spans="1:190" ht="16.5" x14ac:dyDescent="0.15">
      <c r="A11" s="46" t="s">
        <v>380</v>
      </c>
      <c r="B11" s="16"/>
      <c r="C11" s="16"/>
      <c r="D11" s="16"/>
      <c r="E11" s="16"/>
      <c r="K11" s="63" t="s">
        <v>401</v>
      </c>
      <c r="L11" s="19">
        <v>5</v>
      </c>
      <c r="AB11" s="82"/>
      <c r="AH11" s="190"/>
      <c r="AI11" s="191"/>
      <c r="AJ11" s="191"/>
      <c r="AK11" s="192"/>
      <c r="AL11" s="21"/>
      <c r="AM11" s="3" t="s">
        <v>63</v>
      </c>
      <c r="AN11" s="199"/>
      <c r="AO11" s="200"/>
      <c r="AP11" s="200"/>
      <c r="AQ11" s="201"/>
      <c r="AS11" s="82" t="s">
        <v>551</v>
      </c>
      <c r="AT11" s="82" t="s">
        <v>552</v>
      </c>
      <c r="AU11" s="17">
        <f>IF(AND(UNNH0030_IF_MODE=2,UNNH0030_H_SAKI_URIAGE_NO&lt;&gt;""),1,2)</f>
        <v>2</v>
      </c>
      <c r="AV11" s="82" t="s">
        <v>554</v>
      </c>
      <c r="BB11" s="5">
        <f ca="1">1+ROW()-ROW(INDIRECT(UNNH0030_B_LIST_START))</f>
        <v>-11</v>
      </c>
      <c r="BC11" s="5">
        <v>3</v>
      </c>
      <c r="BD11" s="5">
        <f>ROUNDDOWN(BJ11*UNNH0030_H_TAX_RATE,0)</f>
        <v>0</v>
      </c>
      <c r="BE11" s="29" t="s">
        <v>402</v>
      </c>
      <c r="BF11" s="128" t="s">
        <v>403</v>
      </c>
      <c r="BG11" s="57"/>
      <c r="BH11" s="29"/>
      <c r="BI11" s="57"/>
      <c r="BJ11" s="68"/>
      <c r="BK11" s="88"/>
      <c r="BL11" s="57"/>
      <c r="BM11" s="57"/>
      <c r="BN11" s="69"/>
      <c r="BO11" s="91"/>
      <c r="BP11" s="29"/>
      <c r="BQ11" s="56"/>
      <c r="BR11" s="29"/>
      <c r="BS11" s="5"/>
      <c r="BT11" s="5"/>
      <c r="BU11" s="5"/>
      <c r="CA11" s="16"/>
      <c r="CB11" s="46" t="s">
        <v>82</v>
      </c>
      <c r="CC11" s="16"/>
      <c r="CD11" s="16"/>
      <c r="CE11" s="16"/>
      <c r="CF11" s="16"/>
      <c r="CG11" s="206" t="s">
        <v>404</v>
      </c>
      <c r="CH11" s="206"/>
      <c r="CI11" s="16"/>
      <c r="CJ11" s="16"/>
      <c r="CL11" s="16"/>
      <c r="FI11" s="19" t="s">
        <v>405</v>
      </c>
      <c r="FJ11" s="19" t="s">
        <v>406</v>
      </c>
      <c r="FK11" s="17" t="str">
        <f>"UNNH0030_IF!"&amp;
ADDRESS(ROW(UNNH0030_IF_MULTI_SELECT_TENKAI_START),COLUMN(UNNH0030_IF_MULTI_SELECT_LIST_KINGAKU))
&amp;":"&amp;ADDRESS(ROW(UNNH0030_IF_MULTI_SELECT_TENKAI_START)+UNNH0030_IF_MULTI_SELECT_TENKAI_KENSU-1,COLUMN(UNNH0030_IF_MULTI_SELECT_LIST_KINGAKU))</f>
        <v>UNNH0030_IF!$FW$4:$FW$3</v>
      </c>
    </row>
    <row r="12" spans="1:190" ht="16.5" x14ac:dyDescent="0.15">
      <c r="A12" s="16"/>
      <c r="B12" s="16" t="s">
        <v>385</v>
      </c>
      <c r="C12" s="16" t="s">
        <v>386</v>
      </c>
      <c r="D12" s="22">
        <v>0</v>
      </c>
      <c r="E12" s="16" t="s">
        <v>387</v>
      </c>
      <c r="AB12" s="82"/>
      <c r="AH12" s="193"/>
      <c r="AI12" s="194"/>
      <c r="AJ12" s="194"/>
      <c r="AK12" s="195"/>
      <c r="AL12" s="21"/>
      <c r="AM12" s="3"/>
      <c r="AN12" s="202"/>
      <c r="AO12" s="203"/>
      <c r="AP12" s="203"/>
      <c r="AQ12" s="204"/>
      <c r="CA12" s="16"/>
      <c r="CB12" s="19" t="s">
        <v>83</v>
      </c>
      <c r="CC12" s="16" t="s">
        <v>407</v>
      </c>
      <c r="CD12" s="22" t="str">
        <f>"UNNH0030_IF!"&amp;ADDRESS(ROW(UNNH0030_IF_SAVE_COPY_START),COLUMN(UNNH0030_IF_SAVE_COPY_START))&amp;":"&amp;ADDRESS(ROW(UNNH0030_IF_SAVE_COPY_START)+IF(UNNH0030_IF_SAVE_KENSU=0,0,UNNH0030_IF_SAVE_KENSU-1),COLUMN(UNNH0030_IF_SAVE_COPY_START)+COLUMNS(UNNH0030_IF_SAVE_COPY_MOTO)-1)</f>
        <v>UNNH0030_IF!$CN$6:$FE$6</v>
      </c>
      <c r="CE12" s="16"/>
      <c r="CF12" s="16"/>
      <c r="CG12" s="25" t="s">
        <v>383</v>
      </c>
      <c r="CH12" s="25" t="s">
        <v>289</v>
      </c>
      <c r="CI12" s="16"/>
      <c r="CJ12" s="16"/>
      <c r="CL12" s="16"/>
      <c r="FI12" s="19" t="s">
        <v>408</v>
      </c>
      <c r="FJ12" s="19" t="s">
        <v>409</v>
      </c>
      <c r="FK12" s="17" t="str">
        <f>"UNNH0030_IF!"&amp;
ADDRESS(ROW(UNNH0030_IF_MULTI_SELECT_TENKAI_START),COLUMN(UNNH0030_IF_MULTI_SELECT_LIST_SOSU))
&amp;":"&amp;ADDRESS(ROW(UNNH0030_IF_MULTI_SELECT_TENKAI_START)+UNNH0030_IF_MULTI_SELECT_TENKAI_KENSU-1,COLUMN(UNNH0030_IF_MULTI_SELECT_LIST_SOSU))</f>
        <v>UNNH0030_IF!$GD$4:$GD$3</v>
      </c>
    </row>
    <row r="13" spans="1:190" ht="16.5" x14ac:dyDescent="0.15">
      <c r="A13" s="16"/>
      <c r="B13" s="16" t="s">
        <v>394</v>
      </c>
      <c r="C13" s="16" t="s">
        <v>395</v>
      </c>
      <c r="D13" s="22">
        <v>0</v>
      </c>
      <c r="E13" s="16" t="s">
        <v>185</v>
      </c>
      <c r="F13" s="16" t="s">
        <v>186</v>
      </c>
      <c r="AH13" s="3"/>
      <c r="AI13" s="21"/>
      <c r="AJ13" s="21"/>
      <c r="AK13" s="21"/>
      <c r="AL13" s="21"/>
      <c r="AM13" s="21"/>
      <c r="AN13" s="21"/>
      <c r="AO13" s="21"/>
      <c r="AP13" s="21"/>
      <c r="AQ13" s="21"/>
      <c r="AS13" s="82" t="s">
        <v>614</v>
      </c>
      <c r="AT13" s="82" t="s">
        <v>615</v>
      </c>
      <c r="AU13" s="17">
        <f ca="1">IF(AND(UNNH0030_IF_MODE&lt;&gt;0,OR(UNNH0030_H_JURI_NO_CNT&gt;=1,UNNH0030_H_DEMPYO_KBN_CD=5)),1,2)</f>
        <v>2</v>
      </c>
      <c r="AV13" s="82" t="s">
        <v>618</v>
      </c>
      <c r="CA13" s="16"/>
      <c r="CB13" s="19" t="s">
        <v>84</v>
      </c>
      <c r="CC13" s="16" t="s">
        <v>412</v>
      </c>
      <c r="CD13" s="22">
        <f>IF(UNNH0030_B_GYO_COUNT&lt;=0,1,UNNH0030_B_GYO_COUNT)</f>
        <v>1</v>
      </c>
      <c r="CE13" s="16"/>
      <c r="CF13" s="16"/>
      <c r="CG13" s="71" t="s">
        <v>413</v>
      </c>
      <c r="CH13" s="4" t="str">
        <f>ADDRESS(ROW(UNNH0030_IF_SAVE_CHECK_START),COLUMN(UNNH0030_IF_SAVE_CHECK_START))</f>
        <v>$EJ$6</v>
      </c>
      <c r="CI13" s="16"/>
      <c r="CJ13" s="16"/>
      <c r="CL13" s="16"/>
      <c r="FI13" s="19" t="s">
        <v>414</v>
      </c>
      <c r="FJ13" s="19" t="s">
        <v>415</v>
      </c>
      <c r="FK13" s="17" t="str">
        <f>"UNNH0030_IF!"&amp;
ADDRESS(ROW(UNNH0030_IF_MULTI_SELECT_TENKAI_START),COLUMN(UNNH0030_IF_MULTI_SELECT_LIST_ARARI_AREA))
&amp;":"&amp;ADDRESS(ROW(UNNH0030_IF_MULTI_SELECT_TENKAI_START)+UNNH0030_IF_MULTI_SELECT_TENKAI_KENSU-1,COLUMN(UNNH0030_IF_MULTI_SELECT_LIST_ARARI_AREA)+COLUMNS(UNNH0030_IF_MULTI_SELECT_LIST_ARARI_AREA)-1)</f>
        <v>UNNH0030_IF!$GF$4:$GH$3</v>
      </c>
    </row>
    <row r="14" spans="1:190" ht="16.5" x14ac:dyDescent="0.15">
      <c r="B14" s="16" t="s">
        <v>524</v>
      </c>
      <c r="C14" s="16" t="s">
        <v>523</v>
      </c>
      <c r="D14" s="17"/>
      <c r="AH14" s="175"/>
      <c r="AI14" s="176"/>
      <c r="AJ14" s="177"/>
      <c r="AK14" s="34"/>
      <c r="AL14" s="21"/>
      <c r="AM14" s="21"/>
      <c r="AN14" s="21"/>
      <c r="AO14" s="21"/>
      <c r="AP14" s="3" t="s">
        <v>51</v>
      </c>
      <c r="AQ14" s="21"/>
      <c r="CA14" s="16"/>
      <c r="CB14" s="16"/>
      <c r="CC14" s="16"/>
      <c r="CD14" s="16"/>
      <c r="CE14" s="16"/>
      <c r="CF14" s="16"/>
      <c r="CG14" s="71" t="s">
        <v>417</v>
      </c>
      <c r="CH14" s="71">
        <v>5</v>
      </c>
      <c r="CI14" s="16"/>
      <c r="CJ14" s="16"/>
      <c r="CL14" s="16"/>
      <c r="FI14" s="82" t="s">
        <v>597</v>
      </c>
      <c r="FJ14" s="82" t="s">
        <v>598</v>
      </c>
      <c r="FK14" s="17" t="str">
        <f>"UNNH0030_IF!"&amp;
ADDRESS(ROW(UNNH0030_IF_MULTI_SELECT_TENKAI_START),COLUMN(UNNH0030_IF_MULTI_SELECT_LIST_TAX))
&amp;":"&amp;ADDRESS(ROW(UNNH0030_IF_MULTI_SELECT_TENKAI_START)+UNNH0030_IF_MULTI_SELECT_TENKAI_KENSU-1,COLUMN(UNNH0030_IF_MULTI_SELECT_LIST_TAX))</f>
        <v>UNNH0030_IF!$FQ$4:$FQ$3</v>
      </c>
    </row>
    <row r="15" spans="1:190" ht="16.5" x14ac:dyDescent="0.15">
      <c r="AH15" s="180"/>
      <c r="AI15" s="181"/>
      <c r="AJ15" s="21"/>
      <c r="AK15" s="21"/>
      <c r="AL15" s="21"/>
      <c r="AM15" s="21"/>
      <c r="AN15" s="21"/>
      <c r="AO15" s="3" t="s">
        <v>23</v>
      </c>
      <c r="AP15" s="178"/>
      <c r="AQ15" s="179"/>
      <c r="CA15" s="16"/>
      <c r="CB15" s="16"/>
      <c r="CC15" s="16"/>
      <c r="CD15" s="16"/>
      <c r="CE15" s="16"/>
      <c r="CF15" s="16"/>
      <c r="CG15" s="71" t="s">
        <v>419</v>
      </c>
      <c r="CH15" s="71">
        <f>UNNH0030_IF_SAVE_KENSU</f>
        <v>1</v>
      </c>
      <c r="CI15" s="16"/>
      <c r="CJ15" s="16"/>
      <c r="CL15" s="16"/>
    </row>
    <row r="16" spans="1:190" ht="16.5" x14ac:dyDescent="0.15">
      <c r="A16" s="19" t="s">
        <v>563</v>
      </c>
      <c r="H16" s="82"/>
      <c r="I16" s="82"/>
      <c r="AH16" s="35"/>
      <c r="AI16" s="21"/>
      <c r="AJ16" s="3"/>
      <c r="AK16" s="21"/>
      <c r="AL16" s="21"/>
      <c r="AM16" s="21"/>
      <c r="AN16" s="21"/>
      <c r="AO16" s="3" t="s">
        <v>25</v>
      </c>
      <c r="AP16" s="178"/>
      <c r="AQ16" s="179"/>
      <c r="AZ16" s="19" t="s">
        <v>422</v>
      </c>
      <c r="BA16" s="19" t="s">
        <v>201</v>
      </c>
      <c r="BB16" s="19" t="s">
        <v>423</v>
      </c>
      <c r="CA16" s="16"/>
      <c r="CF16" s="16"/>
      <c r="CG16" s="71" t="s">
        <v>424</v>
      </c>
      <c r="CH16" s="71" t="s">
        <v>425</v>
      </c>
      <c r="CI16" s="16"/>
      <c r="CJ16" s="16"/>
      <c r="CK16" s="16"/>
      <c r="CL16" s="16"/>
    </row>
    <row r="17" spans="1:167" ht="16.5" x14ac:dyDescent="0.15">
      <c r="B17" s="16" t="s">
        <v>565</v>
      </c>
      <c r="C17" s="16" t="s">
        <v>564</v>
      </c>
      <c r="D17" s="17">
        <f>IF(AND(UNNH0030_IF_MODE=1,UNNH0030_H_DOJI_FLG=TRUE),1,2)</f>
        <v>2</v>
      </c>
      <c r="E17" s="19" t="s">
        <v>566</v>
      </c>
      <c r="H17" s="82"/>
      <c r="I17" s="82"/>
      <c r="AH17" s="174"/>
      <c r="AI17" s="174"/>
      <c r="AJ17" s="174"/>
      <c r="AK17" s="174"/>
      <c r="AL17" s="174"/>
      <c r="AM17" s="174"/>
      <c r="AN17" s="174"/>
      <c r="AO17" s="21"/>
      <c r="AP17" s="21"/>
      <c r="AQ17" s="21"/>
      <c r="BB17" s="5">
        <f ca="1">1+ROW()-ROW(INDIRECT(UNNH0030_B_LIST_START))</f>
        <v>-5</v>
      </c>
      <c r="BC17" s="5">
        <v>1</v>
      </c>
      <c r="BD17" s="5">
        <f>ROUNDDOWN(BJ17*UNNH0030_H_TAX_RATE,0)</f>
        <v>0</v>
      </c>
      <c r="BE17" s="26"/>
      <c r="BF17" s="129"/>
      <c r="BG17" s="55"/>
      <c r="BH17" s="87"/>
      <c r="BI17" s="55"/>
      <c r="BJ17" s="56">
        <f>IF(BG17=0,1,BG17)*BI17</f>
        <v>0</v>
      </c>
      <c r="BK17" s="34"/>
      <c r="BL17" s="56"/>
      <c r="BM17" s="89"/>
      <c r="BN17" s="56"/>
      <c r="BO17" s="89"/>
      <c r="BP17" s="87"/>
      <c r="BQ17" s="56">
        <f>IF(BG17=0,1,BG17)*BN17</f>
        <v>0</v>
      </c>
      <c r="BR17" s="87"/>
      <c r="BS17" s="57">
        <f>BM17*IF(BG17=0,1,BG17)</f>
        <v>0</v>
      </c>
      <c r="BT17" s="58">
        <f>IF(ISERROR(BU17/BJ17)=TRUE,0,
IF(BJ17&lt;0,0,
IF(BJ17&lt;BS17,BU17/BS17,
BU17/BJ17)))</f>
        <v>0</v>
      </c>
      <c r="BU17" s="56">
        <f>IF(BS17=0,0,BJ17-BS17)</f>
        <v>0</v>
      </c>
      <c r="CA17" s="16"/>
      <c r="CF17" s="16"/>
      <c r="CG17" s="71" t="s">
        <v>428</v>
      </c>
      <c r="CH17" s="71"/>
      <c r="CI17" s="16"/>
      <c r="CJ17" s="16"/>
      <c r="CK17" s="16"/>
      <c r="CL17" s="16"/>
      <c r="FI17" s="19" t="s">
        <v>420</v>
      </c>
      <c r="FJ17" s="19" t="s">
        <v>421</v>
      </c>
      <c r="FK17" s="17" t="str">
        <f>"UNNH0030_IF!"&amp;
ADDRESS(ROW(UNNH0030_IF_MULTI_SELECT_TENKAI_START),COLUMN(UNNH0030_IF_MULTI_SELECT_LIST_GYO))
&amp;":"&amp;ADDRESS(ROW(UNNH0030_IF_MULTI_SELECT_TENKAI_START)+UNNH0030_IF_MULTI_SELECT_TENKAI_KENSU-1,COLUMN(UNNH0030_IF_MULTI_SELECT_LIST_GYO)+COLUMNS(UNNH0030_IF_COPY_B_MEISAI_SHINKI)-1)</f>
        <v>UNNH0030_IF!$FO$4:$GH$3</v>
      </c>
    </row>
    <row r="18" spans="1:167" ht="16.5" x14ac:dyDescent="0.15">
      <c r="A18" s="82"/>
      <c r="B18" s="16" t="s">
        <v>568</v>
      </c>
      <c r="C18" s="16" t="s">
        <v>569</v>
      </c>
      <c r="D18" s="17">
        <f>IF(OR(UNNH0030_H_URIAGE_DATE="",UNNH0030_H_SEIKYUSAKI_CD=""),2,1)</f>
        <v>2</v>
      </c>
      <c r="E18" s="82" t="s">
        <v>570</v>
      </c>
      <c r="F18" s="82"/>
      <c r="G18" s="82"/>
      <c r="H18" s="82"/>
      <c r="I18" s="82"/>
      <c r="J18" s="82"/>
      <c r="AH18" s="174"/>
      <c r="AI18" s="174"/>
      <c r="AJ18" s="174"/>
      <c r="AK18" s="174"/>
      <c r="AL18" s="174"/>
      <c r="AM18" s="174"/>
      <c r="AN18" s="174"/>
      <c r="AO18" s="3" t="s">
        <v>40</v>
      </c>
      <c r="AP18" s="144"/>
      <c r="AQ18" s="145"/>
      <c r="CA18" s="16"/>
      <c r="CF18" s="16"/>
      <c r="CG18" s="71" t="s">
        <v>429</v>
      </c>
      <c r="CH18" s="71" t="str">
        <f>COLUMN(UNNH0030_IF_SAVE_SHOHIN_MEI)&amp;","&amp;COLUMN(UNNH0030_IF_SAVE_URIAGE_SURYO_TANI)</f>
        <v>141,143</v>
      </c>
      <c r="CI18" s="16"/>
      <c r="CJ18" s="16"/>
      <c r="CK18" s="16"/>
      <c r="CL18" s="16"/>
    </row>
    <row r="19" spans="1:167" ht="16.5" x14ac:dyDescent="0.15">
      <c r="A19" s="82"/>
      <c r="B19" s="82"/>
      <c r="C19" s="82"/>
      <c r="D19" s="82"/>
      <c r="E19" s="82"/>
      <c r="F19" s="82"/>
      <c r="G19" s="82"/>
      <c r="H19" s="82"/>
      <c r="I19" s="82"/>
      <c r="J19" s="82"/>
      <c r="AH19" s="6" t="s">
        <v>6</v>
      </c>
      <c r="AI19" s="6" t="s">
        <v>1</v>
      </c>
      <c r="AJ19" s="6" t="s">
        <v>7</v>
      </c>
      <c r="AK19" s="6" t="s">
        <v>8</v>
      </c>
      <c r="AL19" s="6" t="s">
        <v>9</v>
      </c>
      <c r="AM19" s="6" t="s">
        <v>27</v>
      </c>
      <c r="AN19" s="6" t="s">
        <v>28</v>
      </c>
      <c r="AO19" s="21"/>
      <c r="AP19" s="146"/>
      <c r="AQ19" s="147"/>
      <c r="BA19" s="19" t="s">
        <v>372</v>
      </c>
      <c r="BB19" s="19" t="s">
        <v>430</v>
      </c>
      <c r="CA19" s="16"/>
      <c r="CF19" s="16"/>
      <c r="CG19" s="71" t="s">
        <v>431</v>
      </c>
      <c r="CH19" s="71" t="str">
        <f ca="1">func_文字列連結(OFFSET(UNNH0030_IF_SAVE_JOGAI_GYO,1,0,UNNH0030_IF_SAVE_KENSU),",")</f>
        <v/>
      </c>
      <c r="CI19" s="16"/>
      <c r="CJ19" s="16"/>
      <c r="CK19" s="16"/>
      <c r="CL19" s="16"/>
    </row>
    <row r="20" spans="1:167" ht="16.5" x14ac:dyDescent="0.15">
      <c r="A20" s="82"/>
      <c r="B20" s="82"/>
      <c r="C20" s="82"/>
      <c r="D20" s="82"/>
      <c r="E20" s="82"/>
      <c r="F20" s="82"/>
      <c r="G20" s="82"/>
      <c r="H20" s="82"/>
      <c r="I20" s="82"/>
      <c r="J20" s="82"/>
      <c r="AH20" s="36">
        <f>UNNH0030_H_TAX_RATE</f>
        <v>0</v>
      </c>
      <c r="AI20" s="37">
        <f ca="1">IF(UNNH0030_B_GYO_COUNT=0,0,
IF(UNNH0030_H_SEIKYUSAKI_HASU=1,ROUNDDOWN(SUM(OFFSET(UNNH0030_B_HAMBAI_KINGAKU,1,0,UNNH0030_B_GYO_COUNT)),0),
IF(UNNH0030_H_SEIKYUSAKI_HASU=2,ROUNDUP(SUM(OFFSET(UNNH0030_B_HAMBAI_KINGAKU,1,0,UNNH0030_B_GYO_COUNT)),0),
ROUND(SUM(OFFSET(UNNH0030_B_HAMBAI_KINGAKU,1,0,UNNH0030_B_GYO_COUNT)),0))))</f>
        <v>0</v>
      </c>
      <c r="AJ20" s="37">
        <f ca="1">IF(UNNH0030_B_GYO_COUNT=0,0,
IF(UNNH0030_H_TAX_KBN=3,SUMIF(OFFSET(UNNH0030_B_ROW_KBN,1,0,UNNH0030_B_GYO_COUNT),"&lt;&gt;2",OFFSET(UNNH0030_B_TAX,1,0,UNNH0030_B_GYO_COUNT)),
ROUNDDOWN(UNNH0030_H_NUKI_TOTAL*UNNH0030_H_TAX_RATE,0)))</f>
        <v>0</v>
      </c>
      <c r="AK20" s="38">
        <f>IF(UNNH0030_B_GYO_COUNT=0,0,UNNH0030_H_NUKI_TOTAL+UNNH0030_H_TAX)</f>
        <v>0</v>
      </c>
      <c r="AL20" s="38">
        <f ca="1">IF(UNNH0030_B_GYO_COUNT=0,0,ROUND(SUM(OFFSET(UNNH0030_B_GENKA_KINGAKU,1,0,UNNH0030_B_GYO_COUNT)),0))</f>
        <v>0</v>
      </c>
      <c r="AM20" s="38">
        <f>IF(UNNH0030_B_GYO_COUNT=0,0,UNNH0030_H_NUKI_TOTAL-UNNH0030_H_GENKA_TOTAL)</f>
        <v>0</v>
      </c>
      <c r="AN20" s="39">
        <f>IF(UNNH0030_B_GYO_COUNT=0,0,IF(ISERROR(UNNH0030_H_ARARIEKI/UNNH0030_H_NUKI_TOTAL)=TRUE,0,UNNH0030_H_ARARIEKI/UNNH0030_H_NUKI_TOTAL))</f>
        <v>0</v>
      </c>
      <c r="AO20" s="21"/>
      <c r="AP20" s="148"/>
      <c r="AQ20" s="149"/>
      <c r="BB20" s="5">
        <f ca="1">1+ROW()-ROW(INDIRECT(UNNH0030_B_LIST_START))</f>
        <v>-2</v>
      </c>
      <c r="BC20" s="5">
        <v>2</v>
      </c>
      <c r="BD20" s="5"/>
      <c r="BE20" s="29" t="s">
        <v>34</v>
      </c>
      <c r="BF20" s="113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5"/>
      <c r="CA20" s="16"/>
      <c r="CG20" s="2" t="s">
        <v>435</v>
      </c>
      <c r="CH20" s="11"/>
    </row>
    <row r="21" spans="1:167" ht="16.5" x14ac:dyDescent="0.15">
      <c r="A21" s="82"/>
      <c r="B21" s="82"/>
      <c r="C21" s="82"/>
      <c r="D21" s="82"/>
      <c r="E21" s="82"/>
      <c r="F21" s="82"/>
      <c r="G21" s="82"/>
      <c r="H21" s="82"/>
      <c r="I21" s="82"/>
      <c r="J21" s="82"/>
      <c r="CA21" s="16"/>
      <c r="CF21" s="16"/>
      <c r="CG21" s="72" t="s">
        <v>439</v>
      </c>
      <c r="CH21" s="73"/>
      <c r="CI21" s="16"/>
      <c r="CJ21" s="16"/>
      <c r="CK21" s="16"/>
      <c r="CL21" s="16"/>
    </row>
    <row r="22" spans="1:167" ht="16.5" x14ac:dyDescent="0.15">
      <c r="A22" s="82"/>
      <c r="B22" s="82"/>
      <c r="C22" s="82"/>
      <c r="D22" s="82"/>
      <c r="E22" s="82"/>
      <c r="F22" s="82"/>
      <c r="G22" s="82"/>
      <c r="H22" s="82"/>
      <c r="I22" s="82"/>
      <c r="J22" s="82"/>
      <c r="AG22" s="19" t="s">
        <v>422</v>
      </c>
      <c r="AH22" s="84"/>
      <c r="AI22" s="21"/>
      <c r="AJ22" s="8" t="s">
        <v>47</v>
      </c>
      <c r="AK22" s="26"/>
      <c r="AL22" s="21"/>
      <c r="AM22" s="3" t="s">
        <v>55</v>
      </c>
      <c r="AN22" s="27"/>
      <c r="AO22" s="21"/>
      <c r="AP22" s="8" t="s">
        <v>602</v>
      </c>
      <c r="AQ22" s="26"/>
      <c r="BA22" s="19" t="s">
        <v>396</v>
      </c>
      <c r="BB22" s="19" t="s">
        <v>444</v>
      </c>
      <c r="CA22" s="16"/>
      <c r="CB22" s="16"/>
      <c r="CC22" s="16"/>
      <c r="CD22" s="16"/>
      <c r="CE22" s="16"/>
      <c r="CF22" s="16"/>
      <c r="CG22" s="72" t="s">
        <v>445</v>
      </c>
      <c r="CH22" s="73"/>
      <c r="CI22" s="16"/>
      <c r="CJ22" s="16"/>
      <c r="CK22" s="16"/>
      <c r="CL22" s="16"/>
    </row>
    <row r="23" spans="1:167" ht="16.5" x14ac:dyDescent="0.15">
      <c r="A23" s="82"/>
      <c r="B23" s="82"/>
      <c r="C23" s="82"/>
      <c r="D23" s="82"/>
      <c r="E23" s="82"/>
      <c r="F23" s="82"/>
      <c r="G23" s="82"/>
      <c r="H23" s="82"/>
      <c r="I23" s="82"/>
      <c r="J23" s="82"/>
      <c r="AG23" s="19" t="s">
        <v>446</v>
      </c>
      <c r="AH23" s="7"/>
      <c r="AI23" s="21"/>
      <c r="AJ23" s="8" t="s">
        <v>54</v>
      </c>
      <c r="AK23" s="26"/>
      <c r="AL23" s="21"/>
      <c r="AM23" s="3" t="s">
        <v>56</v>
      </c>
      <c r="AN23" s="27"/>
      <c r="AO23" s="21"/>
      <c r="AP23" s="8" t="s">
        <v>53</v>
      </c>
      <c r="AQ23" s="28"/>
      <c r="BB23" s="5">
        <f ca="1">1+ROW()-ROW(INDIRECT(UNNH0030_B_LIST_START))</f>
        <v>1</v>
      </c>
      <c r="BC23" s="5">
        <v>3</v>
      </c>
      <c r="BD23" s="5">
        <f>ROUNDDOWN(BJ23*UNNH0030_H_TAX_RATE,0)</f>
        <v>0</v>
      </c>
      <c r="BE23" s="29" t="s">
        <v>447</v>
      </c>
      <c r="BF23" s="128" t="s">
        <v>403</v>
      </c>
      <c r="BG23" s="57"/>
      <c r="BH23" s="29"/>
      <c r="BI23" s="57"/>
      <c r="BJ23" s="68"/>
      <c r="BK23" s="88"/>
      <c r="BL23" s="57"/>
      <c r="BM23" s="57"/>
      <c r="BN23" s="69"/>
      <c r="BO23" s="91"/>
      <c r="BP23" s="29"/>
      <c r="BQ23" s="56"/>
      <c r="BR23" s="29"/>
      <c r="BS23" s="5"/>
      <c r="BT23" s="5"/>
      <c r="BU23" s="5"/>
      <c r="CA23" s="16"/>
      <c r="CB23" s="16"/>
      <c r="CC23" s="16"/>
      <c r="CD23" s="16"/>
      <c r="CE23" s="16"/>
      <c r="CF23" s="16"/>
      <c r="CG23" s="2" t="s">
        <v>448</v>
      </c>
      <c r="CH23" s="11"/>
      <c r="CI23" s="16"/>
      <c r="CJ23" s="16"/>
      <c r="CK23" s="16"/>
      <c r="CL23" s="16"/>
    </row>
    <row r="24" spans="1:167" ht="16.5" x14ac:dyDescent="0.15">
      <c r="A24" s="82"/>
      <c r="B24" s="82"/>
      <c r="C24" s="82"/>
      <c r="D24" s="82"/>
      <c r="E24" s="82"/>
      <c r="F24" s="82"/>
      <c r="G24" s="82"/>
      <c r="H24" s="82"/>
      <c r="I24" s="82"/>
      <c r="J24" s="82"/>
      <c r="AH24" s="29"/>
      <c r="AI24" s="21"/>
      <c r="AJ24" s="3" t="s">
        <v>19</v>
      </c>
      <c r="AK24" s="182"/>
      <c r="AL24" s="183"/>
      <c r="AM24" s="9" t="s">
        <v>62</v>
      </c>
      <c r="AN24" s="30"/>
      <c r="AO24" s="21"/>
      <c r="AP24" s="8" t="s">
        <v>606</v>
      </c>
      <c r="AQ24" s="27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</row>
    <row r="25" spans="1:167" ht="16.5" x14ac:dyDescent="0.15">
      <c r="A25" s="82"/>
      <c r="B25" s="82"/>
      <c r="C25" s="82"/>
      <c r="D25" s="82"/>
      <c r="E25" s="82"/>
      <c r="F25" s="82"/>
      <c r="G25" s="82"/>
      <c r="H25" s="82"/>
      <c r="I25" s="82"/>
      <c r="J25" s="82"/>
      <c r="AH25" s="21"/>
      <c r="AI25" s="21"/>
      <c r="AJ25" s="21"/>
      <c r="AK25" s="21"/>
      <c r="AL25" s="21"/>
      <c r="AM25" s="21"/>
      <c r="AN25" s="21"/>
      <c r="AO25" s="21"/>
      <c r="AP25" s="3" t="s">
        <v>20</v>
      </c>
      <c r="AQ25" s="21"/>
      <c r="CA25" s="16"/>
      <c r="CB25" s="16"/>
      <c r="CC25" s="16"/>
      <c r="CD25" s="16"/>
      <c r="CE25" s="16"/>
      <c r="CF25" s="16"/>
      <c r="CG25" s="20" t="s">
        <v>449</v>
      </c>
      <c r="CJ25" s="16"/>
      <c r="CK25" s="16"/>
      <c r="CL25" s="16"/>
    </row>
    <row r="26" spans="1:167" ht="16.5" x14ac:dyDescent="0.15">
      <c r="A26" s="82"/>
      <c r="B26" s="82"/>
      <c r="C26" s="82"/>
      <c r="D26" s="82"/>
      <c r="E26" s="82"/>
      <c r="F26" s="82"/>
      <c r="G26" s="82"/>
      <c r="H26" s="82"/>
      <c r="I26" s="82"/>
      <c r="J26" s="82"/>
      <c r="AH26" s="32"/>
      <c r="AI26" s="184" t="str">
        <f>IF(UNNH0030_H_SEIKYUSAKI_CD="","",UNNH0030_H_SEIKYUSAKI_MEI)</f>
        <v/>
      </c>
      <c r="AJ26" s="185"/>
      <c r="AK26" s="186"/>
      <c r="AL26" s="21"/>
      <c r="AM26" s="8" t="s">
        <v>583</v>
      </c>
      <c r="AN26" s="107"/>
      <c r="AO26" s="21"/>
      <c r="AP26" s="8" t="s">
        <v>46</v>
      </c>
      <c r="AQ26" s="115"/>
      <c r="CA26" s="16"/>
      <c r="CB26" s="16"/>
      <c r="CC26" s="16"/>
      <c r="CD26" s="16"/>
      <c r="CE26" s="16"/>
      <c r="CF26" s="16"/>
      <c r="CG26" s="16" t="s">
        <v>450</v>
      </c>
      <c r="CH26" s="16" t="s">
        <v>451</v>
      </c>
      <c r="CI26" s="17">
        <f>IF(ISBLANK(UNNH0030_IF_SAVE_CHECK_RESULT)=TRUE,2,1)</f>
        <v>2</v>
      </c>
      <c r="CJ26" s="19" t="s">
        <v>89</v>
      </c>
      <c r="CL26" s="16"/>
    </row>
    <row r="27" spans="1:167" ht="16.5" x14ac:dyDescent="0.15">
      <c r="A27" s="82"/>
      <c r="B27" s="82"/>
      <c r="C27" s="82"/>
      <c r="D27" s="82"/>
      <c r="E27" s="82"/>
      <c r="F27" s="82"/>
      <c r="G27" s="82"/>
      <c r="H27" s="82"/>
      <c r="I27" s="82"/>
      <c r="J27" s="82"/>
      <c r="AH27" s="187"/>
      <c r="AI27" s="188"/>
      <c r="AJ27" s="188"/>
      <c r="AK27" s="189"/>
      <c r="AL27" s="21"/>
      <c r="AM27" s="8" t="s">
        <v>575</v>
      </c>
      <c r="AN27" s="205"/>
      <c r="AO27" s="205"/>
      <c r="AP27" s="8" t="s">
        <v>61</v>
      </c>
      <c r="AQ27" s="115"/>
      <c r="CA27" s="16"/>
      <c r="CB27" s="16"/>
      <c r="CC27" s="16"/>
      <c r="CD27" s="16"/>
      <c r="CE27" s="16"/>
      <c r="CF27" s="16"/>
      <c r="CG27" s="19" t="s">
        <v>452</v>
      </c>
      <c r="CH27" s="16" t="s">
        <v>453</v>
      </c>
      <c r="CI27" s="17" t="str">
        <f>"以下の項目が入力されていません。"&amp;
IF(UNNH0030_IF_SAVE_CHECK_RESULT&gt;=1,"
行番号："&amp;UNNH0030_IF_SAVE_CHECK_RESULT-ROW(UNNH0030_IF_SAVE_CHECK_START)+1,"")&amp;
"
項目名："&amp;UNNH0030_IF_SAVE_CHECK_ERROR_KOMOKU</f>
        <v>以下の項目が入力されていません。
項目名：</v>
      </c>
      <c r="CJ27" s="16"/>
      <c r="CK27" s="16"/>
      <c r="CL27" s="16"/>
    </row>
    <row r="28" spans="1:167" ht="16.5" x14ac:dyDescent="0.15">
      <c r="A28" s="82"/>
      <c r="B28" s="82"/>
      <c r="C28" s="82"/>
      <c r="D28" s="82"/>
      <c r="E28" s="82"/>
      <c r="F28" s="82"/>
      <c r="G28" s="82"/>
      <c r="H28" s="82"/>
      <c r="I28" s="82"/>
      <c r="J28" s="82"/>
      <c r="AH28" s="190"/>
      <c r="AI28" s="191"/>
      <c r="AJ28" s="191"/>
      <c r="AK28" s="192"/>
      <c r="AL28" s="21"/>
      <c r="AM28" s="8" t="s">
        <v>101</v>
      </c>
      <c r="AN28" s="196"/>
      <c r="AO28" s="197"/>
      <c r="AP28" s="197"/>
      <c r="AQ28" s="198"/>
      <c r="AZ28" s="19" t="s">
        <v>455</v>
      </c>
      <c r="BA28" s="19" t="s">
        <v>201</v>
      </c>
      <c r="BB28" s="19" t="s">
        <v>456</v>
      </c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</row>
    <row r="29" spans="1:167" ht="16.5" x14ac:dyDescent="0.15">
      <c r="A29" s="82"/>
      <c r="B29" s="82"/>
      <c r="C29" s="82"/>
      <c r="D29" s="82"/>
      <c r="E29" s="82"/>
      <c r="F29" s="82"/>
      <c r="G29" s="82"/>
      <c r="H29" s="82"/>
      <c r="I29" s="82"/>
      <c r="J29" s="82"/>
      <c r="AH29" s="190"/>
      <c r="AI29" s="191"/>
      <c r="AJ29" s="191"/>
      <c r="AK29" s="192"/>
      <c r="AL29" s="21"/>
      <c r="AM29" s="3" t="s">
        <v>63</v>
      </c>
      <c r="AN29" s="199"/>
      <c r="AO29" s="200"/>
      <c r="AP29" s="200"/>
      <c r="AQ29" s="201"/>
      <c r="BB29" s="74">
        <f ca="1">1+ROW()-ROW(INDIRECT(UNNH0030_B_LIST_START))</f>
        <v>7</v>
      </c>
      <c r="BC29" s="74">
        <v>1</v>
      </c>
      <c r="BD29" s="5">
        <f>ROUNDDOWN(BJ29*UNNH0030_H_TAX_RATE,0)</f>
        <v>0</v>
      </c>
      <c r="BE29" s="75"/>
      <c r="BF29" s="126"/>
      <c r="BG29" s="69"/>
      <c r="BH29" s="66"/>
      <c r="BI29" s="69"/>
      <c r="BJ29" s="69">
        <f>IF(BG29=0,1,BG29)*BI29</f>
        <v>0</v>
      </c>
      <c r="BK29" s="81"/>
      <c r="BL29" s="69"/>
      <c r="BM29" s="90"/>
      <c r="BN29" s="69"/>
      <c r="BO29" s="112"/>
      <c r="BP29" s="66"/>
      <c r="BQ29" s="56">
        <f>IF(BG29=0,1,BG29)*BN29</f>
        <v>0</v>
      </c>
      <c r="BR29" s="66"/>
      <c r="BS29" s="57">
        <f>BM29*IF(BG29=0,1,BG29)</f>
        <v>0</v>
      </c>
      <c r="BT29" s="58">
        <f>IF(ISERROR(BU29/BJ29)=TRUE,0,
IF(BJ29&lt;0,0,
IF(BJ29&lt;BS29,BU29/BS29,
BU29/BJ29)))</f>
        <v>0</v>
      </c>
      <c r="BU29" s="56">
        <f>IF(BS29=0,0,BJ29-BS29)</f>
        <v>0</v>
      </c>
      <c r="CB29" s="16"/>
      <c r="CC29" s="16"/>
      <c r="CG29" s="16"/>
      <c r="CH29" s="16" t="s">
        <v>461</v>
      </c>
      <c r="CI29" s="16" t="s">
        <v>462</v>
      </c>
    </row>
    <row r="30" spans="1:167" ht="16.5" x14ac:dyDescent="0.15">
      <c r="A30" s="82"/>
      <c r="B30" s="82"/>
      <c r="C30" s="82"/>
      <c r="D30" s="82"/>
      <c r="E30" s="82"/>
      <c r="F30" s="82"/>
      <c r="G30" s="82"/>
      <c r="H30" s="82"/>
      <c r="I30" s="82"/>
      <c r="J30" s="82"/>
      <c r="AH30" s="193"/>
      <c r="AI30" s="194"/>
      <c r="AJ30" s="194"/>
      <c r="AK30" s="195"/>
      <c r="AL30" s="21"/>
      <c r="AM30" s="3"/>
      <c r="AN30" s="202"/>
      <c r="AO30" s="203"/>
      <c r="AP30" s="203"/>
      <c r="AQ30" s="204"/>
      <c r="CB30" s="16"/>
      <c r="CC30" s="16"/>
      <c r="CG30" s="19" t="s">
        <v>468</v>
      </c>
      <c r="CH30" s="17"/>
      <c r="CI30" s="22"/>
    </row>
    <row r="31" spans="1:167" ht="16.5" x14ac:dyDescent="0.15">
      <c r="A31" s="82"/>
      <c r="B31" s="82"/>
      <c r="C31" s="82"/>
      <c r="D31" s="82"/>
      <c r="E31" s="82"/>
      <c r="F31" s="82"/>
      <c r="G31" s="82"/>
      <c r="H31" s="82"/>
      <c r="I31" s="82"/>
      <c r="J31" s="82"/>
      <c r="AH31" s="3"/>
      <c r="AI31" s="21"/>
      <c r="AJ31" s="21"/>
      <c r="AK31" s="21"/>
      <c r="AL31" s="21"/>
      <c r="AM31" s="21"/>
      <c r="AN31" s="21"/>
      <c r="AO31" s="21"/>
      <c r="AP31" s="21"/>
      <c r="AQ31" s="21"/>
      <c r="BA31" s="19" t="s">
        <v>372</v>
      </c>
      <c r="BB31" s="19" t="s">
        <v>471</v>
      </c>
    </row>
    <row r="32" spans="1:167" ht="16.5" x14ac:dyDescent="0.15">
      <c r="H32" s="82"/>
      <c r="I32" s="82"/>
      <c r="AH32" s="175"/>
      <c r="AI32" s="176"/>
      <c r="AJ32" s="177"/>
      <c r="AK32" s="34"/>
      <c r="AL32" s="21"/>
      <c r="AM32" s="21"/>
      <c r="AN32" s="21"/>
      <c r="AO32" s="21"/>
      <c r="AP32" s="3" t="s">
        <v>51</v>
      </c>
      <c r="AQ32" s="21"/>
      <c r="BB32" s="74">
        <f ca="1">1+ROW()-ROW(INDIRECT(UNNH0030_B_LIST_START))</f>
        <v>10</v>
      </c>
      <c r="BC32" s="74">
        <v>2</v>
      </c>
      <c r="BD32" s="5"/>
      <c r="BE32" s="66" t="s">
        <v>473</v>
      </c>
      <c r="BF32" s="114"/>
      <c r="BG32" s="76"/>
      <c r="BH32" s="76"/>
      <c r="BI32" s="76"/>
      <c r="BJ32" s="76"/>
      <c r="BK32" s="76"/>
      <c r="BL32" s="76"/>
      <c r="BM32" s="76"/>
      <c r="BN32" s="76"/>
      <c r="BO32" s="76"/>
      <c r="BP32" s="76"/>
      <c r="BQ32" s="76"/>
      <c r="BR32" s="76"/>
      <c r="BS32" s="76"/>
      <c r="BT32" s="76"/>
      <c r="BU32" s="77"/>
    </row>
    <row r="33" spans="1:83" ht="16.5" x14ac:dyDescent="0.15">
      <c r="A33" s="46" t="s">
        <v>533</v>
      </c>
      <c r="B33" s="82"/>
      <c r="C33" s="82"/>
      <c r="D33" s="82"/>
      <c r="E33" s="82"/>
      <c r="F33" s="82"/>
      <c r="G33" s="82"/>
      <c r="H33" s="82"/>
      <c r="I33" s="82"/>
      <c r="AH33" s="180"/>
      <c r="AI33" s="181"/>
      <c r="AJ33" s="21"/>
      <c r="AK33" s="21"/>
      <c r="AL33" s="21"/>
      <c r="AM33" s="21"/>
      <c r="AN33" s="21"/>
      <c r="AO33" s="3" t="s">
        <v>23</v>
      </c>
      <c r="AP33" s="178"/>
      <c r="AQ33" s="179"/>
      <c r="CB33" s="20" t="s">
        <v>85</v>
      </c>
      <c r="CD33" s="16"/>
      <c r="CE33" s="16"/>
    </row>
    <row r="34" spans="1:83" ht="16.5" x14ac:dyDescent="0.15">
      <c r="A34" s="82"/>
      <c r="B34" s="16" t="s">
        <v>531</v>
      </c>
      <c r="C34" s="16" t="s">
        <v>532</v>
      </c>
      <c r="D34" s="17"/>
      <c r="F34" s="82"/>
      <c r="G34" s="82"/>
      <c r="H34" s="82"/>
      <c r="I34" s="82"/>
      <c r="AH34" s="35"/>
      <c r="AI34" s="21"/>
      <c r="AJ34" s="3"/>
      <c r="AK34" s="21"/>
      <c r="AL34" s="21"/>
      <c r="AM34" s="21"/>
      <c r="AN34" s="21"/>
      <c r="AO34" s="3" t="s">
        <v>25</v>
      </c>
      <c r="AP34" s="178"/>
      <c r="AQ34" s="179"/>
      <c r="BA34" s="19" t="s">
        <v>396</v>
      </c>
      <c r="BB34" s="19" t="s">
        <v>478</v>
      </c>
      <c r="CB34" s="16" t="s">
        <v>84</v>
      </c>
      <c r="CC34" s="16" t="s">
        <v>525</v>
      </c>
      <c r="CD34" s="17"/>
    </row>
    <row r="35" spans="1:83" ht="16.5" x14ac:dyDescent="0.15">
      <c r="A35" s="82"/>
      <c r="B35" s="16" t="s">
        <v>534</v>
      </c>
      <c r="C35" s="16" t="s">
        <v>535</v>
      </c>
      <c r="D35" s="17" t="str">
        <f>"結合を解除します。
よろしいですか？
対象売上No.："&amp;UNNH0030_IF_MOTO_URIAGE_NO</f>
        <v>結合を解除します。
よろしいですか？
対象売上No.：</v>
      </c>
      <c r="E35" s="82"/>
      <c r="F35" s="82"/>
      <c r="G35" s="82"/>
      <c r="H35" s="82"/>
      <c r="I35" s="82"/>
      <c r="AH35" s="174"/>
      <c r="AI35" s="174"/>
      <c r="AJ35" s="174"/>
      <c r="AK35" s="174"/>
      <c r="AL35" s="174"/>
      <c r="AM35" s="174"/>
      <c r="AN35" s="174"/>
      <c r="AO35" s="21"/>
      <c r="AP35" s="21"/>
      <c r="AQ35" s="21"/>
      <c r="BB35" s="74">
        <f ca="1">1+ROW()-ROW(INDIRECT(UNNH0030_B_LIST_START))</f>
        <v>13</v>
      </c>
      <c r="BC35" s="74">
        <v>3</v>
      </c>
      <c r="BD35" s="5">
        <f>ROUNDDOWN(BJ35*UNNH0030_H_TAX_RATE,0)</f>
        <v>0</v>
      </c>
      <c r="BE35" s="66" t="s">
        <v>483</v>
      </c>
      <c r="BF35" s="127" t="s">
        <v>403</v>
      </c>
      <c r="BG35" s="69"/>
      <c r="BH35" s="66"/>
      <c r="BI35" s="69"/>
      <c r="BJ35" s="69"/>
      <c r="BK35" s="86"/>
      <c r="BL35" s="69"/>
      <c r="BM35" s="69"/>
      <c r="BN35" s="69"/>
      <c r="BO35" s="90"/>
      <c r="BP35" s="66"/>
      <c r="BQ35" s="69"/>
      <c r="BR35" s="66"/>
      <c r="BS35" s="74"/>
      <c r="BT35" s="74"/>
      <c r="BU35" s="74"/>
      <c r="CC35" s="16"/>
    </row>
    <row r="36" spans="1:83" ht="16.5" x14ac:dyDescent="0.15">
      <c r="A36" s="82"/>
      <c r="B36" s="16" t="s">
        <v>537</v>
      </c>
      <c r="C36" s="16" t="s">
        <v>538</v>
      </c>
      <c r="D36" s="17">
        <f>IF(UNNH0030_H_SAKI_URIAGE_NO="",2,1)</f>
        <v>2</v>
      </c>
      <c r="E36" s="82"/>
      <c r="F36" s="82"/>
      <c r="G36" s="82"/>
      <c r="H36" s="82"/>
      <c r="I36" s="82"/>
      <c r="AH36" s="174"/>
      <c r="AI36" s="174"/>
      <c r="AJ36" s="174"/>
      <c r="AK36" s="174"/>
      <c r="AL36" s="174"/>
      <c r="AM36" s="174"/>
      <c r="AN36" s="174"/>
      <c r="AO36" s="3" t="s">
        <v>607</v>
      </c>
      <c r="AP36" s="144"/>
      <c r="AQ36" s="145"/>
      <c r="CB36" s="16" t="s">
        <v>479</v>
      </c>
      <c r="CC36" s="16" t="s">
        <v>480</v>
      </c>
      <c r="CD36" s="22"/>
      <c r="CE36" s="16"/>
    </row>
    <row r="37" spans="1:83" ht="16.5" x14ac:dyDescent="0.15">
      <c r="A37" s="82"/>
      <c r="B37" s="16" t="s">
        <v>541</v>
      </c>
      <c r="C37" s="16" t="s">
        <v>536</v>
      </c>
      <c r="D37" s="17" t="str">
        <f>"本伝票は商魂連動済みの為、解除する場合、
商魂の伝票が重複する可能性があります。
本当によろしいですか？
対象売上No.："&amp;UNNH0030_IF_MOTO_URIAGE_NO</f>
        <v>本伝票は商魂連動済みの為、解除する場合、
商魂の伝票が重複する可能性があります。
本当によろしいですか？
対象売上No.：</v>
      </c>
      <c r="F37" s="82"/>
      <c r="G37" s="82"/>
      <c r="H37" s="82"/>
      <c r="I37" s="82"/>
      <c r="AH37" s="6" t="s">
        <v>6</v>
      </c>
      <c r="AI37" s="6" t="s">
        <v>1</v>
      </c>
      <c r="AJ37" s="6" t="s">
        <v>7</v>
      </c>
      <c r="AK37" s="6" t="s">
        <v>8</v>
      </c>
      <c r="AL37" s="6" t="s">
        <v>9</v>
      </c>
      <c r="AM37" s="6" t="s">
        <v>27</v>
      </c>
      <c r="AN37" s="6" t="s">
        <v>28</v>
      </c>
      <c r="AO37" s="21"/>
      <c r="AP37" s="146"/>
      <c r="AQ37" s="147"/>
      <c r="CB37" s="19" t="s">
        <v>86</v>
      </c>
      <c r="CC37" s="16" t="s">
        <v>484</v>
      </c>
      <c r="CD37" s="22"/>
      <c r="CE37" s="16"/>
    </row>
    <row r="38" spans="1:83" ht="16.5" x14ac:dyDescent="0.15">
      <c r="A38" s="82"/>
      <c r="B38" s="16" t="s">
        <v>539</v>
      </c>
      <c r="C38" s="16" t="s">
        <v>540</v>
      </c>
      <c r="D38" s="17" t="str">
        <f>"結合を解除しました。
対象売上No.："&amp;UNNH0030_IF_MOTO_URIAGE_NO&amp;
IF(UNNH0030_IF_MERGE_RELEASE_WARNING_CHECK=2,"","
※商魂側で伝票重複が発生しないよう、ご注意ください。")</f>
        <v>結合を解除しました。
対象売上No.：</v>
      </c>
      <c r="F38" s="82"/>
      <c r="G38" s="82"/>
      <c r="H38" s="82"/>
      <c r="I38" s="82"/>
      <c r="AH38" s="36">
        <f>UNNH0030_H_TAX_RATE</f>
        <v>0</v>
      </c>
      <c r="AI38" s="37">
        <f ca="1">IF(UNNH0030_B_GYO_COUNT=0,0,
IF(UNNH0030_H_SEIKYUSAKI_HASU=1,ROUNDDOWN(SUM(OFFSET(UNNH0030_B_HAMBAI_KINGAKU,1,0,UNNH0030_B_GYO_COUNT)),0),
IF(UNNH0030_H_SEIKYUSAKI_HASU=2,ROUNDUP(SUM(OFFSET(UNNH0030_B_HAMBAI_KINGAKU,1,0,UNNH0030_B_GYO_COUNT)),0),
ROUND(SUM(OFFSET(UNNH0030_B_HAMBAI_KINGAKU,1,0,UNNH0030_B_GYO_COUNT)),0))))</f>
        <v>0</v>
      </c>
      <c r="AJ38" s="37">
        <f ca="1">IF(UNNH0030_B_GYO_COUNT=0,0,
IF(UNNH0030_H_TAX_KBN=3,SUMIF(OFFSET(UNNH0030_B_ROW_KBN,1,0,UNNH0030_B_GYO_COUNT),"&lt;&gt;2",OFFSET(UNNH0030_B_TAX,1,0,UNNH0030_B_GYO_COUNT)),
ROUNDDOWN(UNNH0030_H_NUKI_TOTAL*UNNH0030_H_TAX_RATE,0)))</f>
        <v>0</v>
      </c>
      <c r="AK38" s="38">
        <f>IF(UNNH0030_B_GYO_COUNT=0,0,UNNH0030_H_NUKI_TOTAL+UNNH0030_H_TAX)</f>
        <v>0</v>
      </c>
      <c r="AL38" s="38">
        <f ca="1">IF(UNNH0030_B_GYO_COUNT=0,0,ROUND(SUM(OFFSET(UNNH0030_B_GENKA_KINGAKU,1,0,UNNH0030_B_GYO_COUNT)),0))</f>
        <v>0</v>
      </c>
      <c r="AM38" s="38">
        <f>IF(UNNH0030_B_GYO_COUNT=0,0,UNNH0030_H_NUKI_TOTAL-UNNH0030_H_GENKA_TOTAL)</f>
        <v>0</v>
      </c>
      <c r="AN38" s="39">
        <f>IF(UNNH0030_B_GYO_COUNT=0,0,IF(ISERROR(UNNH0030_H_ARARIEKI/UNNH0030_H_NUKI_TOTAL)=TRUE,0,UNNH0030_H_ARARIEKI/UNNH0030_H_NUKI_TOTAL))</f>
        <v>0</v>
      </c>
      <c r="AO38" s="21"/>
      <c r="AP38" s="148"/>
      <c r="AQ38" s="149"/>
      <c r="CB38" s="19" t="s">
        <v>87</v>
      </c>
      <c r="CC38" s="16" t="s">
        <v>486</v>
      </c>
      <c r="CD38" s="22"/>
      <c r="CE38" s="16"/>
    </row>
    <row r="39" spans="1:83" x14ac:dyDescent="0.15">
      <c r="A39" s="82"/>
      <c r="B39" s="82"/>
      <c r="C39" s="82"/>
      <c r="D39" s="82"/>
      <c r="E39" s="82"/>
      <c r="F39" s="82"/>
      <c r="G39" s="82"/>
      <c r="H39" s="82"/>
      <c r="I39" s="82"/>
      <c r="K39" s="78"/>
      <c r="BA39" s="19" t="s">
        <v>496</v>
      </c>
      <c r="BB39" s="19" t="s">
        <v>497</v>
      </c>
      <c r="CB39" s="19" t="s">
        <v>88</v>
      </c>
      <c r="CC39" s="16" t="s">
        <v>489</v>
      </c>
      <c r="CD39" s="22">
        <f>IF(UNNH0030_IF_SAVE_RESULT_CD=0,2,1)</f>
        <v>2</v>
      </c>
      <c r="CE39" s="19" t="s">
        <v>89</v>
      </c>
    </row>
    <row r="40" spans="1:83" ht="16.5" x14ac:dyDescent="0.15">
      <c r="A40" s="82"/>
      <c r="B40" s="82"/>
      <c r="C40" s="82"/>
      <c r="D40" s="82"/>
      <c r="E40" s="82"/>
      <c r="F40" s="82"/>
      <c r="G40" s="82"/>
      <c r="H40" s="82"/>
      <c r="I40" s="82"/>
      <c r="K40" s="78"/>
      <c r="AG40" s="19" t="s">
        <v>455</v>
      </c>
      <c r="AH40" s="85"/>
      <c r="AI40" s="96"/>
      <c r="AJ40" s="100" t="s">
        <v>47</v>
      </c>
      <c r="AK40" s="98"/>
      <c r="AL40" s="96"/>
      <c r="AM40" s="97" t="s">
        <v>55</v>
      </c>
      <c r="AN40" s="99"/>
      <c r="AO40" s="96"/>
      <c r="AP40" s="100" t="s">
        <v>602</v>
      </c>
      <c r="AQ40" s="98"/>
      <c r="AZ40" s="19" t="s">
        <v>500</v>
      </c>
      <c r="BB40" s="79"/>
      <c r="BC40" s="79"/>
      <c r="BD40" s="79"/>
      <c r="BE40" s="79"/>
      <c r="BF40" s="125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CB40" s="19" t="s">
        <v>90</v>
      </c>
      <c r="CC40" s="16" t="s">
        <v>492</v>
      </c>
      <c r="CD40" s="22" t="s">
        <v>493</v>
      </c>
      <c r="CE40" s="16"/>
    </row>
    <row r="41" spans="1:83" ht="16.5" x14ac:dyDescent="0.15">
      <c r="A41" s="20" t="s">
        <v>73</v>
      </c>
      <c r="B41" s="16"/>
      <c r="C41" s="70"/>
      <c r="AG41" s="19" t="s">
        <v>504</v>
      </c>
      <c r="AH41" s="98"/>
      <c r="AI41" s="96"/>
      <c r="AJ41" s="100" t="s">
        <v>54</v>
      </c>
      <c r="AK41" s="98"/>
      <c r="AL41" s="96"/>
      <c r="AM41" s="97" t="s">
        <v>56</v>
      </c>
      <c r="AN41" s="99"/>
      <c r="AO41" s="96"/>
      <c r="AP41" s="100" t="s">
        <v>53</v>
      </c>
      <c r="AQ41" s="101"/>
    </row>
    <row r="42" spans="1:83" ht="16.5" x14ac:dyDescent="0.15">
      <c r="B42" s="19" t="s">
        <v>74</v>
      </c>
      <c r="C42" s="16" t="s">
        <v>410</v>
      </c>
      <c r="D42" s="18" t="s">
        <v>411</v>
      </c>
      <c r="AH42" s="83"/>
      <c r="AI42" s="96"/>
      <c r="AJ42" s="97" t="s">
        <v>19</v>
      </c>
      <c r="AK42" s="150"/>
      <c r="AL42" s="151"/>
      <c r="AM42" s="102" t="s">
        <v>62</v>
      </c>
      <c r="AN42" s="99"/>
      <c r="AO42" s="96"/>
      <c r="AP42" s="100" t="s">
        <v>44</v>
      </c>
      <c r="AQ42" s="99"/>
    </row>
    <row r="43" spans="1:83" ht="16.5" x14ac:dyDescent="0.15">
      <c r="B43" s="19" t="s">
        <v>75</v>
      </c>
      <c r="C43" s="16" t="s">
        <v>416</v>
      </c>
      <c r="D43" s="18">
        <v>16</v>
      </c>
      <c r="AH43" s="96"/>
      <c r="AI43" s="96"/>
      <c r="AJ43" s="96"/>
      <c r="AK43" s="96"/>
      <c r="AL43" s="96"/>
      <c r="AM43" s="96"/>
      <c r="AN43" s="96"/>
      <c r="AO43" s="96"/>
      <c r="AP43" s="97" t="s">
        <v>20</v>
      </c>
      <c r="AQ43" s="96"/>
      <c r="CB43" s="82" t="s">
        <v>526</v>
      </c>
    </row>
    <row r="44" spans="1:83" ht="16.5" x14ac:dyDescent="0.15">
      <c r="B44" s="19" t="s">
        <v>76</v>
      </c>
      <c r="C44" s="16" t="s">
        <v>418</v>
      </c>
      <c r="D44" s="18">
        <v>11</v>
      </c>
      <c r="AH44" s="83"/>
      <c r="AI44" s="152" t="str">
        <f>IF(UNNH0030_H_SEIKYUSAKI_CD="","",UNNH0030_H_SEIKYUSAKI_MEI)</f>
        <v/>
      </c>
      <c r="AJ44" s="153"/>
      <c r="AK44" s="154"/>
      <c r="AL44" s="96"/>
      <c r="AM44" s="100" t="s">
        <v>583</v>
      </c>
      <c r="AN44" s="108"/>
      <c r="AO44" s="96"/>
      <c r="AP44" s="100" t="s">
        <v>46</v>
      </c>
      <c r="AQ44" s="98"/>
      <c r="CB44" s="19" t="s">
        <v>527</v>
      </c>
      <c r="CC44" s="19" t="s">
        <v>571</v>
      </c>
      <c r="CD44" s="17"/>
    </row>
    <row r="45" spans="1:83" ht="16.5" x14ac:dyDescent="0.15">
      <c r="C45" s="16"/>
      <c r="AH45" s="155"/>
      <c r="AI45" s="156"/>
      <c r="AJ45" s="156"/>
      <c r="AK45" s="157"/>
      <c r="AL45" s="96"/>
      <c r="AM45" s="100" t="s">
        <v>575</v>
      </c>
      <c r="AN45" s="173"/>
      <c r="AO45" s="173"/>
      <c r="AP45" s="100" t="s">
        <v>61</v>
      </c>
      <c r="AQ45" s="98"/>
      <c r="CB45" s="19" t="s">
        <v>528</v>
      </c>
      <c r="CC45" s="82" t="s">
        <v>572</v>
      </c>
      <c r="CD45" s="17" t="str">
        <f ca="1">IF(UNNH0030_IF_SAVE_BAT_LOOP_CNT=0,"",
OFFSET(UNNH0030_IF_SAVE_RESULT_URIAGE_NO,0,UNNH0030_IF_SAVE_BAT_LOOP_CNT-1))</f>
        <v/>
      </c>
    </row>
    <row r="46" spans="1:83" ht="16.5" x14ac:dyDescent="0.15">
      <c r="B46" s="19" t="s">
        <v>77</v>
      </c>
      <c r="C46" s="16" t="s">
        <v>426</v>
      </c>
      <c r="D46" s="18" t="s">
        <v>427</v>
      </c>
      <c r="AH46" s="158"/>
      <c r="AI46" s="159"/>
      <c r="AJ46" s="159"/>
      <c r="AK46" s="160"/>
      <c r="AL46" s="96"/>
      <c r="AM46" s="100" t="s">
        <v>101</v>
      </c>
      <c r="AN46" s="164"/>
      <c r="AO46" s="165"/>
      <c r="AP46" s="165"/>
      <c r="AQ46" s="166"/>
    </row>
    <row r="47" spans="1:83" ht="16.5" x14ac:dyDescent="0.15">
      <c r="AH47" s="158"/>
      <c r="AI47" s="159"/>
      <c r="AJ47" s="159"/>
      <c r="AK47" s="160"/>
      <c r="AL47" s="96"/>
      <c r="AM47" s="97" t="s">
        <v>63</v>
      </c>
      <c r="AN47" s="167"/>
      <c r="AO47" s="168"/>
      <c r="AP47" s="168"/>
      <c r="AQ47" s="169"/>
    </row>
    <row r="48" spans="1:83" ht="16.5" x14ac:dyDescent="0.15">
      <c r="A48" s="20" t="s">
        <v>432</v>
      </c>
      <c r="C48" s="16"/>
      <c r="D48" s="70"/>
      <c r="E48" s="20" t="s">
        <v>433</v>
      </c>
      <c r="F48" s="20" t="s">
        <v>3</v>
      </c>
      <c r="G48" s="20" t="s">
        <v>434</v>
      </c>
      <c r="AH48" s="161"/>
      <c r="AI48" s="162"/>
      <c r="AJ48" s="162"/>
      <c r="AK48" s="163"/>
      <c r="AL48" s="96"/>
      <c r="AM48" s="97"/>
      <c r="AN48" s="170"/>
      <c r="AO48" s="171"/>
      <c r="AP48" s="171"/>
      <c r="AQ48" s="172"/>
    </row>
    <row r="49" spans="1:43" ht="16.5" x14ac:dyDescent="0.15">
      <c r="B49" s="19" t="s">
        <v>436</v>
      </c>
      <c r="C49" s="16" t="s">
        <v>437</v>
      </c>
      <c r="D49" s="18" t="str">
        <f>IF(UNNH0030_IF_MODE=1,"-",IF(UNNH0030_IF_MODE=2,"修正キャンセル","修正"))</f>
        <v>修正</v>
      </c>
      <c r="E49" s="16" t="s">
        <v>438</v>
      </c>
      <c r="F49" s="19" t="s">
        <v>434</v>
      </c>
      <c r="G49" s="19" t="s">
        <v>3</v>
      </c>
      <c r="AH49" s="97"/>
      <c r="AI49" s="96"/>
      <c r="AJ49" s="96"/>
      <c r="AK49" s="96"/>
      <c r="AL49" s="96"/>
      <c r="AM49" s="96"/>
      <c r="AN49" s="96"/>
      <c r="AO49" s="96"/>
      <c r="AP49" s="96"/>
      <c r="AQ49" s="96"/>
    </row>
    <row r="50" spans="1:43" ht="16.5" x14ac:dyDescent="0.15">
      <c r="A50" s="16"/>
      <c r="B50" s="16" t="s">
        <v>440</v>
      </c>
      <c r="C50" s="16" t="s">
        <v>441</v>
      </c>
      <c r="D50" s="18" t="str">
        <f>IF(UNNH0030_IF_MODE=1,"新規登録",IF(UNNH0030_IF_MODE=2,"保存","-"))</f>
        <v>-</v>
      </c>
      <c r="E50" s="16" t="s">
        <v>4</v>
      </c>
      <c r="F50" s="16" t="s">
        <v>442</v>
      </c>
      <c r="G50" s="16" t="s">
        <v>443</v>
      </c>
      <c r="AH50" s="136"/>
      <c r="AI50" s="137"/>
      <c r="AJ50" s="138"/>
      <c r="AK50" s="124"/>
      <c r="AL50" s="96"/>
      <c r="AM50" s="96"/>
      <c r="AN50" s="96"/>
      <c r="AO50" s="96"/>
      <c r="AP50" s="97" t="s">
        <v>51</v>
      </c>
      <c r="AQ50" s="96"/>
    </row>
    <row r="51" spans="1:43" ht="16.5" x14ac:dyDescent="0.15">
      <c r="A51" s="16"/>
      <c r="B51" s="16" t="s">
        <v>610</v>
      </c>
      <c r="C51" s="16" t="s">
        <v>619</v>
      </c>
      <c r="D51" s="18" t="str">
        <f>IF(UNNH0030_IF_MODE=1,"受理No.複数選択",IF(UNNH0030_IF_MODE=2,"受理No.複数選択","受理No.表示"))</f>
        <v>受理No.表示</v>
      </c>
      <c r="E51" s="16" t="s">
        <v>622</v>
      </c>
      <c r="F51" s="16" t="s">
        <v>622</v>
      </c>
      <c r="G51" s="16" t="s">
        <v>621</v>
      </c>
      <c r="H51" s="82"/>
      <c r="I51" s="82"/>
      <c r="AH51" s="142"/>
      <c r="AI51" s="143"/>
      <c r="AJ51" s="96"/>
      <c r="AK51" s="96"/>
      <c r="AL51" s="96"/>
      <c r="AM51" s="96"/>
      <c r="AN51" s="96"/>
      <c r="AO51" s="97" t="s">
        <v>23</v>
      </c>
      <c r="AP51" s="139"/>
      <c r="AQ51" s="140"/>
    </row>
    <row r="52" spans="1:43" ht="16.5" x14ac:dyDescent="0.15">
      <c r="A52" s="20"/>
      <c r="B52" s="16"/>
      <c r="C52" s="16"/>
      <c r="D52" s="16"/>
      <c r="E52" s="20"/>
      <c r="F52" s="20"/>
      <c r="G52" s="20"/>
      <c r="AH52" s="111"/>
      <c r="AI52" s="96"/>
      <c r="AJ52" s="97"/>
      <c r="AK52" s="96"/>
      <c r="AL52" s="96"/>
      <c r="AM52" s="96"/>
      <c r="AN52" s="96"/>
      <c r="AO52" s="97" t="s">
        <v>25</v>
      </c>
      <c r="AP52" s="139"/>
      <c r="AQ52" s="140"/>
    </row>
    <row r="53" spans="1:43" ht="16.5" x14ac:dyDescent="0.15">
      <c r="A53" s="16"/>
      <c r="G53" s="16"/>
      <c r="AH53" s="141"/>
      <c r="AI53" s="141"/>
      <c r="AJ53" s="141"/>
      <c r="AK53" s="141"/>
      <c r="AL53" s="141"/>
      <c r="AM53" s="141"/>
      <c r="AN53" s="141"/>
      <c r="AO53" s="96"/>
      <c r="AP53" s="96"/>
      <c r="AQ53" s="96"/>
    </row>
    <row r="54" spans="1:43" ht="16.5" x14ac:dyDescent="0.15">
      <c r="A54" s="16"/>
      <c r="G54" s="16"/>
      <c r="AH54" s="141"/>
      <c r="AI54" s="141"/>
      <c r="AJ54" s="141"/>
      <c r="AK54" s="141"/>
      <c r="AL54" s="141"/>
      <c r="AM54" s="141"/>
      <c r="AN54" s="141"/>
      <c r="AO54" s="97" t="s">
        <v>40</v>
      </c>
      <c r="AP54" s="130"/>
      <c r="AQ54" s="131"/>
    </row>
    <row r="55" spans="1:43" ht="16.5" x14ac:dyDescent="0.15">
      <c r="A55" s="16"/>
      <c r="B55" s="16"/>
      <c r="C55" s="16"/>
      <c r="D55" s="16"/>
      <c r="E55" s="16"/>
      <c r="F55" s="16"/>
      <c r="G55" s="16"/>
      <c r="AH55" s="6" t="s">
        <v>6</v>
      </c>
      <c r="AI55" s="6" t="s">
        <v>1</v>
      </c>
      <c r="AJ55" s="6" t="s">
        <v>7</v>
      </c>
      <c r="AK55" s="6" t="s">
        <v>8</v>
      </c>
      <c r="AL55" s="6" t="s">
        <v>9</v>
      </c>
      <c r="AM55" s="6" t="s">
        <v>27</v>
      </c>
      <c r="AN55" s="6" t="s">
        <v>28</v>
      </c>
      <c r="AO55" s="96"/>
      <c r="AP55" s="132"/>
      <c r="AQ55" s="133"/>
    </row>
    <row r="56" spans="1:43" ht="16.5" x14ac:dyDescent="0.15">
      <c r="A56" s="46" t="s">
        <v>454</v>
      </c>
      <c r="B56" s="16"/>
      <c r="C56" s="16"/>
      <c r="D56" s="16"/>
      <c r="E56" s="20" t="s">
        <v>433</v>
      </c>
      <c r="F56" s="20" t="s">
        <v>3</v>
      </c>
      <c r="G56" s="20" t="s">
        <v>434</v>
      </c>
      <c r="H56" s="20" t="s">
        <v>394</v>
      </c>
      <c r="I56" s="20"/>
      <c r="AH56" s="120">
        <f>UNNH0030_H_TAX_RATE</f>
        <v>0</v>
      </c>
      <c r="AI56" s="121">
        <f ca="1">IF(UNNH0030_B_GYO_COUNT=0,0,
IF(UNNH0030_H_SEIKYUSAKI_HASU=1,ROUNDDOWN(SUM(OFFSET(UNNH0030_B_HAMBAI_KINGAKU,1,0,UNNH0030_B_GYO_COUNT)),0),
IF(UNNH0030_H_SEIKYUSAKI_HASU=2,ROUNDUP(SUM(OFFSET(UNNH0030_B_HAMBAI_KINGAKU,1,0,UNNH0030_B_GYO_COUNT)),0),
ROUND(SUM(OFFSET(UNNH0030_B_HAMBAI_KINGAKU,1,0,UNNH0030_B_GYO_COUNT)),0))))</f>
        <v>0</v>
      </c>
      <c r="AJ56" s="121">
        <f ca="1">IF(UNNH0030_B_GYO_COUNT=0,0,
IF(UNNH0030_H_TAX_KBN=3,SUMIF(OFFSET(UNNH0030_B_ROW_KBN,1,0,UNNH0030_B_GYO_COUNT),"&lt;&gt;2",OFFSET(UNNH0030_B_TAX,1,0,UNNH0030_B_GYO_COUNT)),
ROUNDDOWN(UNNH0030_H_NUKI_TOTAL*UNNH0030_H_TAX_RATE,0)))</f>
        <v>0</v>
      </c>
      <c r="AK56" s="122">
        <f>IF(UNNH0030_B_GYO_COUNT=0,0,UNNH0030_H_NUKI_TOTAL+UNNH0030_H_TAX)</f>
        <v>0</v>
      </c>
      <c r="AL56" s="122">
        <f ca="1">IF(UNNH0030_B_GYO_COUNT=0,0,ROUND(SUM(OFFSET(UNNH0030_B_GENKA_KINGAKU,1,0,UNNH0030_B_GYO_COUNT)),0))</f>
        <v>0</v>
      </c>
      <c r="AM56" s="122">
        <f>IF(UNNH0030_B_GYO_COUNT=0,0,UNNH0030_H_NUKI_TOTAL-UNNH0030_H_GENKA_TOTAL)</f>
        <v>0</v>
      </c>
      <c r="AN56" s="123">
        <f>IF(UNNH0030_B_GYO_COUNT=0,0,IF(ISERROR(UNNH0030_H_ARARIEKI/UNNH0030_H_NUKI_TOTAL)=TRUE,0,UNNH0030_H_ARARIEKI/UNNH0030_H_NUKI_TOTAL))</f>
        <v>0</v>
      </c>
      <c r="AO56" s="96"/>
      <c r="AP56" s="134"/>
      <c r="AQ56" s="135"/>
    </row>
    <row r="57" spans="1:43" x14ac:dyDescent="0.15">
      <c r="A57" s="46"/>
      <c r="B57" s="16" t="s">
        <v>457</v>
      </c>
      <c r="C57" s="16" t="s">
        <v>458</v>
      </c>
      <c r="D57" s="22">
        <f>IF(UNNH0030_IF_JUCHU_MODE=1,2,1)</f>
        <v>1</v>
      </c>
      <c r="E57" s="19" t="s">
        <v>459</v>
      </c>
      <c r="F57" s="19" t="s">
        <v>459</v>
      </c>
      <c r="G57" s="19" t="s">
        <v>459</v>
      </c>
      <c r="H57" s="19" t="s">
        <v>460</v>
      </c>
      <c r="I57" s="20"/>
      <c r="J57" s="78"/>
    </row>
    <row r="58" spans="1:43" x14ac:dyDescent="0.15">
      <c r="A58" s="16"/>
      <c r="B58" s="16" t="s">
        <v>463</v>
      </c>
      <c r="C58" s="16" t="s">
        <v>464</v>
      </c>
      <c r="D58" s="22">
        <f>IF(UNNH0030_IF_MODE=1,2,IF(UNNH0030_IF_MODE=2,2,1))</f>
        <v>1</v>
      </c>
      <c r="E58" s="19" t="s">
        <v>465</v>
      </c>
      <c r="F58" s="19" t="s">
        <v>465</v>
      </c>
      <c r="G58" s="19" t="s">
        <v>466</v>
      </c>
      <c r="H58" s="19" t="s">
        <v>467</v>
      </c>
      <c r="J58" s="78"/>
    </row>
    <row r="59" spans="1:43" x14ac:dyDescent="0.15">
      <c r="A59" s="16"/>
      <c r="B59" s="16" t="s">
        <v>469</v>
      </c>
      <c r="C59" s="16" t="s">
        <v>470</v>
      </c>
      <c r="D59" s="22">
        <f>IF(UNNH0030_IF_MODE=1,2,IF(UNNH0030_IF_MODE=2,2,1))</f>
        <v>1</v>
      </c>
      <c r="E59" s="19" t="s">
        <v>465</v>
      </c>
      <c r="F59" s="19" t="s">
        <v>465</v>
      </c>
      <c r="G59" s="19" t="s">
        <v>466</v>
      </c>
      <c r="H59" s="19" t="s">
        <v>467</v>
      </c>
    </row>
    <row r="60" spans="1:43" x14ac:dyDescent="0.15">
      <c r="A60" s="16"/>
      <c r="B60" s="19" t="s">
        <v>436</v>
      </c>
      <c r="C60" s="16" t="s">
        <v>472</v>
      </c>
      <c r="D60" s="22">
        <f>IF(UNNH0030_IF_MODE=1,2,IF(UNNH0030_IF_MODE=2,1,1))</f>
        <v>1</v>
      </c>
      <c r="E60" s="19" t="s">
        <v>465</v>
      </c>
      <c r="F60" s="19" t="s">
        <v>466</v>
      </c>
      <c r="G60" s="19" t="s">
        <v>466</v>
      </c>
      <c r="H60" s="19" t="s">
        <v>467</v>
      </c>
    </row>
    <row r="61" spans="1:43" x14ac:dyDescent="0.15">
      <c r="A61" s="16"/>
      <c r="B61" s="16" t="s">
        <v>474</v>
      </c>
      <c r="C61" s="16" t="s">
        <v>475</v>
      </c>
      <c r="D61" s="22">
        <f>IF(UNNH0030_IF_MODE=1,2,IF(UNNH0030_IF_MODE=2,1,2))</f>
        <v>2</v>
      </c>
      <c r="E61" s="19" t="s">
        <v>465</v>
      </c>
      <c r="F61" s="19" t="s">
        <v>466</v>
      </c>
      <c r="G61" s="19" t="s">
        <v>465</v>
      </c>
      <c r="H61" s="19" t="s">
        <v>467</v>
      </c>
    </row>
    <row r="62" spans="1:43" x14ac:dyDescent="0.15">
      <c r="A62" s="16"/>
      <c r="B62" s="16" t="s">
        <v>476</v>
      </c>
      <c r="C62" s="16" t="s">
        <v>477</v>
      </c>
      <c r="D62" s="22">
        <f>IF(UNNH0030_IF_JUCHU_MODE=1,1,2)</f>
        <v>2</v>
      </c>
      <c r="E62" s="19" t="s">
        <v>465</v>
      </c>
      <c r="F62" s="19" t="s">
        <v>465</v>
      </c>
      <c r="G62" s="19" t="s">
        <v>465</v>
      </c>
      <c r="H62" s="19" t="s">
        <v>466</v>
      </c>
    </row>
    <row r="63" spans="1:43" x14ac:dyDescent="0.15">
      <c r="A63" s="16"/>
      <c r="B63" s="16" t="s">
        <v>481</v>
      </c>
      <c r="C63" s="16" t="s">
        <v>482</v>
      </c>
      <c r="D63" s="22">
        <f t="shared" ref="D63:D68" si="0">IF(UNNH0030_IF_MODE=1,1,IF(UNNH0030_IF_MODE=2,1,2))</f>
        <v>2</v>
      </c>
      <c r="E63" s="19" t="s">
        <v>466</v>
      </c>
      <c r="F63" s="19" t="s">
        <v>466</v>
      </c>
      <c r="G63" s="19" t="s">
        <v>465</v>
      </c>
      <c r="H63" s="19" t="s">
        <v>438</v>
      </c>
    </row>
    <row r="64" spans="1:43" x14ac:dyDescent="0.15">
      <c r="A64" s="16"/>
      <c r="B64" s="16" t="s">
        <v>440</v>
      </c>
      <c r="C64" s="16" t="s">
        <v>485</v>
      </c>
      <c r="D64" s="22">
        <f t="shared" si="0"/>
        <v>2</v>
      </c>
      <c r="E64" s="19" t="s">
        <v>466</v>
      </c>
      <c r="F64" s="19" t="s">
        <v>466</v>
      </c>
      <c r="G64" s="19" t="s">
        <v>465</v>
      </c>
      <c r="H64" s="19" t="s">
        <v>467</v>
      </c>
    </row>
    <row r="65" spans="1:9" x14ac:dyDescent="0.15">
      <c r="A65" s="16"/>
      <c r="B65" s="16" t="s">
        <v>487</v>
      </c>
      <c r="C65" s="16" t="s">
        <v>488</v>
      </c>
      <c r="D65" s="22">
        <f t="shared" si="0"/>
        <v>2</v>
      </c>
      <c r="E65" s="19" t="s">
        <v>466</v>
      </c>
      <c r="F65" s="19" t="s">
        <v>466</v>
      </c>
      <c r="G65" s="19" t="s">
        <v>465</v>
      </c>
      <c r="H65" s="19" t="s">
        <v>467</v>
      </c>
    </row>
    <row r="66" spans="1:9" x14ac:dyDescent="0.15">
      <c r="A66" s="16"/>
      <c r="B66" s="16" t="s">
        <v>490</v>
      </c>
      <c r="C66" s="16" t="s">
        <v>491</v>
      </c>
      <c r="D66" s="22">
        <f t="shared" si="0"/>
        <v>2</v>
      </c>
      <c r="E66" s="19" t="s">
        <v>466</v>
      </c>
      <c r="F66" s="19" t="s">
        <v>466</v>
      </c>
      <c r="G66" s="19" t="s">
        <v>465</v>
      </c>
      <c r="H66" s="19" t="s">
        <v>438</v>
      </c>
    </row>
    <row r="67" spans="1:9" x14ac:dyDescent="0.15">
      <c r="A67" s="16"/>
      <c r="B67" s="16" t="s">
        <v>494</v>
      </c>
      <c r="C67" s="16" t="s">
        <v>495</v>
      </c>
      <c r="D67" s="22">
        <f t="shared" si="0"/>
        <v>2</v>
      </c>
      <c r="E67" s="19" t="s">
        <v>466</v>
      </c>
      <c r="F67" s="19" t="s">
        <v>466</v>
      </c>
      <c r="G67" s="19" t="s">
        <v>465</v>
      </c>
      <c r="H67" s="19" t="s">
        <v>438</v>
      </c>
    </row>
    <row r="68" spans="1:9" x14ac:dyDescent="0.15">
      <c r="A68" s="16"/>
      <c r="B68" s="16" t="s">
        <v>498</v>
      </c>
      <c r="C68" s="16" t="s">
        <v>499</v>
      </c>
      <c r="D68" s="22">
        <f t="shared" si="0"/>
        <v>2</v>
      </c>
      <c r="E68" s="19" t="s">
        <v>466</v>
      </c>
      <c r="F68" s="19" t="s">
        <v>466</v>
      </c>
      <c r="G68" s="19" t="s">
        <v>465</v>
      </c>
      <c r="H68" s="19" t="s">
        <v>438</v>
      </c>
    </row>
    <row r="69" spans="1:9" x14ac:dyDescent="0.15">
      <c r="A69" s="16"/>
      <c r="B69" s="16" t="s">
        <v>501</v>
      </c>
      <c r="C69" s="16" t="s">
        <v>502</v>
      </c>
      <c r="D69" s="22">
        <f>IF(AND(UNNH0030_IF_JUCHU_MODE=1,UNNH0030_H_PAGE_NO&gt;1),1,2)</f>
        <v>2</v>
      </c>
      <c r="E69" s="19" t="s">
        <v>465</v>
      </c>
      <c r="F69" s="19" t="s">
        <v>465</v>
      </c>
      <c r="G69" s="19" t="s">
        <v>465</v>
      </c>
      <c r="H69" s="78" t="s">
        <v>503</v>
      </c>
      <c r="I69" s="78"/>
    </row>
    <row r="70" spans="1:9" x14ac:dyDescent="0.15">
      <c r="A70" s="16"/>
      <c r="B70" s="16" t="s">
        <v>505</v>
      </c>
      <c r="C70" s="16" t="s">
        <v>506</v>
      </c>
      <c r="D70" s="22">
        <f>IF(AND(UNNH0030_IF_JUCHU_MODE=1,UNNH0030_H_PAGE_NO&lt;UNNH0030_H_PAGE_TOTAL),1,2)</f>
        <v>2</v>
      </c>
      <c r="E70" s="19" t="s">
        <v>465</v>
      </c>
      <c r="F70" s="19" t="s">
        <v>465</v>
      </c>
      <c r="G70" s="19" t="s">
        <v>465</v>
      </c>
      <c r="H70" s="78" t="s">
        <v>507</v>
      </c>
      <c r="I70" s="78"/>
    </row>
    <row r="71" spans="1:9" x14ac:dyDescent="0.15">
      <c r="A71" s="16"/>
      <c r="B71" s="16" t="s">
        <v>610</v>
      </c>
      <c r="C71" s="16" t="s">
        <v>508</v>
      </c>
      <c r="D71" s="22">
        <f ca="1">IF(UNNH0030_H_DEMPYO_KBN_CD=5,2,IF(AND(UNNH0030_IF_MODE=0,UNNH0030_H_JURI_NO_CNT=0),2,1))</f>
        <v>2</v>
      </c>
      <c r="E71" s="82" t="s">
        <v>466</v>
      </c>
      <c r="F71" s="82" t="s">
        <v>466</v>
      </c>
      <c r="G71" s="82" t="s">
        <v>620</v>
      </c>
      <c r="H71" s="82" t="s">
        <v>438</v>
      </c>
      <c r="I71" s="19" t="s">
        <v>611</v>
      </c>
    </row>
    <row r="72" spans="1:9" x14ac:dyDescent="0.15">
      <c r="A72" s="16"/>
      <c r="B72" s="16" t="s">
        <v>509</v>
      </c>
      <c r="C72" s="16" t="s">
        <v>510</v>
      </c>
      <c r="D72" s="22">
        <f ca="1">IF(UNNH0030_IF_PREVIOUS_ID="UNNH0080",2,IF(AND(UNNH0030_H_DEMPYO_KBN_CD=5,UNNH0030_IF_MODE=0),1,2))</f>
        <v>2</v>
      </c>
      <c r="E72" s="19" t="s">
        <v>465</v>
      </c>
      <c r="F72" s="19" t="s">
        <v>465</v>
      </c>
      <c r="G72" s="19" t="s">
        <v>466</v>
      </c>
      <c r="H72" s="19" t="s">
        <v>438</v>
      </c>
      <c r="I72" s="19" t="s">
        <v>555</v>
      </c>
    </row>
    <row r="73" spans="1:9" x14ac:dyDescent="0.15">
      <c r="A73" s="16"/>
      <c r="B73" s="16" t="s">
        <v>511</v>
      </c>
      <c r="C73" s="16" t="s">
        <v>512</v>
      </c>
      <c r="D73" s="22">
        <f>IF(UNNH0030_IF_PREVIOUS_ID="UNNH0080",2,IF(UNNH0030_IF_MODE=1,2,IF(UNNH0030_IF_MODE=2,2,1)))</f>
        <v>1</v>
      </c>
      <c r="E73" s="19" t="s">
        <v>465</v>
      </c>
      <c r="F73" s="19" t="s">
        <v>465</v>
      </c>
      <c r="G73" s="19" t="s">
        <v>466</v>
      </c>
      <c r="H73" s="19" t="s">
        <v>438</v>
      </c>
      <c r="I73" s="82" t="s">
        <v>555</v>
      </c>
    </row>
    <row r="74" spans="1:9" x14ac:dyDescent="0.15">
      <c r="A74" s="16"/>
      <c r="B74" s="16" t="s">
        <v>513</v>
      </c>
      <c r="C74" s="16" t="s">
        <v>514</v>
      </c>
      <c r="D74" s="22">
        <f>IF(UNNH0030_IF_MODE=1,2,IF(UNNH0030_IF_MODE=2,2,1))</f>
        <v>1</v>
      </c>
      <c r="E74" s="19" t="s">
        <v>465</v>
      </c>
      <c r="F74" s="19" t="s">
        <v>465</v>
      </c>
      <c r="G74" s="19" t="s">
        <v>466</v>
      </c>
      <c r="H74" s="19" t="s">
        <v>438</v>
      </c>
    </row>
    <row r="75" spans="1:9" x14ac:dyDescent="0.15">
      <c r="A75" s="16"/>
      <c r="B75" s="16"/>
      <c r="C75" s="16"/>
    </row>
    <row r="76" spans="1:9" x14ac:dyDescent="0.15">
      <c r="A76" s="16"/>
      <c r="B76" s="16"/>
      <c r="C76" s="16"/>
    </row>
    <row r="77" spans="1:9" x14ac:dyDescent="0.15">
      <c r="A77" s="20" t="s">
        <v>515</v>
      </c>
    </row>
    <row r="78" spans="1:9" x14ac:dyDescent="0.15">
      <c r="B78" s="19" t="s">
        <v>516</v>
      </c>
      <c r="C78" s="16" t="s">
        <v>517</v>
      </c>
      <c r="D78" s="17">
        <f>IF(UNNH0030_IF_ACTIVE_ROW&lt;=ROW(UNNH0030_B_GYO),1,0)</f>
        <v>1</v>
      </c>
      <c r="E78" s="80" t="s">
        <v>518</v>
      </c>
      <c r="F78" s="80" t="s">
        <v>519</v>
      </c>
    </row>
    <row r="79" spans="1:9" x14ac:dyDescent="0.15">
      <c r="B79" s="16"/>
    </row>
    <row r="80" spans="1:9" x14ac:dyDescent="0.15">
      <c r="A80" s="20" t="s">
        <v>520</v>
      </c>
    </row>
    <row r="81" spans="2:4" x14ac:dyDescent="0.15">
      <c r="B81" s="19" t="s">
        <v>521</v>
      </c>
      <c r="C81" s="16" t="s">
        <v>522</v>
      </c>
      <c r="D81" s="17" t="str">
        <f ca="1">"売上入力画面_"&amp;UNNH0030_IF_REF_NO&amp;"_"&amp;TEXT(NOW(),"YYYYMMDD")</f>
        <v>売上入力画面_U16-010001_20170310</v>
      </c>
    </row>
  </sheetData>
  <mergeCells count="40">
    <mergeCell ref="CG11:CH11"/>
    <mergeCell ref="AK6:AL6"/>
    <mergeCell ref="AI8:AK8"/>
    <mergeCell ref="AH9:AK12"/>
    <mergeCell ref="AN10:AQ10"/>
    <mergeCell ref="AN11:AQ12"/>
    <mergeCell ref="AN9:AO9"/>
    <mergeCell ref="AH14:AJ14"/>
    <mergeCell ref="AP15:AQ15"/>
    <mergeCell ref="AP16:AQ16"/>
    <mergeCell ref="AH17:AN17"/>
    <mergeCell ref="AH15:AI15"/>
    <mergeCell ref="AP18:AQ20"/>
    <mergeCell ref="AK24:AL24"/>
    <mergeCell ref="AI26:AK26"/>
    <mergeCell ref="AH27:AK30"/>
    <mergeCell ref="AN28:AQ28"/>
    <mergeCell ref="AN29:AQ30"/>
    <mergeCell ref="AN27:AO27"/>
    <mergeCell ref="AH18:AN18"/>
    <mergeCell ref="AH32:AJ32"/>
    <mergeCell ref="AP33:AQ33"/>
    <mergeCell ref="AP34:AQ34"/>
    <mergeCell ref="AH35:AN35"/>
    <mergeCell ref="AH33:AI33"/>
    <mergeCell ref="AP36:AQ38"/>
    <mergeCell ref="AK42:AL42"/>
    <mergeCell ref="AI44:AK44"/>
    <mergeCell ref="AH45:AK48"/>
    <mergeCell ref="AN46:AQ46"/>
    <mergeCell ref="AN47:AQ48"/>
    <mergeCell ref="AN45:AO45"/>
    <mergeCell ref="AH36:AN36"/>
    <mergeCell ref="AP54:AQ56"/>
    <mergeCell ref="AH50:AJ50"/>
    <mergeCell ref="AP51:AQ51"/>
    <mergeCell ref="AP52:AQ52"/>
    <mergeCell ref="AH53:AN53"/>
    <mergeCell ref="AH51:AI51"/>
    <mergeCell ref="AH54:AN54"/>
  </mergeCells>
  <phoneticPr fontId="1"/>
  <conditionalFormatting sqref="BG5">
    <cfRule type="expression" dxfId="61" priority="79">
      <formula>INDIRECT(ADDRESS(ROW(),COLUMN(UNMT0020_B_ROW_KBN)))&lt;&gt;2</formula>
    </cfRule>
  </conditionalFormatting>
  <conditionalFormatting sqref="BG5">
    <cfRule type="expression" dxfId="60" priority="80">
      <formula>INDIRECT(ADDRESS(ROW(),COLUMN()))=TRUNC(INDIRECT(ADDRESS(ROW(),COLUMN())))</formula>
    </cfRule>
  </conditionalFormatting>
  <conditionalFormatting sqref="BI5">
    <cfRule type="expression" dxfId="59" priority="77">
      <formula>INDIRECT(ADDRESS(ROW(),COLUMN(UNMT0020_B_ROW_KBN)))&lt;&gt;2</formula>
    </cfRule>
  </conditionalFormatting>
  <conditionalFormatting sqref="BI5">
    <cfRule type="expression" dxfId="58" priority="78">
      <formula>INDIRECT(ADDRESS(ROW(),COLUMN()))=TRUNC(INDIRECT(ADDRESS(ROW(),COLUMN())))</formula>
    </cfRule>
  </conditionalFormatting>
  <conditionalFormatting sqref="BJ5">
    <cfRule type="expression" dxfId="57" priority="75">
      <formula>INDIRECT(ADDRESS(ROW(),COLUMN(UNMT0020_B_ROW_KBN)))&lt;&gt;2</formula>
    </cfRule>
  </conditionalFormatting>
  <conditionalFormatting sqref="BJ5">
    <cfRule type="expression" dxfId="56" priority="76">
      <formula>INDIRECT(ADDRESS(ROW(),COLUMN()))=TRUNC(INDIRECT(ADDRESS(ROW(),COLUMN())))</formula>
    </cfRule>
  </conditionalFormatting>
  <conditionalFormatting sqref="BN5">
    <cfRule type="expression" dxfId="55" priority="73">
      <formula>INDIRECT(ADDRESS(ROW(),COLUMN(UNMT0020_B_ROW_KBN)))&lt;&gt;2</formula>
    </cfRule>
  </conditionalFormatting>
  <conditionalFormatting sqref="BN5">
    <cfRule type="expression" dxfId="54" priority="74">
      <formula>INDIRECT(ADDRESS(ROW(),COLUMN()))=TRUNC(INDIRECT(ADDRESS(ROW(),COLUMN())))</formula>
    </cfRule>
  </conditionalFormatting>
  <conditionalFormatting sqref="BL5">
    <cfRule type="expression" dxfId="53" priority="71">
      <formula>INDIRECT(ADDRESS(ROW(),COLUMN(UNMT0020_B_ROW_KBN)))&lt;&gt;2</formula>
    </cfRule>
  </conditionalFormatting>
  <conditionalFormatting sqref="BL5">
    <cfRule type="expression" dxfId="52" priority="72">
      <formula>INDIRECT(ADDRESS(ROW(),COLUMN()))=TRUNC(INDIRECT(ADDRESS(ROW(),COLUMN())))</formula>
    </cfRule>
  </conditionalFormatting>
  <conditionalFormatting sqref="BQ5">
    <cfRule type="expression" dxfId="51" priority="69">
      <formula>INDIRECT(ADDRESS(ROW(),COLUMN(UNMT0020_B_ROW_KBN)))&lt;&gt;2</formula>
    </cfRule>
  </conditionalFormatting>
  <conditionalFormatting sqref="BQ5">
    <cfRule type="expression" dxfId="50" priority="70">
      <formula>INDIRECT(ADDRESS(ROW(),COLUMN()))=TRUNC(INDIRECT(ADDRESS(ROW(),COLUMN())))</formula>
    </cfRule>
  </conditionalFormatting>
  <conditionalFormatting sqref="BT5:BU5">
    <cfRule type="expression" dxfId="49" priority="65">
      <formula>INDIRECT(ADDRESS(ROW(),COLUMN(UNMT0020_B_ROW_KBN)))&lt;&gt;2</formula>
    </cfRule>
  </conditionalFormatting>
  <conditionalFormatting sqref="BU5">
    <cfRule type="expression" dxfId="48" priority="66">
      <formula>INDIRECT(ADDRESS(ROW(),COLUMN()))=TRUNC(INDIRECT(ADDRESS(ROW(),COLUMN())))</formula>
    </cfRule>
  </conditionalFormatting>
  <conditionalFormatting sqref="BS5">
    <cfRule type="expression" dxfId="47" priority="67">
      <formula>INDIRECT(ADDRESS(ROW(),COLUMN(UNMT0020_B_ROW_KBN)))&lt;&gt;2</formula>
    </cfRule>
  </conditionalFormatting>
  <conditionalFormatting sqref="BS5">
    <cfRule type="expression" dxfId="46" priority="68">
      <formula>INDIRECT(ADDRESS(ROW(),COLUMN()))=TRUNC(INDIRECT(ADDRESS(ROW(),COLUMN())))</formula>
    </cfRule>
  </conditionalFormatting>
  <conditionalFormatting sqref="BQ11">
    <cfRule type="expression" dxfId="45" priority="61">
      <formula>INDIRECT(ADDRESS(ROW(),COLUMN(UNMT0020_B_ROW_KBN)))&lt;&gt;2</formula>
    </cfRule>
  </conditionalFormatting>
  <conditionalFormatting sqref="BJ11">
    <cfRule type="expression" dxfId="44" priority="63">
      <formula>INDIRECT(ADDRESS(ROW(),COLUMN(UNMT0020_B_ROW_KBN)))&lt;&gt;2</formula>
    </cfRule>
  </conditionalFormatting>
  <conditionalFormatting sqref="BJ11">
    <cfRule type="expression" dxfId="43" priority="64">
      <formula>INDIRECT(ADDRESS(ROW(),COLUMN()))=TRUNC(INDIRECT(ADDRESS(ROW(),COLUMN())))</formula>
    </cfRule>
  </conditionalFormatting>
  <conditionalFormatting sqref="BQ11">
    <cfRule type="expression" dxfId="42" priority="62">
      <formula>INDIRECT(ADDRESS(ROW(),COLUMN()))=TRUNC(INDIRECT(ADDRESS(ROW(),COLUMN())))</formula>
    </cfRule>
  </conditionalFormatting>
  <conditionalFormatting sqref="BG17">
    <cfRule type="expression" dxfId="41" priority="59">
      <formula>INDIRECT(ADDRESS(ROW(),COLUMN(UNMT0020_B_ROW_KBN)))&lt;&gt;2</formula>
    </cfRule>
  </conditionalFormatting>
  <conditionalFormatting sqref="BG17">
    <cfRule type="expression" dxfId="40" priority="60">
      <formula>INDIRECT(ADDRESS(ROW(),COLUMN()))=TRUNC(INDIRECT(ADDRESS(ROW(),COLUMN())))</formula>
    </cfRule>
  </conditionalFormatting>
  <conditionalFormatting sqref="BI17">
    <cfRule type="expression" dxfId="39" priority="57">
      <formula>INDIRECT(ADDRESS(ROW(),COLUMN(UNMT0020_B_ROW_KBN)))&lt;&gt;2</formula>
    </cfRule>
  </conditionalFormatting>
  <conditionalFormatting sqref="BI17">
    <cfRule type="expression" dxfId="38" priority="58">
      <formula>INDIRECT(ADDRESS(ROW(),COLUMN()))=TRUNC(INDIRECT(ADDRESS(ROW(),COLUMN())))</formula>
    </cfRule>
  </conditionalFormatting>
  <conditionalFormatting sqref="BJ17">
    <cfRule type="expression" dxfId="37" priority="55">
      <formula>INDIRECT(ADDRESS(ROW(),COLUMN(UNMT0020_B_ROW_KBN)))&lt;&gt;2</formula>
    </cfRule>
  </conditionalFormatting>
  <conditionalFormatting sqref="BJ17">
    <cfRule type="expression" dxfId="36" priority="56">
      <formula>INDIRECT(ADDRESS(ROW(),COLUMN()))=TRUNC(INDIRECT(ADDRESS(ROW(),COLUMN())))</formula>
    </cfRule>
  </conditionalFormatting>
  <conditionalFormatting sqref="BN17">
    <cfRule type="expression" dxfId="35" priority="53">
      <formula>INDIRECT(ADDRESS(ROW(),COLUMN(UNMT0020_B_ROW_KBN)))&lt;&gt;2</formula>
    </cfRule>
  </conditionalFormatting>
  <conditionalFormatting sqref="BN17">
    <cfRule type="expression" dxfId="34" priority="54">
      <formula>INDIRECT(ADDRESS(ROW(),COLUMN()))=TRUNC(INDIRECT(ADDRESS(ROW(),COLUMN())))</formula>
    </cfRule>
  </conditionalFormatting>
  <conditionalFormatting sqref="BL17">
    <cfRule type="expression" dxfId="33" priority="51">
      <formula>INDIRECT(ADDRESS(ROW(),COLUMN(UNMT0020_B_ROW_KBN)))&lt;&gt;2</formula>
    </cfRule>
  </conditionalFormatting>
  <conditionalFormatting sqref="BL17">
    <cfRule type="expression" dxfId="32" priority="52">
      <formula>INDIRECT(ADDRESS(ROW(),COLUMN()))=TRUNC(INDIRECT(ADDRESS(ROW(),COLUMN())))</formula>
    </cfRule>
  </conditionalFormatting>
  <conditionalFormatting sqref="BQ23">
    <cfRule type="expression" dxfId="31" priority="41">
      <formula>INDIRECT(ADDRESS(ROW(),COLUMN(UNMT0020_B_ROW_KBN)))&lt;&gt;2</formula>
    </cfRule>
  </conditionalFormatting>
  <conditionalFormatting sqref="BJ23">
    <cfRule type="expression" dxfId="30" priority="43">
      <formula>INDIRECT(ADDRESS(ROW(),COLUMN(UNMT0020_B_ROW_KBN)))&lt;&gt;2</formula>
    </cfRule>
  </conditionalFormatting>
  <conditionalFormatting sqref="BJ23">
    <cfRule type="expression" dxfId="29" priority="44">
      <formula>INDIRECT(ADDRESS(ROW(),COLUMN()))=TRUNC(INDIRECT(ADDRESS(ROW(),COLUMN())))</formula>
    </cfRule>
  </conditionalFormatting>
  <conditionalFormatting sqref="BQ23">
    <cfRule type="expression" dxfId="28" priority="42">
      <formula>INDIRECT(ADDRESS(ROW(),COLUMN()))=TRUNC(INDIRECT(ADDRESS(ROW(),COLUMN())))</formula>
    </cfRule>
  </conditionalFormatting>
  <conditionalFormatting sqref="BG29">
    <cfRule type="expression" dxfId="27" priority="39">
      <formula>INDIRECT(ADDRESS(ROW(),COLUMN(UNMT0020_B_ROW_KBN)))&lt;&gt;2</formula>
    </cfRule>
  </conditionalFormatting>
  <conditionalFormatting sqref="BG29">
    <cfRule type="expression" dxfId="26" priority="40">
      <formula>INDIRECT(ADDRESS(ROW(),COLUMN()))=TRUNC(INDIRECT(ADDRESS(ROW(),COLUMN())))</formula>
    </cfRule>
  </conditionalFormatting>
  <conditionalFormatting sqref="BI29">
    <cfRule type="expression" dxfId="25" priority="37">
      <formula>INDIRECT(ADDRESS(ROW(),COLUMN(UNMT0020_B_ROW_KBN)))&lt;&gt;2</formula>
    </cfRule>
  </conditionalFormatting>
  <conditionalFormatting sqref="BI29">
    <cfRule type="expression" dxfId="24" priority="38">
      <formula>INDIRECT(ADDRESS(ROW(),COLUMN()))=TRUNC(INDIRECT(ADDRESS(ROW(),COLUMN())))</formula>
    </cfRule>
  </conditionalFormatting>
  <conditionalFormatting sqref="BJ29">
    <cfRule type="expression" dxfId="23" priority="35">
      <formula>INDIRECT(ADDRESS(ROW(),COLUMN(UNMT0020_B_ROW_KBN)))&lt;&gt;2</formula>
    </cfRule>
  </conditionalFormatting>
  <conditionalFormatting sqref="BJ29">
    <cfRule type="expression" dxfId="22" priority="36">
      <formula>INDIRECT(ADDRESS(ROW(),COLUMN()))=TRUNC(INDIRECT(ADDRESS(ROW(),COLUMN())))</formula>
    </cfRule>
  </conditionalFormatting>
  <conditionalFormatting sqref="BN29">
    <cfRule type="expression" dxfId="21" priority="33">
      <formula>INDIRECT(ADDRESS(ROW(),COLUMN(UNMT0020_B_ROW_KBN)))&lt;&gt;2</formula>
    </cfRule>
  </conditionalFormatting>
  <conditionalFormatting sqref="BN29">
    <cfRule type="expression" dxfId="20" priority="34">
      <formula>INDIRECT(ADDRESS(ROW(),COLUMN()))=TRUNC(INDIRECT(ADDRESS(ROW(),COLUMN())))</formula>
    </cfRule>
  </conditionalFormatting>
  <conditionalFormatting sqref="BL29">
    <cfRule type="expression" dxfId="19" priority="31">
      <formula>INDIRECT(ADDRESS(ROW(),COLUMN(UNMT0020_B_ROW_KBN)))&lt;&gt;2</formula>
    </cfRule>
  </conditionalFormatting>
  <conditionalFormatting sqref="BL29">
    <cfRule type="expression" dxfId="18" priority="32">
      <formula>INDIRECT(ADDRESS(ROW(),COLUMN()))=TRUNC(INDIRECT(ADDRESS(ROW(),COLUMN())))</formula>
    </cfRule>
  </conditionalFormatting>
  <conditionalFormatting sqref="BQ35">
    <cfRule type="expression" dxfId="17" priority="21">
      <formula>INDIRECT(ADDRESS(ROW(),COLUMN(UNMT0020_B_ROW_KBN)))&lt;&gt;2</formula>
    </cfRule>
  </conditionalFormatting>
  <conditionalFormatting sqref="BJ35">
    <cfRule type="expression" dxfId="16" priority="23">
      <formula>INDIRECT(ADDRESS(ROW(),COLUMN(UNMT0020_B_ROW_KBN)))&lt;&gt;2</formula>
    </cfRule>
  </conditionalFormatting>
  <conditionalFormatting sqref="BJ35">
    <cfRule type="expression" dxfId="15" priority="24">
      <formula>INDIRECT(ADDRESS(ROW(),COLUMN()))=TRUNC(INDIRECT(ADDRESS(ROW(),COLUMN())))</formula>
    </cfRule>
  </conditionalFormatting>
  <conditionalFormatting sqref="BQ35">
    <cfRule type="expression" dxfId="14" priority="22">
      <formula>INDIRECT(ADDRESS(ROW(),COLUMN()))=TRUNC(INDIRECT(ADDRESS(ROW(),COLUMN())))</formula>
    </cfRule>
  </conditionalFormatting>
  <conditionalFormatting sqref="BU17">
    <cfRule type="expression" dxfId="13" priority="13">
      <formula>INDIRECT(ADDRESS(ROW(),COLUMN(UNMT0020_B_ROW_KBN)))&lt;&gt;2</formula>
    </cfRule>
  </conditionalFormatting>
  <conditionalFormatting sqref="BU17">
    <cfRule type="expression" dxfId="12" priority="14">
      <formula>INDIRECT(ADDRESS(ROW(),COLUMN()))=TRUNC(INDIRECT(ADDRESS(ROW(),COLUMN())))</formula>
    </cfRule>
  </conditionalFormatting>
  <conditionalFormatting sqref="BS17">
    <cfRule type="expression" dxfId="11" priority="15">
      <formula>INDIRECT(ADDRESS(ROW(),COLUMN(UNMT0020_B_ROW_KBN)))&lt;&gt;2</formula>
    </cfRule>
  </conditionalFormatting>
  <conditionalFormatting sqref="BS17">
    <cfRule type="expression" dxfId="10" priority="16">
      <formula>INDIRECT(ADDRESS(ROW(),COLUMN()))=TRUNC(INDIRECT(ADDRESS(ROW(),COLUMN())))</formula>
    </cfRule>
  </conditionalFormatting>
  <conditionalFormatting sqref="BU29">
    <cfRule type="expression" dxfId="9" priority="9">
      <formula>INDIRECT(ADDRESS(ROW(),COLUMN(UNMT0020_B_ROW_KBN)))&lt;&gt;2</formula>
    </cfRule>
  </conditionalFormatting>
  <conditionalFormatting sqref="BU29">
    <cfRule type="expression" dxfId="8" priority="10">
      <formula>INDIRECT(ADDRESS(ROW(),COLUMN()))=TRUNC(INDIRECT(ADDRESS(ROW(),COLUMN())))</formula>
    </cfRule>
  </conditionalFormatting>
  <conditionalFormatting sqref="BS29">
    <cfRule type="expression" dxfId="7" priority="11">
      <formula>INDIRECT(ADDRESS(ROW(),COLUMN(UNMT0020_B_ROW_KBN)))&lt;&gt;2</formula>
    </cfRule>
  </conditionalFormatting>
  <conditionalFormatting sqref="BS29">
    <cfRule type="expression" dxfId="6" priority="12">
      <formula>INDIRECT(ADDRESS(ROW(),COLUMN()))=TRUNC(INDIRECT(ADDRESS(ROW(),COLUMN())))</formula>
    </cfRule>
  </conditionalFormatting>
  <conditionalFormatting sqref="BQ17">
    <cfRule type="expression" dxfId="5" priority="7">
      <formula>INDIRECT(ADDRESS(ROW(),COLUMN(UNMT0020_B_ROW_KBN)))&lt;&gt;2</formula>
    </cfRule>
  </conditionalFormatting>
  <conditionalFormatting sqref="BQ17">
    <cfRule type="expression" dxfId="4" priority="8">
      <formula>INDIRECT(ADDRESS(ROW(),COLUMN()))=TRUNC(INDIRECT(ADDRESS(ROW(),COLUMN())))</formula>
    </cfRule>
  </conditionalFormatting>
  <conditionalFormatting sqref="BQ29">
    <cfRule type="expression" dxfId="3" priority="5">
      <formula>INDIRECT(ADDRESS(ROW(),COLUMN(UNMT0020_B_ROW_KBN)))&lt;&gt;2</formula>
    </cfRule>
  </conditionalFormatting>
  <conditionalFormatting sqref="BQ29">
    <cfRule type="expression" dxfId="2" priority="6">
      <formula>INDIRECT(ADDRESS(ROW(),COLUMN()))=TRUNC(INDIRECT(ADDRESS(ROW(),COLUMN())))</formula>
    </cfRule>
  </conditionalFormatting>
  <conditionalFormatting sqref="BT17">
    <cfRule type="expression" dxfId="1" priority="2">
      <formula>INDIRECT(ADDRESS(ROW(),COLUMN(UNMT0020_B_ROW_KBN)))&lt;&gt;2</formula>
    </cfRule>
  </conditionalFormatting>
  <conditionalFormatting sqref="BT29">
    <cfRule type="expression" dxfId="0" priority="1">
      <formula>INDIRECT(ADDRESS(ROW(),COLUMN(UNMT0020_B_ROW_KBN)))&lt;&gt;2</formula>
    </cfRule>
  </conditionalFormatting>
  <dataValidations disablePrompts="1" count="16">
    <dataValidation type="custom" allowBlank="1" showInputMessage="1" showErrorMessage="1" sqref="AN29:AQ30 AH17:AN18 AH35:AN36 AN47:AQ48 AN11:AQ12 AH53:AN54">
      <formula1>LENB(AH11)&lt;=100</formula1>
    </dataValidation>
    <dataValidation type="custom" allowBlank="1" showInputMessage="1" showErrorMessage="1" sqref="AH16 AH34 AH52">
      <formula1>AND(LEN(AH16)=LENB(AH16),LEN(AH16)&lt;=8)</formula1>
    </dataValidation>
    <dataValidation type="custom" allowBlank="1" showInputMessage="1" showErrorMessage="1" sqref="AP15:AQ16 AP33:AQ34 AP51:AQ52">
      <formula1>AND(LEN(AP15)=LENB(AP15),LEN(AP15)&lt;=13)</formula1>
    </dataValidation>
    <dataValidation type="custom" allowBlank="1" showInputMessage="1" showErrorMessage="1" sqref="AH15:AI15 AH33:AI33 AH51:AI51">
      <formula1>LENB(AH15)&lt;=40</formula1>
    </dataValidation>
    <dataValidation type="custom" allowBlank="1" showInputMessage="1" showErrorMessage="1" sqref="AP18:AQ20 AP36:AQ38 AP54:AQ56">
      <formula1>LENB(AP18)&lt;=80</formula1>
    </dataValidation>
    <dataValidation type="list" allowBlank="1" showInputMessage="1" showErrorMessage="1" sqref="AU4 AQ26 AQ8 AQ44">
      <formula1>UNNH0030_IF_LIST_DEMPYO_KBN</formula1>
    </dataValidation>
    <dataValidation type="list" allowBlank="1" showInputMessage="1" showErrorMessage="1" sqref="AK32 AK14 AK50">
      <formula1>UNNH0030_IF_LIST_KEISHO_KBN</formula1>
    </dataValidation>
    <dataValidation type="custom" allowBlank="1" showInputMessage="1" showErrorMessage="1" sqref="BF5 BF17 BF29 AH32:AJ32 AH14:AJ14 AH50:AJ50">
      <formula1>LEN(AH5)&lt;=50</formula1>
    </dataValidation>
    <dataValidation type="custom" allowBlank="1" showInputMessage="1" showErrorMessage="1" sqref="BG5 BG29 BG17">
      <formula1>AND(NOT(ISERROR(INT(BG5))),ROUND(BG5,2)=BG5,AND(BG5&lt;100000,BG5&gt;-100000))</formula1>
    </dataValidation>
    <dataValidation type="custom" allowBlank="1" showInputMessage="1" showErrorMessage="1" sqref="BH5 BR5 BH17 BR17 BH29 BR29 BP5 BP17 BP29">
      <formula1>LENB(BH5)&lt;=10</formula1>
    </dataValidation>
    <dataValidation type="custom" allowBlank="1" showInputMessage="1" showErrorMessage="1" sqref="BI5 BM5 BI17 BM17 BI29 BM29">
      <formula1>AND(NOT(ISERROR(INT(BI5))),ROUND(BI5,2)=BI5,AND(BI5&lt;10000000,BI5&gt;-10000000))</formula1>
    </dataValidation>
    <dataValidation type="custom" allowBlank="1" showInputMessage="1" showErrorMessage="1" sqref="BK5 BK17 BK29 AN10:AQ10 AN28:AQ28 AN46:AQ46">
      <formula1>LENB(AN5)&lt;=50</formula1>
    </dataValidation>
    <dataValidation type="list" allowBlank="1" showInputMessage="1" showErrorMessage="1" sqref="AU5 AQ9 AQ27 AQ45">
      <formula1>UNNH0030_IF_LIST_RENDO_KBN</formula1>
    </dataValidation>
    <dataValidation type="list" allowBlank="1" showInputMessage="1" showErrorMessage="1" sqref="AN27 AN9 AN45">
      <formula1>UNNH0030_IF_LIST_KANJO_KAMOKU</formula1>
    </dataValidation>
    <dataValidation type="list" allowBlank="1" showInputMessage="1" showErrorMessage="1" sqref="AN8 AN26 AN44">
      <formula1>UNNH0030_IF_LIST_DENKU</formula1>
    </dataValidation>
    <dataValidation type="custom" allowBlank="1" showInputMessage="1" showErrorMessage="1" sqref="BO5 BO17 BO29">
      <formula1>AND(NOT(ISERROR(INT(BO5))),ROUND(BO5,2)=BO5,AND(BO5&lt;100000,BO5&gt;=0))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rgb="FFFFC000"/>
  </sheetPr>
  <dimension ref="A1:R35"/>
  <sheetViews>
    <sheetView zoomScaleNormal="100" workbookViewId="0">
      <selection activeCell="C35" sqref="C35"/>
    </sheetView>
  </sheetViews>
  <sheetFormatPr defaultRowHeight="16.5" x14ac:dyDescent="0.15"/>
  <cols>
    <col min="1" max="1" width="9" style="2" customWidth="1"/>
    <col min="2" max="2" width="19.625" style="2" customWidth="1"/>
    <col min="3" max="6" width="9" style="2" customWidth="1"/>
    <col min="7" max="7" width="3.375" style="41" customWidth="1"/>
    <col min="8" max="8" width="17.375" style="41" customWidth="1"/>
    <col min="9" max="11" width="11.75" style="41" customWidth="1"/>
    <col min="12" max="12" width="13.75" style="41" customWidth="1"/>
    <col min="13" max="15" width="11.75" style="41" customWidth="1"/>
    <col min="16" max="16" width="12.875" style="41" customWidth="1"/>
    <col min="17" max="17" width="13.875" style="41" customWidth="1"/>
    <col min="18" max="18" width="11.75" style="41" customWidth="1"/>
    <col min="19" max="19" width="3.75" style="41" customWidth="1"/>
    <col min="20" max="20" width="3.375" style="41" customWidth="1"/>
    <col min="21" max="16384" width="9" style="41"/>
  </cols>
  <sheetData>
    <row r="1" spans="1:18" s="1" customFormat="1" ht="16.5" customHeight="1" x14ac:dyDescent="0.15">
      <c r="A1" s="10"/>
      <c r="B1" s="10"/>
      <c r="C1" s="10"/>
      <c r="D1" s="10"/>
      <c r="E1" s="10"/>
      <c r="F1" s="10"/>
      <c r="G1" s="1" t="s">
        <v>17</v>
      </c>
      <c r="I1" s="1" t="str">
        <f>"【"&amp;IF(UNNH0030_IF_MODE=1,"新規登録",IF(UNNH0030_IF_MODE=2,"修正","参照"))&amp;"モード】"</f>
        <v>【参照モード】</v>
      </c>
      <c r="K1" s="1" t="str">
        <f>IF(UNNH0030_IF_JUCHU_MODE=1,UNNH0030_H_PAGE_NO&amp;"/"&amp;UNNH0030_H_PAGE_TOTAL,"")</f>
        <v/>
      </c>
    </row>
    <row r="2" spans="1:18" s="21" customFormat="1" ht="16.5" customHeight="1" x14ac:dyDescent="0.15">
      <c r="A2" s="10"/>
      <c r="B2" s="12" t="s">
        <v>70</v>
      </c>
      <c r="C2" s="13" t="s">
        <v>94</v>
      </c>
      <c r="D2" s="15"/>
      <c r="E2" s="10"/>
      <c r="F2" s="10"/>
    </row>
    <row r="3" spans="1:18" s="21" customFormat="1" ht="16.5" customHeight="1" x14ac:dyDescent="0.15">
      <c r="A3" s="10"/>
      <c r="B3" s="12" t="s">
        <v>65</v>
      </c>
      <c r="C3" s="13" t="s">
        <v>548</v>
      </c>
      <c r="D3" s="15" t="str">
        <f>ADDRESS(ROW(A1),COLUMN(A1))&amp;":"&amp;ADDRESS(ROW(F1),COLUMN(F1))</f>
        <v>$A$1:$F$1</v>
      </c>
      <c r="E3" s="10"/>
      <c r="F3" s="10"/>
      <c r="H3" s="8" t="s">
        <v>52</v>
      </c>
      <c r="I3" s="84"/>
      <c r="K3" s="8" t="s">
        <v>47</v>
      </c>
      <c r="L3" s="26"/>
      <c r="N3" s="3" t="s">
        <v>55</v>
      </c>
      <c r="O3" s="27"/>
      <c r="Q3" s="8" t="s">
        <v>602</v>
      </c>
      <c r="R3" s="26"/>
    </row>
    <row r="4" spans="1:18" s="21" customFormat="1" ht="16.5" customHeight="1" x14ac:dyDescent="0.15">
      <c r="A4" s="10"/>
      <c r="B4" s="10"/>
      <c r="C4" s="10"/>
      <c r="D4" s="10"/>
      <c r="E4" s="10"/>
      <c r="F4" s="10"/>
      <c r="H4" s="3" t="s">
        <v>18</v>
      </c>
      <c r="I4" s="7"/>
      <c r="K4" s="8" t="s">
        <v>54</v>
      </c>
      <c r="L4" s="26"/>
      <c r="N4" s="3" t="s">
        <v>56</v>
      </c>
      <c r="O4" s="27"/>
      <c r="Q4" s="8" t="s">
        <v>53</v>
      </c>
      <c r="R4" s="28"/>
    </row>
    <row r="5" spans="1:18" s="21" customFormat="1" ht="16.5" customHeight="1" x14ac:dyDescent="0.15">
      <c r="A5" s="10"/>
      <c r="B5" s="10"/>
      <c r="C5" s="10"/>
      <c r="D5" s="10"/>
      <c r="E5" s="10"/>
      <c r="F5" s="10"/>
      <c r="H5" s="3" t="s">
        <v>43</v>
      </c>
      <c r="I5" s="29"/>
      <c r="K5" s="3" t="s">
        <v>19</v>
      </c>
      <c r="L5" s="182"/>
      <c r="M5" s="183"/>
      <c r="N5" s="9" t="s">
        <v>62</v>
      </c>
      <c r="O5" s="30"/>
      <c r="Q5" s="8" t="s">
        <v>95</v>
      </c>
      <c r="R5" s="27"/>
    </row>
    <row r="6" spans="1:18" s="21" customFormat="1" ht="16.5" customHeight="1" x14ac:dyDescent="0.15">
      <c r="A6" s="2"/>
      <c r="B6" s="2"/>
      <c r="C6" s="2"/>
      <c r="D6" s="2" t="s">
        <v>96</v>
      </c>
      <c r="E6" s="2"/>
      <c r="F6" s="2"/>
      <c r="Q6" s="3" t="s">
        <v>20</v>
      </c>
    </row>
    <row r="7" spans="1:18" s="21" customFormat="1" ht="16.5" customHeight="1" x14ac:dyDescent="0.15">
      <c r="A7" s="2"/>
      <c r="B7" s="2" t="s">
        <v>97</v>
      </c>
      <c r="C7" s="2" t="s">
        <v>98</v>
      </c>
      <c r="D7" s="31" t="b">
        <v>1</v>
      </c>
      <c r="E7" s="2"/>
      <c r="F7" s="2"/>
      <c r="H7" s="8" t="s">
        <v>41</v>
      </c>
      <c r="I7" s="32"/>
      <c r="J7" s="184" t="str">
        <f>IF(UNNH0030_H_SEIKYUSAKI_CD="","",UNNH0030_H_SEIKYUSAKI_MEI)</f>
        <v/>
      </c>
      <c r="K7" s="185"/>
      <c r="L7" s="186"/>
      <c r="N7" s="8" t="s">
        <v>583</v>
      </c>
      <c r="O7" s="107"/>
      <c r="Q7" s="8" t="s">
        <v>46</v>
      </c>
      <c r="R7" s="106"/>
    </row>
    <row r="8" spans="1:18" s="21" customFormat="1" x14ac:dyDescent="0.15">
      <c r="A8" s="2"/>
      <c r="B8" s="2" t="s">
        <v>99</v>
      </c>
      <c r="C8" s="2" t="s">
        <v>100</v>
      </c>
      <c r="D8" s="33" t="b">
        <v>0</v>
      </c>
      <c r="E8" s="2"/>
      <c r="F8" s="2"/>
      <c r="H8" s="3" t="s">
        <v>21</v>
      </c>
      <c r="I8" s="187"/>
      <c r="J8" s="188"/>
      <c r="K8" s="188"/>
      <c r="L8" s="189"/>
      <c r="N8" s="8" t="s">
        <v>575</v>
      </c>
      <c r="O8" s="205"/>
      <c r="P8" s="205"/>
      <c r="Q8" s="8" t="s">
        <v>61</v>
      </c>
      <c r="R8" s="106"/>
    </row>
    <row r="9" spans="1:18" s="21" customFormat="1" x14ac:dyDescent="0.15">
      <c r="A9" s="2"/>
      <c r="B9" s="2"/>
      <c r="C9" s="2"/>
      <c r="D9" s="2"/>
      <c r="E9" s="2"/>
      <c r="F9" s="2"/>
      <c r="I9" s="190"/>
      <c r="J9" s="191"/>
      <c r="K9" s="191"/>
      <c r="L9" s="192"/>
      <c r="N9" s="8" t="s">
        <v>101</v>
      </c>
      <c r="O9" s="196"/>
      <c r="P9" s="197"/>
      <c r="Q9" s="197"/>
      <c r="R9" s="198"/>
    </row>
    <row r="10" spans="1:18" s="21" customFormat="1" x14ac:dyDescent="0.15">
      <c r="A10" s="2"/>
      <c r="B10" s="2"/>
      <c r="C10" s="2"/>
      <c r="D10" s="2" t="s">
        <v>567</v>
      </c>
      <c r="E10" s="2"/>
      <c r="F10" s="2"/>
      <c r="I10" s="190"/>
      <c r="J10" s="191"/>
      <c r="K10" s="191"/>
      <c r="L10" s="192"/>
      <c r="N10" s="3" t="s">
        <v>63</v>
      </c>
      <c r="O10" s="199"/>
      <c r="P10" s="200"/>
      <c r="Q10" s="200"/>
      <c r="R10" s="201"/>
    </row>
    <row r="11" spans="1:18" s="21" customFormat="1" x14ac:dyDescent="0.15">
      <c r="A11" s="2"/>
      <c r="B11" s="2" t="s">
        <v>92</v>
      </c>
      <c r="C11" s="2" t="s">
        <v>102</v>
      </c>
      <c r="D11" s="31"/>
      <c r="E11" s="2"/>
      <c r="F11" s="2"/>
      <c r="I11" s="193"/>
      <c r="J11" s="194"/>
      <c r="K11" s="194"/>
      <c r="L11" s="195"/>
      <c r="N11" s="3"/>
      <c r="O11" s="202"/>
      <c r="P11" s="203"/>
      <c r="Q11" s="203"/>
      <c r="R11" s="204"/>
    </row>
    <row r="12" spans="1:18" s="21" customFormat="1" x14ac:dyDescent="0.15">
      <c r="A12" s="2"/>
      <c r="B12" s="2" t="s">
        <v>64</v>
      </c>
      <c r="C12" s="2" t="s">
        <v>103</v>
      </c>
      <c r="D12" s="92"/>
      <c r="E12" s="2"/>
      <c r="F12" s="2"/>
      <c r="H12" s="24"/>
      <c r="I12" s="3"/>
    </row>
    <row r="13" spans="1:18" s="21" customFormat="1" x14ac:dyDescent="0.15">
      <c r="A13" s="2"/>
      <c r="B13" s="2" t="s">
        <v>600</v>
      </c>
      <c r="C13" s="2" t="s">
        <v>601</v>
      </c>
      <c r="D13" s="92"/>
      <c r="E13" s="2"/>
      <c r="F13" s="2"/>
      <c r="H13" s="8" t="s">
        <v>106</v>
      </c>
      <c r="I13" s="175"/>
      <c r="J13" s="176"/>
      <c r="K13" s="177"/>
      <c r="L13" s="34"/>
      <c r="Q13" s="3" t="s">
        <v>51</v>
      </c>
    </row>
    <row r="14" spans="1:18" s="21" customFormat="1" x14ac:dyDescent="0.15">
      <c r="A14" s="2"/>
      <c r="B14" s="2" t="s">
        <v>104</v>
      </c>
      <c r="C14" s="2" t="s">
        <v>105</v>
      </c>
      <c r="D14" s="92"/>
      <c r="E14" s="2"/>
      <c r="F14" s="2"/>
      <c r="H14" s="3" t="s">
        <v>605</v>
      </c>
      <c r="I14" s="180"/>
      <c r="J14" s="181"/>
      <c r="P14" s="3" t="s">
        <v>23</v>
      </c>
      <c r="Q14" s="178"/>
      <c r="R14" s="179"/>
    </row>
    <row r="15" spans="1:18" s="21" customFormat="1" x14ac:dyDescent="0.15">
      <c r="A15" s="2"/>
      <c r="B15" s="2" t="s">
        <v>0</v>
      </c>
      <c r="C15" s="2" t="s">
        <v>109</v>
      </c>
      <c r="D15" s="93"/>
      <c r="E15" s="2"/>
      <c r="F15" s="2"/>
      <c r="H15" s="3" t="s">
        <v>22</v>
      </c>
      <c r="I15" s="35"/>
      <c r="K15" s="3"/>
      <c r="P15" s="3" t="s">
        <v>25</v>
      </c>
      <c r="Q15" s="178"/>
      <c r="R15" s="179"/>
    </row>
    <row r="16" spans="1:18" s="21" customFormat="1" x14ac:dyDescent="0.15">
      <c r="A16" s="2"/>
      <c r="B16" s="2" t="s">
        <v>110</v>
      </c>
      <c r="C16" s="2" t="s">
        <v>111</v>
      </c>
      <c r="D16" s="94"/>
      <c r="E16" s="2"/>
      <c r="F16" s="2"/>
      <c r="H16" s="3" t="s">
        <v>24</v>
      </c>
      <c r="I16" s="174"/>
      <c r="J16" s="174"/>
      <c r="K16" s="174"/>
      <c r="L16" s="174"/>
      <c r="M16" s="174"/>
      <c r="N16" s="174"/>
      <c r="O16" s="174"/>
    </row>
    <row r="17" spans="1:18" s="21" customFormat="1" x14ac:dyDescent="0.15">
      <c r="A17" s="2"/>
      <c r="B17" s="2" t="s">
        <v>118</v>
      </c>
      <c r="C17" s="2" t="s">
        <v>119</v>
      </c>
      <c r="D17" s="14"/>
      <c r="E17" s="2"/>
      <c r="F17" s="2"/>
      <c r="H17" s="3" t="s">
        <v>26</v>
      </c>
      <c r="I17" s="174"/>
      <c r="J17" s="174"/>
      <c r="K17" s="174"/>
      <c r="L17" s="174"/>
      <c r="M17" s="174"/>
      <c r="N17" s="174"/>
      <c r="O17" s="174"/>
      <c r="P17" s="3" t="s">
        <v>114</v>
      </c>
      <c r="Q17" s="144"/>
      <c r="R17" s="145"/>
    </row>
    <row r="18" spans="1:18" s="21" customFormat="1" x14ac:dyDescent="0.15">
      <c r="A18" s="2"/>
      <c r="B18" s="2" t="s">
        <v>593</v>
      </c>
      <c r="C18" s="2" t="s">
        <v>594</v>
      </c>
      <c r="D18" s="14"/>
      <c r="E18" s="2"/>
      <c r="F18" s="2"/>
      <c r="I18" s="6" t="s">
        <v>6</v>
      </c>
      <c r="J18" s="6" t="s">
        <v>1</v>
      </c>
      <c r="K18" s="6" t="s">
        <v>7</v>
      </c>
      <c r="L18" s="6" t="s">
        <v>8</v>
      </c>
      <c r="M18" s="6" t="s">
        <v>9</v>
      </c>
      <c r="N18" s="6" t="s">
        <v>27</v>
      </c>
      <c r="O18" s="6" t="s">
        <v>28</v>
      </c>
      <c r="Q18" s="146"/>
      <c r="R18" s="147"/>
    </row>
    <row r="19" spans="1:18" s="21" customFormat="1" x14ac:dyDescent="0.15">
      <c r="A19" s="2"/>
      <c r="B19" s="2" t="s">
        <v>115</v>
      </c>
      <c r="C19" s="2" t="s">
        <v>116</v>
      </c>
      <c r="D19" s="95"/>
      <c r="E19" s="2"/>
      <c r="F19" s="2"/>
      <c r="I19" s="36">
        <f>UNNH0030_H_TAX_RATE</f>
        <v>0</v>
      </c>
      <c r="J19" s="37">
        <f ca="1">IF(UNNH0030_B_GYO_COUNT=0,0,
IF(UNNH0030_H_SEIKYUSAKI_HASU=1,ROUNDDOWN(SUM(OFFSET(UNNH0030_B_HAMBAI_KINGAKU,1,0,UNNH0030_B_GYO_COUNT)),0),
IF(UNNH0030_H_SEIKYUSAKI_HASU=2,ROUNDUP(SUM(OFFSET(UNNH0030_B_HAMBAI_KINGAKU,1,0,UNNH0030_B_GYO_COUNT)),0),
ROUND(SUM(OFFSET(UNNH0030_B_HAMBAI_KINGAKU,1,0,UNNH0030_B_GYO_COUNT)),0))))</f>
        <v>0</v>
      </c>
      <c r="K19" s="37">
        <f ca="1">IF(UNNH0030_B_GYO_COUNT=0,0,
IF(UNNH0030_H_TAX_KBN=3,SUMIF(OFFSET(UNNH0030_B_ROW_KBN,1,0,UNNH0030_B_GYO_COUNT),"&lt;&gt;2",OFFSET(UNNH0030_B_TAX,1,0,UNNH0030_B_GYO_COUNT)),
ROUNDDOWN(UNNH0030_H_NUKI_TOTAL*UNNH0030_H_TAX_RATE,0)))</f>
        <v>0</v>
      </c>
      <c r="L19" s="38">
        <f>IF(UNNH0030_B_GYO_COUNT=0,0,UNNH0030_H_NUKI_TOTAL+UNNH0030_H_TAX)</f>
        <v>0</v>
      </c>
      <c r="M19" s="38">
        <f ca="1">IF(UNNH0030_B_GYO_COUNT=0,0,ROUND(SUM(OFFSET(UNNH0030_B_GENKA_KINGAKU,1,0,UNNH0030_B_GYO_COUNT)),0))</f>
        <v>0</v>
      </c>
      <c r="N19" s="38">
        <f>IF(UNNH0030_B_GYO_COUNT=0,0,UNNH0030_H_NUKI_TOTAL-UNNH0030_H_GENKA_TOTAL)</f>
        <v>0</v>
      </c>
      <c r="O19" s="39">
        <f>IF(UNNH0030_B_GYO_COUNT=0,0,IF(ISERROR(UNNH0030_H_ARARIEKI/UNNH0030_H_NUKI_TOTAL)=TRUE,0,UNNH0030_H_ARARIEKI/UNNH0030_H_NUKI_TOTAL))</f>
        <v>0</v>
      </c>
      <c r="Q19" s="148"/>
      <c r="R19" s="149"/>
    </row>
    <row r="20" spans="1:18" s="21" customFormat="1" x14ac:dyDescent="0.15">
      <c r="A20" s="2"/>
      <c r="B20" s="2" t="s">
        <v>112</v>
      </c>
      <c r="C20" s="2" t="s">
        <v>113</v>
      </c>
      <c r="D20" s="15">
        <f ca="1">IF(UNNH0030_H_RENDO_KBN="",IF(UNNH0030_H_SAKI_URIAGE_NO="",2,1),
VLOOKUP(UNNH0030_H_RENDO_KBN,OFFSET(UNNH0030_IF_LIST_RENDO_KBN_START,0,0,UNNH0030_IF_LIST_RENDO_KBN_KENSU,2),2,0))</f>
        <v>2</v>
      </c>
      <c r="E20" s="2"/>
      <c r="F20" s="2"/>
    </row>
    <row r="21" spans="1:18" x14ac:dyDescent="0.15">
      <c r="B21" s="2" t="s">
        <v>107</v>
      </c>
      <c r="C21" s="2" t="s">
        <v>108</v>
      </c>
      <c r="D21" s="15" t="str">
        <f ca="1">IF(UNNH0030_H_DEMPYO_KBN="","",VLOOKUP(UNNH0030_H_DEMPYO_KBN,OFFSET(UNNH0030_IF_LIST_DEMPYO_KBN_START,0,0,UNNH0030_IF_LIST_DEMPYO_KBN_KENSU,2),2,0))</f>
        <v/>
      </c>
    </row>
    <row r="22" spans="1:18" x14ac:dyDescent="0.15">
      <c r="B22" s="2" t="s">
        <v>585</v>
      </c>
      <c r="C22" s="2" t="s">
        <v>584</v>
      </c>
      <c r="D22" s="15" t="str">
        <f ca="1">IF(UNNH0030_H_DENKU="","",VLOOKUP(UNNH0030_H_DENKU,OFFSET(UNNH0030_IF_LIST_DENKU_START,0,0,UNNH0030_IF_LIST_DENKU_KENSU,2),2,0))</f>
        <v/>
      </c>
    </row>
    <row r="23" spans="1:18" x14ac:dyDescent="0.15">
      <c r="B23" s="2" t="s">
        <v>576</v>
      </c>
      <c r="C23" s="2" t="s">
        <v>577</v>
      </c>
      <c r="D23" s="15" t="str">
        <f ca="1">IF(UNNH0030_H_KANJO_KAMOKU="","",VLOOKUP(UNNH0030_H_KANJO_KAMOKU,OFFSET(UNNH0030_IF_LIST_KANJO_KAMOKU_START,0,0,UNNH0030_IF_LIST_KANJO_KAMOKU_KENSU,2),2,0))</f>
        <v/>
      </c>
    </row>
    <row r="25" spans="1:18" x14ac:dyDescent="0.15">
      <c r="B25" s="2" t="s">
        <v>6</v>
      </c>
      <c r="C25" s="2" t="s">
        <v>117</v>
      </c>
      <c r="D25" s="40"/>
    </row>
    <row r="28" spans="1:18" x14ac:dyDescent="0.15">
      <c r="B28" s="2" t="s">
        <v>67</v>
      </c>
      <c r="C28" s="2" t="s">
        <v>120</v>
      </c>
      <c r="D28" s="14"/>
    </row>
    <row r="29" spans="1:18" x14ac:dyDescent="0.15">
      <c r="B29" s="2" t="s">
        <v>121</v>
      </c>
      <c r="C29" s="2" t="s">
        <v>122</v>
      </c>
      <c r="D29" s="14"/>
    </row>
    <row r="30" spans="1:18" x14ac:dyDescent="0.15">
      <c r="B30" s="2" t="s">
        <v>69</v>
      </c>
      <c r="C30" s="2" t="s">
        <v>123</v>
      </c>
      <c r="D30" s="14">
        <f>UNNH0030_H_PAGE_NO-1</f>
        <v>-1</v>
      </c>
    </row>
    <row r="31" spans="1:18" x14ac:dyDescent="0.15">
      <c r="B31" s="2" t="s">
        <v>68</v>
      </c>
      <c r="C31" s="2" t="s">
        <v>124</v>
      </c>
      <c r="D31" s="14">
        <f>UNNH0030_H_PAGE_NO+1</f>
        <v>1</v>
      </c>
    </row>
    <row r="33" spans="2:4" x14ac:dyDescent="0.15">
      <c r="B33" s="109" t="s">
        <v>16</v>
      </c>
      <c r="C33" s="110"/>
    </row>
    <row r="35" spans="2:4" x14ac:dyDescent="0.15">
      <c r="B35" s="2" t="s">
        <v>616</v>
      </c>
      <c r="C35" s="2" t="s">
        <v>617</v>
      </c>
      <c r="D35" s="14"/>
    </row>
  </sheetData>
  <sheetProtection selectLockedCells="1"/>
  <mergeCells count="13">
    <mergeCell ref="Q17:R19"/>
    <mergeCell ref="L5:M5"/>
    <mergeCell ref="J7:L7"/>
    <mergeCell ref="I8:L11"/>
    <mergeCell ref="O9:R9"/>
    <mergeCell ref="O10:R11"/>
    <mergeCell ref="I13:K13"/>
    <mergeCell ref="Q14:R14"/>
    <mergeCell ref="I16:O16"/>
    <mergeCell ref="Q15:R15"/>
    <mergeCell ref="I17:O17"/>
    <mergeCell ref="I14:J14"/>
    <mergeCell ref="O8:P8"/>
  </mergeCells>
  <phoneticPr fontId="1"/>
  <dataValidations disablePrompts="1" count="12">
    <dataValidation type="custom" allowBlank="1" showInputMessage="1" showErrorMessage="1" sqref="O9:R9">
      <formula1>LENB(O9)&lt;=50</formula1>
    </dataValidation>
    <dataValidation type="list" allowBlank="1" showInputMessage="1" showErrorMessage="1" sqref="L13">
      <formula1>UNNH0030_IF_LIST_KEISHO_KBN</formula1>
    </dataValidation>
    <dataValidation type="list" allowBlank="1" showInputMessage="1" showErrorMessage="1" sqref="R7">
      <formula1>UNNH0030_IF_LIST_DEMPYO_KBN</formula1>
    </dataValidation>
    <dataValidation type="custom" allowBlank="1" showInputMessage="1" showErrorMessage="1" sqref="Q17:R19">
      <formula1>LENB(Q17)&lt;=80</formula1>
    </dataValidation>
    <dataValidation type="custom" allowBlank="1" showInputMessage="1" showErrorMessage="1" sqref="I14:J14">
      <formula1>LENB(I14)&lt;=40</formula1>
    </dataValidation>
    <dataValidation type="custom" allowBlank="1" showInputMessage="1" showErrorMessage="1" sqref="Q14:R15">
      <formula1>AND(LEN(Q14)=LENB(Q14),LEN(Q14)&lt;=13)</formula1>
    </dataValidation>
    <dataValidation type="custom" allowBlank="1" showInputMessage="1" showErrorMessage="1" sqref="I15">
      <formula1>AND(LEN(I15)=LENB(I15),LEN(I15)&lt;=8)</formula1>
    </dataValidation>
    <dataValidation type="custom" allowBlank="1" showInputMessage="1" showErrorMessage="1" sqref="I13:K13">
      <formula1>LEN(I13)&lt;=50</formula1>
    </dataValidation>
    <dataValidation type="custom" allowBlank="1" showInputMessage="1" showErrorMessage="1" sqref="O10:R11 I16:O17">
      <formula1>LENB(I10)&lt;=100</formula1>
    </dataValidation>
    <dataValidation type="list" allowBlank="1" showInputMessage="1" showErrorMessage="1" sqref="R8">
      <formula1>UNNH0030_IF_LIST_RENDO_KBN</formula1>
    </dataValidation>
    <dataValidation type="list" allowBlank="1" showInputMessage="1" showErrorMessage="1" sqref="O8">
      <formula1>UNNH0030_IF_LIST_KANJO_KAMOKU</formula1>
    </dataValidation>
    <dataValidation type="list" allowBlank="1" showInputMessage="1" showErrorMessage="1" sqref="O7">
      <formula1>UNNH0030_IF_LIST_DENKU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6897" r:id="rId4" name="Check Box 1">
              <controlPr defaultSize="0" autoFill="0" autoLine="0" autoPict="0">
                <anchor moveWithCells="1">
                  <from>
                    <xdr:col>16</xdr:col>
                    <xdr:colOff>1009650</xdr:colOff>
                    <xdr:row>5</xdr:row>
                    <xdr:rowOff>19050</xdr:rowOff>
                  </from>
                  <to>
                    <xdr:col>17</xdr:col>
                    <xdr:colOff>133350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98" r:id="rId5" name="Check Box 2">
              <controlPr defaultSize="0" autoFill="0" autoLine="0" autoPict="0">
                <anchor moveWithCells="1">
                  <from>
                    <xdr:col>16</xdr:col>
                    <xdr:colOff>1009650</xdr:colOff>
                    <xdr:row>12</xdr:row>
                    <xdr:rowOff>19050</xdr:rowOff>
                  </from>
                  <to>
                    <xdr:col>17</xdr:col>
                    <xdr:colOff>133350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FFC000"/>
  </sheetPr>
  <dimension ref="A1:Z51"/>
  <sheetViews>
    <sheetView zoomScaleNormal="100" workbookViewId="0">
      <selection activeCell="C35" sqref="C35"/>
    </sheetView>
  </sheetViews>
  <sheetFormatPr defaultRowHeight="16.5" x14ac:dyDescent="0.15"/>
  <cols>
    <col min="1" max="1" width="9" style="2" customWidth="1"/>
    <col min="2" max="2" width="16.875" style="2" customWidth="1"/>
    <col min="3" max="3" width="34.125" style="2" customWidth="1"/>
    <col min="4" max="5" width="9" style="2" customWidth="1"/>
    <col min="6" max="7" width="3.375" style="41" customWidth="1"/>
    <col min="8" max="9" width="6.375" style="41" customWidth="1"/>
    <col min="10" max="10" width="11.125" style="41" bestFit="1" customWidth="1"/>
    <col min="11" max="11" width="31.25" style="116" customWidth="1"/>
    <col min="12" max="12" width="8.25" style="41" bestFit="1" customWidth="1"/>
    <col min="13" max="13" width="7.125" style="116" customWidth="1"/>
    <col min="14" max="14" width="11.125" style="41" bestFit="1" customWidth="1"/>
    <col min="15" max="15" width="15.25" style="41" bestFit="1" customWidth="1"/>
    <col min="16" max="16" width="25" style="116" customWidth="1"/>
    <col min="17" max="17" width="11.25" style="41" customWidth="1"/>
    <col min="18" max="18" width="11.125" style="41" bestFit="1" customWidth="1"/>
    <col min="19" max="19" width="6.375" style="41" bestFit="1" customWidth="1"/>
    <col min="20" max="20" width="8" style="41" customWidth="1"/>
    <col min="21" max="21" width="8" style="116" customWidth="1"/>
    <col min="22" max="22" width="6.375" style="41" bestFit="1" customWidth="1"/>
    <col min="23" max="23" width="6.25" style="116" customWidth="1"/>
    <col min="24" max="24" width="11.125" style="41" bestFit="1" customWidth="1"/>
    <col min="25" max="25" width="6.375" style="41" bestFit="1" customWidth="1"/>
    <col min="26" max="26" width="11.25" style="41" customWidth="1"/>
    <col min="27" max="27" width="3.75" style="41" customWidth="1"/>
    <col min="28" max="16384" width="9" style="41"/>
  </cols>
  <sheetData>
    <row r="1" ht="4.5" customHeight="1" x14ac:dyDescent="0.15"/>
    <row r="2" ht="4.5" customHeight="1" x14ac:dyDescent="0.15"/>
    <row r="3" ht="4.5" customHeight="1" x14ac:dyDescent="0.15"/>
    <row r="4" ht="4.5" customHeight="1" x14ac:dyDescent="0.15"/>
    <row r="5" ht="4.5" customHeight="1" x14ac:dyDescent="0.15"/>
    <row r="6" ht="4.5" customHeight="1" x14ac:dyDescent="0.15"/>
    <row r="7" ht="4.5" customHeight="1" x14ac:dyDescent="0.15"/>
    <row r="8" ht="4.5" customHeight="1" x14ac:dyDescent="0.15"/>
    <row r="9" ht="4.5" customHeight="1" x14ac:dyDescent="0.15"/>
    <row r="10" ht="4.5" customHeight="1" x14ac:dyDescent="0.15"/>
    <row r="11" ht="4.5" customHeight="1" x14ac:dyDescent="0.15"/>
    <row r="12" ht="4.5" customHeight="1" x14ac:dyDescent="0.15"/>
    <row r="13" ht="4.5" customHeight="1" x14ac:dyDescent="0.15"/>
    <row r="14" ht="4.5" customHeight="1" x14ac:dyDescent="0.15"/>
    <row r="15" ht="4.5" customHeight="1" x14ac:dyDescent="0.15"/>
    <row r="16" ht="4.5" customHeight="1" x14ac:dyDescent="0.15"/>
    <row r="17" spans="1:26" ht="4.5" customHeight="1" x14ac:dyDescent="0.15"/>
    <row r="18" spans="1:26" ht="4.5" customHeight="1" x14ac:dyDescent="0.15"/>
    <row r="19" spans="1:26" ht="4.5" customHeight="1" x14ac:dyDescent="0.15"/>
    <row r="20" spans="1:26" ht="4.5" customHeight="1" x14ac:dyDescent="0.15"/>
    <row r="21" spans="1:26" ht="4.5" customHeight="1" x14ac:dyDescent="0.15"/>
    <row r="22" spans="1:26" s="21" customFormat="1" x14ac:dyDescent="0.15">
      <c r="A22" s="2"/>
      <c r="B22" s="12" t="s">
        <v>70</v>
      </c>
      <c r="C22" s="13" t="s">
        <v>125</v>
      </c>
      <c r="D22" s="15" t="str">
        <f>ROW(A1)&amp;":"&amp;ROW(A21)</f>
        <v>1:21</v>
      </c>
      <c r="E22" s="2"/>
      <c r="F22" s="42"/>
      <c r="G22" s="23" t="s">
        <v>10</v>
      </c>
      <c r="H22" s="43" t="s">
        <v>126</v>
      </c>
      <c r="I22" s="43" t="s">
        <v>595</v>
      </c>
      <c r="J22" s="44" t="s">
        <v>15</v>
      </c>
      <c r="K22" s="117" t="s">
        <v>11</v>
      </c>
      <c r="L22" s="44" t="s">
        <v>48</v>
      </c>
      <c r="M22" s="117" t="s">
        <v>50</v>
      </c>
      <c r="N22" s="44" t="s">
        <v>35</v>
      </c>
      <c r="O22" s="23" t="s">
        <v>29</v>
      </c>
      <c r="P22" s="117" t="s">
        <v>12</v>
      </c>
      <c r="Q22" s="23" t="s">
        <v>14</v>
      </c>
      <c r="R22" s="23" t="s">
        <v>42</v>
      </c>
      <c r="S22" s="23" t="s">
        <v>30</v>
      </c>
      <c r="T22" s="23" t="s">
        <v>31</v>
      </c>
      <c r="U22" s="117" t="s">
        <v>127</v>
      </c>
      <c r="V22" s="23" t="s">
        <v>32</v>
      </c>
      <c r="W22" s="117" t="s">
        <v>49</v>
      </c>
      <c r="X22" s="23" t="s">
        <v>33</v>
      </c>
      <c r="Y22" s="23" t="s">
        <v>13</v>
      </c>
      <c r="Z22" s="23" t="s">
        <v>2</v>
      </c>
    </row>
    <row r="23" spans="1:26" s="21" customFormat="1" x14ac:dyDescent="0.15">
      <c r="A23" s="2"/>
      <c r="B23" s="12" t="s">
        <v>65</v>
      </c>
      <c r="C23" s="13" t="s">
        <v>128</v>
      </c>
      <c r="D23" s="15" t="str">
        <f>ADDRESS(ROW(A1),COLUMN(A1))&amp;":"&amp;ADDRESS(ROW(E1),COLUMN(E1))&amp;","&amp;ADDRESS(ROW(UNNH0030_B_ROW_KBN),COLUMN(UNNH0030_B_ROW_KBN))&amp;","&amp;ADDRESS(ROW(UNNH0030_B_TAX),COLUMN(UNNH0030_B_TAX))&amp;","&amp;ADDRESS(ROW(UNNH0030_B_GENKA_SURYO),COLUMN(UNNH0030_B_GENKA_SURYO))</f>
        <v>$A$1:$E$1,$H$22,$I$22,$T$22</v>
      </c>
      <c r="E23" s="2"/>
      <c r="K23" s="118"/>
      <c r="L23" s="45"/>
      <c r="M23" s="119"/>
      <c r="P23" s="119"/>
      <c r="U23" s="119"/>
      <c r="W23" s="119"/>
    </row>
    <row r="24" spans="1:26" s="21" customFormat="1" x14ac:dyDescent="0.15">
      <c r="A24" s="2"/>
      <c r="B24" s="2"/>
      <c r="C24" s="2"/>
      <c r="D24" s="2"/>
      <c r="E24" s="2"/>
      <c r="G24" s="41"/>
      <c r="H24" s="41"/>
      <c r="I24" s="41"/>
      <c r="J24" s="41"/>
      <c r="K24" s="116"/>
      <c r="L24" s="41"/>
      <c r="M24" s="116"/>
      <c r="N24" s="41"/>
      <c r="O24" s="41"/>
      <c r="P24" s="116"/>
      <c r="Q24" s="41"/>
      <c r="R24" s="41"/>
      <c r="S24" s="41"/>
      <c r="T24" s="41"/>
      <c r="U24" s="116"/>
      <c r="V24" s="41"/>
      <c r="W24" s="116"/>
      <c r="X24" s="41"/>
      <c r="Y24" s="41"/>
      <c r="Z24" s="41"/>
    </row>
    <row r="25" spans="1:26" s="21" customFormat="1" x14ac:dyDescent="0.15">
      <c r="A25" s="2"/>
      <c r="B25" s="12" t="s">
        <v>71</v>
      </c>
      <c r="C25" s="13" t="s">
        <v>129</v>
      </c>
      <c r="D25" s="14" t="str">
        <f>ADDRESS(ROW(UNNH0030_B_SURYO)+1,COLUMN(UNNH0030_B_SURYO))</f>
        <v>$L$23</v>
      </c>
      <c r="E25" s="2"/>
      <c r="G25" s="41"/>
      <c r="H25" s="41"/>
      <c r="I25" s="41"/>
      <c r="J25" s="41"/>
      <c r="K25" s="116"/>
      <c r="L25" s="41"/>
      <c r="M25" s="116"/>
      <c r="N25" s="41"/>
      <c r="O25" s="41"/>
      <c r="P25" s="116"/>
      <c r="Q25" s="41"/>
      <c r="R25" s="41"/>
      <c r="S25" s="41"/>
      <c r="T25" s="41"/>
      <c r="U25" s="116"/>
      <c r="V25" s="41"/>
      <c r="W25" s="116"/>
      <c r="X25" s="41"/>
      <c r="Y25" s="41"/>
      <c r="Z25" s="41"/>
    </row>
    <row r="26" spans="1:26" s="21" customFormat="1" x14ac:dyDescent="0.15">
      <c r="A26" s="2"/>
      <c r="B26" s="2"/>
      <c r="C26" s="2"/>
      <c r="D26" s="2"/>
      <c r="E26" s="2"/>
      <c r="G26" s="41"/>
      <c r="H26" s="41"/>
      <c r="I26" s="41"/>
      <c r="J26" s="41"/>
      <c r="K26" s="116"/>
      <c r="L26" s="41"/>
      <c r="M26" s="116"/>
      <c r="N26" s="41"/>
      <c r="O26" s="41"/>
      <c r="P26" s="116"/>
      <c r="Q26" s="41"/>
      <c r="R26" s="41"/>
      <c r="S26" s="41"/>
      <c r="T26" s="41"/>
      <c r="U26" s="116"/>
      <c r="V26" s="41"/>
      <c r="W26" s="116"/>
      <c r="X26" s="41"/>
      <c r="Y26" s="41"/>
      <c r="Z26" s="41"/>
    </row>
    <row r="27" spans="1:26" s="21" customFormat="1" x14ac:dyDescent="0.15">
      <c r="A27" s="2"/>
      <c r="B27" s="12" t="s">
        <v>93</v>
      </c>
      <c r="C27" s="13" t="s">
        <v>130</v>
      </c>
      <c r="D27" s="14" t="str">
        <f>ADDRESS(ROW(UNNH0030_B_GYO)+1,COLUMN(UNNH0030_B_GYO))</f>
        <v>$G$23</v>
      </c>
      <c r="E27" s="2"/>
      <c r="G27" s="41"/>
      <c r="H27" s="41"/>
      <c r="I27" s="41"/>
      <c r="J27" s="41"/>
      <c r="K27" s="116"/>
      <c r="L27" s="41"/>
      <c r="M27" s="116"/>
      <c r="N27" s="41"/>
      <c r="O27" s="41"/>
      <c r="P27" s="116"/>
      <c r="Q27" s="41"/>
      <c r="R27" s="41"/>
      <c r="S27" s="41"/>
      <c r="T27" s="41"/>
      <c r="U27" s="116"/>
      <c r="V27" s="41"/>
      <c r="W27" s="116"/>
      <c r="X27" s="41"/>
      <c r="Y27" s="41"/>
      <c r="Z27" s="41"/>
    </row>
    <row r="28" spans="1:26" s="21" customFormat="1" x14ac:dyDescent="0.15">
      <c r="A28" s="2"/>
      <c r="B28" s="2"/>
      <c r="C28" s="2"/>
      <c r="D28" s="2"/>
      <c r="E28" s="2"/>
      <c r="G28" s="41"/>
      <c r="H28" s="41"/>
      <c r="I28" s="41"/>
      <c r="J28" s="41"/>
      <c r="K28" s="116"/>
      <c r="L28" s="41"/>
      <c r="M28" s="116"/>
      <c r="N28" s="41"/>
      <c r="O28" s="41"/>
      <c r="P28" s="116"/>
      <c r="Q28" s="41"/>
      <c r="R28" s="41"/>
      <c r="S28" s="41"/>
      <c r="T28" s="41"/>
      <c r="U28" s="116"/>
      <c r="V28" s="41"/>
      <c r="W28" s="116"/>
      <c r="X28" s="41"/>
      <c r="Y28" s="41"/>
      <c r="Z28" s="41"/>
    </row>
    <row r="29" spans="1:26" s="21" customFormat="1" x14ac:dyDescent="0.15">
      <c r="A29" s="2"/>
      <c r="B29" s="12" t="s">
        <v>131</v>
      </c>
      <c r="C29" s="13" t="s">
        <v>132</v>
      </c>
      <c r="D29" s="14"/>
      <c r="E29" s="2"/>
      <c r="G29" s="41"/>
      <c r="H29" s="41"/>
      <c r="I29" s="41"/>
      <c r="J29" s="41"/>
      <c r="K29" s="116"/>
      <c r="L29" s="41"/>
      <c r="M29" s="116"/>
      <c r="N29" s="41"/>
      <c r="O29" s="41"/>
      <c r="P29" s="116"/>
      <c r="Q29" s="41"/>
      <c r="R29" s="41"/>
      <c r="S29" s="41"/>
      <c r="T29" s="41"/>
      <c r="U29" s="116"/>
      <c r="V29" s="41"/>
      <c r="W29" s="116"/>
      <c r="X29" s="41"/>
      <c r="Y29" s="41"/>
      <c r="Z29" s="41"/>
    </row>
    <row r="30" spans="1:26" s="21" customFormat="1" x14ac:dyDescent="0.15">
      <c r="A30" s="2"/>
      <c r="B30" s="12" t="s">
        <v>133</v>
      </c>
      <c r="C30" s="13" t="s">
        <v>134</v>
      </c>
      <c r="D30" s="14">
        <f>UNNH0030_B_GYO_COUNT+1</f>
        <v>1</v>
      </c>
      <c r="E30" s="2"/>
      <c r="G30" s="41"/>
      <c r="H30" s="41"/>
      <c r="I30" s="41"/>
      <c r="J30" s="41"/>
      <c r="K30" s="116"/>
      <c r="L30" s="41"/>
      <c r="M30" s="116"/>
      <c r="N30" s="41"/>
      <c r="O30" s="41"/>
      <c r="P30" s="116"/>
      <c r="Q30" s="41"/>
      <c r="R30" s="41"/>
      <c r="S30" s="41"/>
      <c r="T30" s="41"/>
      <c r="U30" s="116"/>
      <c r="V30" s="41"/>
      <c r="W30" s="116"/>
      <c r="X30" s="41"/>
      <c r="Y30" s="41"/>
      <c r="Z30" s="41"/>
    </row>
    <row r="31" spans="1:26" s="21" customFormat="1" x14ac:dyDescent="0.15">
      <c r="A31" s="2"/>
      <c r="B31" s="12" t="s">
        <v>135</v>
      </c>
      <c r="C31" s="13" t="s">
        <v>136</v>
      </c>
      <c r="D31" s="14">
        <f>UNNH0030_B_GYO_COUNT-1</f>
        <v>-1</v>
      </c>
      <c r="E31" s="2"/>
      <c r="G31" s="41"/>
      <c r="H31" s="41"/>
      <c r="I31" s="41"/>
      <c r="J31" s="41"/>
      <c r="K31" s="116"/>
      <c r="L31" s="41"/>
      <c r="M31" s="116"/>
      <c r="N31" s="41"/>
      <c r="O31" s="41"/>
      <c r="P31" s="116"/>
      <c r="Q31" s="41"/>
      <c r="R31" s="41"/>
      <c r="S31" s="41"/>
      <c r="T31" s="41"/>
      <c r="U31" s="116"/>
      <c r="V31" s="41"/>
      <c r="W31" s="116"/>
      <c r="X31" s="41"/>
      <c r="Y31" s="41"/>
      <c r="Z31" s="41"/>
    </row>
    <row r="32" spans="1:26" s="21" customFormat="1" x14ac:dyDescent="0.15">
      <c r="A32" s="2"/>
      <c r="B32" s="2"/>
      <c r="C32" s="2"/>
      <c r="D32" s="2"/>
      <c r="E32" s="2"/>
      <c r="G32" s="41"/>
      <c r="H32" s="41"/>
      <c r="I32" s="41"/>
      <c r="J32" s="41"/>
      <c r="K32" s="116"/>
      <c r="L32" s="41"/>
      <c r="M32" s="116"/>
      <c r="N32" s="41"/>
      <c r="O32" s="41"/>
      <c r="P32" s="116"/>
      <c r="Q32" s="41"/>
      <c r="R32" s="41"/>
      <c r="S32" s="41"/>
      <c r="T32" s="41"/>
      <c r="U32" s="116"/>
      <c r="V32" s="41"/>
      <c r="W32" s="116"/>
      <c r="X32" s="41"/>
      <c r="Y32" s="41"/>
      <c r="Z32" s="41"/>
    </row>
    <row r="33" spans="2:5" x14ac:dyDescent="0.15">
      <c r="B33" s="12" t="s">
        <v>137</v>
      </c>
      <c r="C33" s="13" t="s">
        <v>138</v>
      </c>
      <c r="D33" s="14" t="str">
        <f>IF(UNNH0030_IF_ACTIVE_ROW="","",ADDRESS(UNNH0030_IF_ACTIVE_ROW,COLUMN(UNNH0030_B_SHOHIN_CD)))</f>
        <v>$J$16</v>
      </c>
    </row>
    <row r="34" spans="2:5" x14ac:dyDescent="0.15">
      <c r="B34" s="12" t="s">
        <v>139</v>
      </c>
      <c r="C34" s="13" t="s">
        <v>140</v>
      </c>
      <c r="D34" s="14" t="str">
        <f>IF(UNNH0030_IF_ACTIVE_ROW="","",ADDRESS(UNNH0030_IF_ACTIVE_ROW,COLUMN(UNNH0030_B_SHOHIN_MEI)))</f>
        <v>$K$16</v>
      </c>
    </row>
    <row r="35" spans="2:5" x14ac:dyDescent="0.15">
      <c r="B35" s="12" t="s">
        <v>141</v>
      </c>
      <c r="C35" s="13" t="s">
        <v>142</v>
      </c>
      <c r="D35" s="14" t="str">
        <f>IF(UNNH0030_IF_ACTIVE_ROW="","",ADDRESS(UNNH0030_IF_ACTIVE_ROW,COLUMN(UNNH0030_B_GENTANKA)))</f>
        <v>$R$16</v>
      </c>
    </row>
    <row r="36" spans="2:5" x14ac:dyDescent="0.15">
      <c r="B36" s="12" t="s">
        <v>143</v>
      </c>
      <c r="C36" s="13" t="s">
        <v>144</v>
      </c>
      <c r="D36" s="14" t="str">
        <f>IF(UNNH0030_IF_ACTIVE_ROW="","",ADDRESS(UNNH0030_IF_ACTIVE_ROW,COLUMN(UNNH0030_B_HAMBAI_TANKA)))</f>
        <v>$N$16</v>
      </c>
    </row>
    <row r="37" spans="2:5" x14ac:dyDescent="0.15">
      <c r="B37" s="12" t="s">
        <v>145</v>
      </c>
      <c r="C37" s="13" t="s">
        <v>146</v>
      </c>
      <c r="D37" s="14" t="str">
        <f>IF(UNNH0030_IF_ACTIVE_ROW="","",ADDRESS(UNNH0030_IF_ACTIVE_ROW,COLUMN(UNNH0030_B_TEIKA)))</f>
        <v>$Q$16</v>
      </c>
    </row>
    <row r="38" spans="2:5" x14ac:dyDescent="0.15">
      <c r="B38" s="12" t="s">
        <v>147</v>
      </c>
      <c r="C38" s="13" t="s">
        <v>148</v>
      </c>
      <c r="D38" s="14" t="str">
        <f>IF(UNNH0030_IF_ACTIVE_ROW="","",ADDRESS(UNNH0030_IF_ACTIVE_ROW,COLUMN(UNNH0030_B_TANI)))</f>
        <v>$M$16</v>
      </c>
    </row>
    <row r="39" spans="2:5" x14ac:dyDescent="0.15">
      <c r="B39" s="2" t="s">
        <v>149</v>
      </c>
      <c r="C39" s="2" t="s">
        <v>150</v>
      </c>
      <c r="D39" s="14" t="str">
        <f>IF(UNNH0030_IF_ACTIVE_ROW="","",ADDRESS(UNNH0030_IF_ACTIVE_ROW,COLUMN(UNNH0030_B_IRISU)))</f>
        <v>$S$16</v>
      </c>
    </row>
    <row r="40" spans="2:5" x14ac:dyDescent="0.15">
      <c r="B40" s="2" t="s">
        <v>151</v>
      </c>
      <c r="C40" s="2" t="s">
        <v>152</v>
      </c>
      <c r="D40" s="14" t="str">
        <f>IF(UNNH0030_IF_ACTIVE_ROW="","",ADDRESS(UNNH0030_IF_ACTIVE_ROW,COLUMN(UNNH0030_B_IRISU_TANI)))</f>
        <v>$U$16</v>
      </c>
    </row>
    <row r="41" spans="2:5" x14ac:dyDescent="0.15">
      <c r="B41" s="2" t="s">
        <v>153</v>
      </c>
      <c r="C41" s="2" t="s">
        <v>154</v>
      </c>
      <c r="D41" s="14" t="str">
        <f>IF(UNNH0030_IF_ACTIVE_ROW="","",ADDRESS(UNNH0030_IF_ACTIVE_ROW,COLUMN(UNNH0030_B_BARA_TANI)))</f>
        <v>$W$16</v>
      </c>
    </row>
    <row r="43" spans="2:5" x14ac:dyDescent="0.15">
      <c r="B43" s="12" t="s">
        <v>155</v>
      </c>
      <c r="C43" s="13" t="s">
        <v>156</v>
      </c>
      <c r="D43" s="15">
        <v>1</v>
      </c>
      <c r="E43" s="12" t="s">
        <v>157</v>
      </c>
    </row>
    <row r="44" spans="2:5" x14ac:dyDescent="0.15">
      <c r="B44" s="12" t="s">
        <v>158</v>
      </c>
      <c r="C44" s="13" t="s">
        <v>159</v>
      </c>
      <c r="D44" s="15" t="str">
        <f>"UNNH0030_IF!"&amp;
IF(UNNH0030_B_LIST_INSERT_TYPE=1,ADDRESS(ROW(UNNH0030_IF_COPY_B_MEISAI_SHINKI),COLUMN(UNNH0030_IF_COPY_B_MEISAI_SHINKI))&amp;":"&amp;ADDRESS(ROW(UNNH0030_IF_COPY_B_MEISAI_SHINKI),COLUMN(UNNH0030_IF_COPY_B_MEISAI_SHINKI)+COLUMNS(UNNH0030_IF_COPY_B_MEISAI_SHINKI)-1),
IF(UNNH0030_B_LIST_INSERT_TYPE=2,ADDRESS(ROW(UNNH0030_IF_COPY_B_COMMENT_SHINKI),COLUMN(UNNH0030_IF_COPY_B_COMMENT_SHINKI))&amp;":"&amp;ADDRESS(ROW(UNNH0030_IF_COPY_B_COMMENT_SHINKI),COLUMN(UNNH0030_IF_COPY_B_COMMENT_SHINKI)+COLUMNS(UNNH0030_IF_COPY_B_COMMENT_SHINKI)-1),
IF(UNNH0030_B_LIST_INSERT_TYPE=3,ADDRESS(ROW(UNNH0030_IF_COPY_B_NEBIKI_DIR_SHINKI),COLUMN(UNNH0030_IF_COPY_B_NEBIKI_DIR_SHINKI))&amp;":"&amp;ADDRESS(ROW(UNNH0030_IF_COPY_B_NEBIKI_DIR_SHINKI),COLUMN(UNNH0030_IF_COPY_B_NEBIKI_DIR_SHINKI)+COLUMNS(UNNH0030_IF_COPY_B_NEBIKI_DIR_SHINKI)-1),
"")))</f>
        <v>UNNH0030_IF!$BB$5:$BU$5</v>
      </c>
      <c r="E44" s="19"/>
    </row>
    <row r="45" spans="2:5" x14ac:dyDescent="0.15">
      <c r="B45" s="12" t="s">
        <v>160</v>
      </c>
      <c r="C45" s="13" t="s">
        <v>161</v>
      </c>
      <c r="D45" s="14" t="str">
        <f ca="1">IF(UNNH0030_B_GYO_COUNT=0,"",
ADDRESS(ROW(INDIRECT(UNNH0030_B_LIST_START)),COLUMN(UNNH0030_B_GYO))&amp;":"&amp;
ADDRESS(ROW(INDIRECT(UNNH0030_B_LIST_START))+UNNH0030_B_GYO_COUNT-1,COLUMN(UNNH0030_B_GYO)))</f>
        <v/>
      </c>
    </row>
    <row r="46" spans="2:5" x14ac:dyDescent="0.15">
      <c r="B46" s="12" t="s">
        <v>162</v>
      </c>
      <c r="C46" s="13" t="s">
        <v>163</v>
      </c>
      <c r="D46" s="14" t="str">
        <f>ADDRESS(ROW(UNNH0030_B_GYO)+1,COLUMN(UNNH0030_B_GYO))&amp;":"&amp;
ADDRESS(ROW(UNNH0030_B_GYO)+1+IF(UNNH0030_B_GYO_COUNT=0,UNNH0030_B_GYO_COUNT,UNNH0030_B_GYO_COUNT-1),COLUMN(UNNH0030_B_GYO)+COLUMNS(UNNH0030_IF_COPY_B_LIST_CLEAR)-1)</f>
        <v>$G$23:$Z$23</v>
      </c>
    </row>
    <row r="48" spans="2:5" x14ac:dyDescent="0.15">
      <c r="B48" s="12" t="s">
        <v>164</v>
      </c>
      <c r="C48" s="13" t="s">
        <v>165</v>
      </c>
      <c r="D48" s="14" t="str">
        <f ca="1">IF(OR(UNNH0030_B_GYO_COUNT=0,UNNH0030_IF_ACTIVE_ROW&lt;ROW(INDIRECT(UNNH0030_B_LIST_START))),
"UNNH0030_B!"&amp;ADDRESS(ROW(INDIRECT(UNNH0030_B_LIST_START)),COLUMN(INDIRECT(UNNH0030_B_LIST_START)))&amp;":"&amp;ADDRESS(ROW(INDIRECT(UNNH0030_B_LIST_START)),COLUMN(INDIRECT(UNNH0030_B_LIST_START))+COLUMNS(UNNH0030_IF_COPY_B_MEISAI_SHINKI)-1),
"UNNH0030_B!"&amp;ADDRESS(UNNH0030_IF_ACTIVE_ROW+1,COLUMN(INDIRECT(UNNH0030_B_LIST_START)))&amp;":"&amp;ADDRESS(UNNH0030_IF_ACTIVE_ROW+1,COLUMN(INDIRECT(UNNH0030_B_LIST_START))+COLUMNS(UNNH0030_IF_COPY_B_MEISAI_SHINKI)-1))</f>
        <v>UNNH0030_B!$G$23:$Z$23</v>
      </c>
    </row>
    <row r="49" spans="2:4" x14ac:dyDescent="0.15">
      <c r="B49" s="12" t="s">
        <v>166</v>
      </c>
      <c r="C49" s="13" t="s">
        <v>167</v>
      </c>
      <c r="D49" s="14" t="str">
        <f ca="1">IF(OR(UNNH0030_B_GYO_COUNT=0,UNNH0030_IF_ACTIVE_ROW&lt;ROW(INDIRECT(UNNH0030_B_LIST_START))),
"",
"UNNH0030_B!"&amp;ADDRESS(UNNH0030_IF_ACTIVE_ROW,COLUMN(INDIRECT(UNNH0030_B_LIST_START)))&amp;":"&amp;ADDRESS(UNNH0030_IF_ACTIVE_ROW,COLUMN(INDIRECT(UNNH0030_B_LIST_START))+COLUMNS(UNNH0030_IF_COPY_B_MEISAI_SHINKI)-1))</f>
        <v/>
      </c>
    </row>
    <row r="51" spans="2:4" x14ac:dyDescent="0.15">
      <c r="B51" s="2" t="s">
        <v>168</v>
      </c>
      <c r="C51" s="13" t="s">
        <v>169</v>
      </c>
      <c r="D51" s="14" t="str">
        <f ca="1">"UNNH0030_B!"&amp;
ADDRESS(ROW(INDIRECT(UNNH0030_B_LIST_START))+UNNH0030_B_GYO_COUNT,COLUMN(UNNH0030_B_GYO))
&amp;":"&amp;ADDRESS(ROW(INDIRECT(UNNH0030_B_LIST_START))+UNNH0030_B_GYO_COUNT+UNNH0030_IF_MULTI_SELECT_TENKAI_KENSU-1,COLUMN(UNNH0030_B_GYO)+COLUMNS(UNNH0030_IF_COPY_B_MEISAI_SHINKI)-1)</f>
        <v>UNNH0030_B!$G$23:$Z$22</v>
      </c>
    </row>
  </sheetData>
  <sheetProtection selectLockedCell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298</vt:i4>
      </vt:variant>
    </vt:vector>
  </HeadingPairs>
  <TitlesOfParts>
    <vt:vector size="301" baseType="lpstr">
      <vt:lpstr>UNNH0030_IF</vt:lpstr>
      <vt:lpstr>UNNH0030_H</vt:lpstr>
      <vt:lpstr>UNNH0030_B</vt:lpstr>
      <vt:lpstr>UNNH0030_H!Print_Area</vt:lpstr>
      <vt:lpstr>UNNH0030_B_ARARIEKI</vt:lpstr>
      <vt:lpstr>UNNH0030_B_ARARIRITSU</vt:lpstr>
      <vt:lpstr>UNNH0030_B_BAIKA_TENKAI</vt:lpstr>
      <vt:lpstr>UNNH0030_B_BARA_TANI</vt:lpstr>
      <vt:lpstr>UNNH0030_B_BARA_TANI_TENKAI</vt:lpstr>
      <vt:lpstr>UNNH0030_B_COPY_GYO_SUSHIKI</vt:lpstr>
      <vt:lpstr>UNNH0030_B_GENKA_KINGAKU</vt:lpstr>
      <vt:lpstr>UNNH0030_B_GENKA_SURYO</vt:lpstr>
      <vt:lpstr>UNNH0030_B_GENKA_TENKAI</vt:lpstr>
      <vt:lpstr>UNNH0030_B_GENTANKA</vt:lpstr>
      <vt:lpstr>UNNH0030_B_GYO</vt:lpstr>
      <vt:lpstr>UNNH0030_B_GYO_COUNT</vt:lpstr>
      <vt:lpstr>UNNH0030_B_GYO_DECREMENT</vt:lpstr>
      <vt:lpstr>UNNH0030_B_GYO_INCREMENT</vt:lpstr>
      <vt:lpstr>UNNH0030_B_HAMBAI_KINGAKU</vt:lpstr>
      <vt:lpstr>UNNH0030_B_HAMBAI_TANKA</vt:lpstr>
      <vt:lpstr>UNNH0030_B_HIDE_COLUMN</vt:lpstr>
      <vt:lpstr>UNNH0030_B_HIDE_ROW</vt:lpstr>
      <vt:lpstr>UNNH0030_B_IRISU</vt:lpstr>
      <vt:lpstr>UNNH0030_B_IRISU_TANI</vt:lpstr>
      <vt:lpstr>UNNH0030_B_IRISU_TANI_TENKAI</vt:lpstr>
      <vt:lpstr>UNNH0030_B_LIST_CLEAR_AREA</vt:lpstr>
      <vt:lpstr>UNNH0030_B_LIST_DELETE_AREA</vt:lpstr>
      <vt:lpstr>UNNH0030_B_LIST_INSERT_AREA</vt:lpstr>
      <vt:lpstr>UNNH0030_B_LIST_INSERT_COPY_AREA</vt:lpstr>
      <vt:lpstr>UNNH0030_B_LIST_INSERT_TYPE</vt:lpstr>
      <vt:lpstr>UNNH0030_B_LIST_START</vt:lpstr>
      <vt:lpstr>UNNH0030_B_MULTI_SELECT_COPY_SAKI</vt:lpstr>
      <vt:lpstr>UNNH0030_B_ROW_KBN</vt:lpstr>
      <vt:lpstr>UNNH0030_B_SCROLL_LOCK</vt:lpstr>
      <vt:lpstr>UNNH0030_B_SHIIRE_IRISU_TENKAI</vt:lpstr>
      <vt:lpstr>UNNH0030_B_SHIIRE_TANI_TENKAI</vt:lpstr>
      <vt:lpstr>UNNH0030_B_SHOHIN_CD</vt:lpstr>
      <vt:lpstr>UNNH0030_B_SHOHIN_CD_TENKAI</vt:lpstr>
      <vt:lpstr>UNNH0030_B_SHOHIN_MEI</vt:lpstr>
      <vt:lpstr>UNNH0030_B_SHOHIN_MEI_TENKAI</vt:lpstr>
      <vt:lpstr>UNNH0030_B_SOSU</vt:lpstr>
      <vt:lpstr>UNNH0030_B_SURYO</vt:lpstr>
      <vt:lpstr>UNNH0030_B_TANI</vt:lpstr>
      <vt:lpstr>UNNH0030_B_TAX</vt:lpstr>
      <vt:lpstr>UNNH0030_B_TEIKA</vt:lpstr>
      <vt:lpstr>UNNH0030_B_TEIKA_TENKAI</vt:lpstr>
      <vt:lpstr>UNNH0030_B_TEKIYO</vt:lpstr>
      <vt:lpstr>UNNH0030_H_ARARIEKI</vt:lpstr>
      <vt:lpstr>UNNH0030_H_BIKO</vt:lpstr>
      <vt:lpstr>UNNH0030_H_BUNSEKI_HOHO</vt:lpstr>
      <vt:lpstr>UNNH0030_H_BUSHO_CD</vt:lpstr>
      <vt:lpstr>UNNH0030_H_BUSHO_MEI</vt:lpstr>
      <vt:lpstr>UNNH0030_H_CHUKI</vt:lpstr>
      <vt:lpstr>UNNH0030_H_CLEAR_AREA</vt:lpstr>
      <vt:lpstr>UNNH0030_H_COPY_SAKI</vt:lpstr>
      <vt:lpstr>UNNH0030_H_DEMPYO_KBN</vt:lpstr>
      <vt:lpstr>UNNH0030_H_DEMPYO_KBN_CD</vt:lpstr>
      <vt:lpstr>UNNH0030_H_DEMPYO_MEI</vt:lpstr>
      <vt:lpstr>UNNH0030_H_DENKU</vt:lpstr>
      <vt:lpstr>UNNH0030_H_DENKU_CD</vt:lpstr>
      <vt:lpstr>UNNH0030_H_DOJI_FLG</vt:lpstr>
      <vt:lpstr>UNNH0030_H_EIGYO_TANTO_CD</vt:lpstr>
      <vt:lpstr>UNNH0030_H_EIGYO_TANTO_MEI</vt:lpstr>
      <vt:lpstr>UNNH0030_H_FLG_COPY_SAKI</vt:lpstr>
      <vt:lpstr>UNNH0030_H_GENKA_TOTAL</vt:lpstr>
      <vt:lpstr>UNNH0030_H_HIDE_COLUMN</vt:lpstr>
      <vt:lpstr>UNNH0030_H_HIDE_ROW</vt:lpstr>
      <vt:lpstr>UNNH0030_H_JUCHU_KBN_CD</vt:lpstr>
      <vt:lpstr>UNNH0030_H_JURI_NO</vt:lpstr>
      <vt:lpstr>UNNH0030_H_JURI_NO_CNT</vt:lpstr>
      <vt:lpstr>UNNH0030_H_JUSHO_NO_PRINT_FLG</vt:lpstr>
      <vt:lpstr>UNNH0030_H_KAISHU_DATE</vt:lpstr>
      <vt:lpstr>UNNH0030_H_KANJO_KAMOKU</vt:lpstr>
      <vt:lpstr>UNNH0030_H_KANJO_KAMOKU_CD</vt:lpstr>
      <vt:lpstr>UNNH0030_H_KEISHO</vt:lpstr>
      <vt:lpstr>UNNH0030_H_KOMI_TOTAL</vt:lpstr>
      <vt:lpstr>UNNH0030_H_MITSU_NO</vt:lpstr>
      <vt:lpstr>UNNH0030_H_NOHIN_DATE</vt:lpstr>
      <vt:lpstr>UNNH0030_H_NUKI_TOTAL</vt:lpstr>
      <vt:lpstr>UNNH0030_H_NYURYOKU_DATETIME</vt:lpstr>
      <vt:lpstr>UNNH0030_H_NYURYOKUSHA_CD</vt:lpstr>
      <vt:lpstr>UNNH0030_H_NYURYOKUSHA_MEI</vt:lpstr>
      <vt:lpstr>UNNH0030_H_PAGE_NEXT</vt:lpstr>
      <vt:lpstr>UNNH0030_H_PAGE_NO</vt:lpstr>
      <vt:lpstr>UNNH0030_H_PAGE_PREV</vt:lpstr>
      <vt:lpstr>UNNH0030_H_PAGE_TOTAL</vt:lpstr>
      <vt:lpstr>UNNH0030_H_RENDO_KBN</vt:lpstr>
      <vt:lpstr>UNNH0030_H_RENDO_KBN_CD</vt:lpstr>
      <vt:lpstr>UNNH0030_H_RIEKI_RATE</vt:lpstr>
      <vt:lpstr>UNNH0030_H_SAKI_URIAGE_NO</vt:lpstr>
      <vt:lpstr>UNNH0030_H_SEIKYUSAKI_CD</vt:lpstr>
      <vt:lpstr>UNNH0030_H_SEIKYUSAKI_HASU</vt:lpstr>
      <vt:lpstr>UNNH0030_H_SEIKYUSAKI_MEI</vt:lpstr>
      <vt:lpstr>UNNH0030_H_SEIKYUSAKI_MEI_HYOJI</vt:lpstr>
      <vt:lpstr>UNNH0030_H_SHOKON_LIST_DATE_TIME</vt:lpstr>
      <vt:lpstr>UNNH0030_H_SHOKON_NO</vt:lpstr>
      <vt:lpstr>UNNH0030_H_SOFU_FAX</vt:lpstr>
      <vt:lpstr>UNNH0030_H_SOFU_JUSHO_1</vt:lpstr>
      <vt:lpstr>UNNH0030_H_SOFU_JUSHO_2</vt:lpstr>
      <vt:lpstr>UNNH0030_H_SOFU_TANTOSHA_MEI</vt:lpstr>
      <vt:lpstr>UNNH0030_H_SOFU_TEL</vt:lpstr>
      <vt:lpstr>UNNH0030_H_SOFU_YUBIN</vt:lpstr>
      <vt:lpstr>UNNH0030_H_STS</vt:lpstr>
      <vt:lpstr>UNNH0030_H_STS_CD</vt:lpstr>
      <vt:lpstr>UNNH0030_H_TAX</vt:lpstr>
      <vt:lpstr>UNNH0030_H_TAX_KBN</vt:lpstr>
      <vt:lpstr>UNNH0030_H_TAX_RATE</vt:lpstr>
      <vt:lpstr>UNNH0030_H_TEKIYO</vt:lpstr>
      <vt:lpstr>UNNH0030_H_URIAGE_DATE</vt:lpstr>
      <vt:lpstr>UNNH0030_H_URIAGE_NO</vt:lpstr>
      <vt:lpstr>UNNH0030_IF_ACTIVE_CELL_NAME</vt:lpstr>
      <vt:lpstr>UNNH0030_IF_ACTIVE_COLUMN</vt:lpstr>
      <vt:lpstr>UNNH0030_IF_ACTIVE_ROW</vt:lpstr>
      <vt:lpstr>UNNH0030_IF_ACTIVE_SHEET</vt:lpstr>
      <vt:lpstr>UNNH0030_IF_BUTTON_03_HYOJI</vt:lpstr>
      <vt:lpstr>UNNH0030_IF_BUTTON_04_HYOJI</vt:lpstr>
      <vt:lpstr>UNNH0030_IF_BUTTON_05_HYOJI</vt:lpstr>
      <vt:lpstr>UNNH0030_IF_BUTTON_06_HYOJI</vt:lpstr>
      <vt:lpstr>UNNH0030_IF_BUTTON_06_NAME</vt:lpstr>
      <vt:lpstr>UNNH0030_IF_BUTTON_07_HYOJI</vt:lpstr>
      <vt:lpstr>UNNH0030_IF_BUTTON_08_HYOJI</vt:lpstr>
      <vt:lpstr>UNNH0030_IF_BUTTON_09_HYOJI</vt:lpstr>
      <vt:lpstr>UNNH0030_IF_BUTTON_10_HYOJI</vt:lpstr>
      <vt:lpstr>UNNH0030_IF_BUTTON_10_NAME</vt:lpstr>
      <vt:lpstr>UNNH0030_IF_BUTTON_11_HYOJI</vt:lpstr>
      <vt:lpstr>UNNH0030_IF_BUTTON_12_HYOJI</vt:lpstr>
      <vt:lpstr>UNNH0030_IF_BUTTON_13_HYOJI</vt:lpstr>
      <vt:lpstr>UNNH0030_IF_BUTTON_14_ERROR</vt:lpstr>
      <vt:lpstr>UNNH0030_IF_BUTTON_14_HYOJI</vt:lpstr>
      <vt:lpstr>UNNH0030_IF_BUTTON_15_HYOJI</vt:lpstr>
      <vt:lpstr>UNNH0030_IF_BUTTON_16_HYOJI</vt:lpstr>
      <vt:lpstr>UNNH0030_IF_BUTTON_17_HYOJI</vt:lpstr>
      <vt:lpstr>UNNH0030_IF_BUTTON_17_NAME</vt:lpstr>
      <vt:lpstr>UNNH0030_IF_BUTTON_18_HYOJI</vt:lpstr>
      <vt:lpstr>UNNH0030_IF_BUTTON_19_HYOJI</vt:lpstr>
      <vt:lpstr>UNNH0030_IF_BUTTON_20_HYOJI</vt:lpstr>
      <vt:lpstr>UNNH0030_IF_COPY_B_COMMENT_SANSHO</vt:lpstr>
      <vt:lpstr>UNNH0030_IF_COPY_B_COMMENT_SHINKI</vt:lpstr>
      <vt:lpstr>UNNH0030_IF_COPY_B_COMMENT_SHUSEI</vt:lpstr>
      <vt:lpstr>UNNH0030_IF_COPY_B_GYO_SUSHIKI</vt:lpstr>
      <vt:lpstr>UNNH0030_IF_COPY_B_LIST_CLEAR</vt:lpstr>
      <vt:lpstr>UNNH0030_IF_COPY_B_MEISAI_ARARI_SUSHIKI</vt:lpstr>
      <vt:lpstr>UNNH0030_IF_COPY_B_MEISAI_KINGAKU_SUSHIKI</vt:lpstr>
      <vt:lpstr>UNNH0030_IF_COPY_B_MEISAI_SANSHO</vt:lpstr>
      <vt:lpstr>UNNH0030_IF_COPY_B_MEISAI_SHINKI</vt:lpstr>
      <vt:lpstr>UNNH0030_IF_COPY_B_MEISAI_SHUSEI</vt:lpstr>
      <vt:lpstr>UNNH0030_IF_COPY_B_MEISAI_TAX_SUSHIKI</vt:lpstr>
      <vt:lpstr>UNNH0030_IF_COPY_B_MEISAI_TOTAL_SUSHIKI</vt:lpstr>
      <vt:lpstr>UNNH0030_IF_COPY_B_NEBIKI_DIR_SANSHO</vt:lpstr>
      <vt:lpstr>UNNH0030_IF_COPY_B_NEBIKI_DIR_SHINKI</vt:lpstr>
      <vt:lpstr>UNNH0030_IF_COPY_B_NEBIKI_DIR_SHUSEI</vt:lpstr>
      <vt:lpstr>UNNH0030_IF_COPY_H_DEMPYO_KBN</vt:lpstr>
      <vt:lpstr>UNNH0030_IF_COPY_H_DEMPYO_KBN_CHECK</vt:lpstr>
      <vt:lpstr>UNNH0030_IF_COPY_H_INIT_DEMPYO_KBN</vt:lpstr>
      <vt:lpstr>UNNH0030_IF_COPY_H_INIT_RENDO_KBN</vt:lpstr>
      <vt:lpstr>UNNH0030_IF_COPY_H_JURI_NO_LOCK</vt:lpstr>
      <vt:lpstr>UNNH0030_IF_COPY_H_JURI_NO_LOCK_CHECK</vt:lpstr>
      <vt:lpstr>UNNH0030_IF_COPY_H_JURI_NO_UNLOCK</vt:lpstr>
      <vt:lpstr>UNNH0030_IF_COPY_H_RENDO_KBN</vt:lpstr>
      <vt:lpstr>UNNH0030_IF_COPY_H_RENDO_KBN_CHECK</vt:lpstr>
      <vt:lpstr>UNNH0030_IF_COPY_H_SANSHO</vt:lpstr>
      <vt:lpstr>UNNH0030_IF_COPY_H_SHINKI</vt:lpstr>
      <vt:lpstr>UNNH0030_IF_COPY_H_SHUSEI</vt:lpstr>
      <vt:lpstr>UNNH0030_IF_COPY_H_URIAGE_DATE</vt:lpstr>
      <vt:lpstr>UNNH0030_IF_DATA_SEARCH_FLG</vt:lpstr>
      <vt:lpstr>UNNH0030_IF_EXCEL_FILE_NAME</vt:lpstr>
      <vt:lpstr>UNNH0030_IF_FLG_COPY_MOTO</vt:lpstr>
      <vt:lpstr>UNNH0030_IF_GET_KAISHU_DATE_CHECK</vt:lpstr>
      <vt:lpstr>UNNH0030_IF_INPUT_CHECK</vt:lpstr>
      <vt:lpstr>UNNH0030_IF_INPUT_ERROR_MESSAGE</vt:lpstr>
      <vt:lpstr>UNNH0030_IF_JUCHU_MODE</vt:lpstr>
      <vt:lpstr>UNNH0030_IF_LIST_DEMPYO_KBN_KENSU</vt:lpstr>
      <vt:lpstr>UNNH0030_IF_LIST_DEMPYO_KBN_START</vt:lpstr>
      <vt:lpstr>UNNH0030_IF_LIST_DENKU_KENSU</vt:lpstr>
      <vt:lpstr>UNNH0030_IF_LIST_DENKU_START</vt:lpstr>
      <vt:lpstr>UNNH0030_IF_LIST_KANJO_KAMOKU_KENSU</vt:lpstr>
      <vt:lpstr>UNNH0030_IF_LIST_KANJO_KAMOKU_START</vt:lpstr>
      <vt:lpstr>UNNH0030_IF_LIST_KEISHO_KBN_KENSU</vt:lpstr>
      <vt:lpstr>UNNH0030_IF_LIST_KEISHO_KBN_START</vt:lpstr>
      <vt:lpstr>UNNH0030_IF_LIST_RENDO_KBN_KENSU</vt:lpstr>
      <vt:lpstr>UNNH0030_IF_LIST_RENDO_KBN_START</vt:lpstr>
      <vt:lpstr>UNNH0030_IF_MERGE_RELEASE_COMP_MSG</vt:lpstr>
      <vt:lpstr>UNNH0030_IF_MERGE_RELEASE_CONFIRM_MSG</vt:lpstr>
      <vt:lpstr>UNNH0030_IF_MERGE_RELEASE_WARNING_CHECK</vt:lpstr>
      <vt:lpstr>UNNH0030_IF_MERGE_RELEASE_WARNING_MSG</vt:lpstr>
      <vt:lpstr>UNNH0030_IF_MODE</vt:lpstr>
      <vt:lpstr>UNNH0030_IF_MOTO_URIAGE_NO</vt:lpstr>
      <vt:lpstr>UNNH0030_IF_MULTI_SELECT_CHECK</vt:lpstr>
      <vt:lpstr>UNNH0030_IF_MULTI_SELECT_COPY_MOTO</vt:lpstr>
      <vt:lpstr>UNNH0030_IF_MULTI_SELECT_FLG</vt:lpstr>
      <vt:lpstr>UNNH0030_IF_MULTI_SELECT_GENKA_SUSHIKI_COPY_SAKI</vt:lpstr>
      <vt:lpstr>UNNH0030_IF_MULTI_SELECT_GYO_INCREMENT</vt:lpstr>
      <vt:lpstr>UNNH0030_IF_MULTI_SELECT_GYO_SUSHIKI_COPY_SAKI</vt:lpstr>
      <vt:lpstr>UNNH0030_IF_MULTI_SELECT_KENSU</vt:lpstr>
      <vt:lpstr>UNNH0030_IF_MULTI_SELECT_KINGAKU_SUSHIKI_COPY_SAKI</vt:lpstr>
      <vt:lpstr>UNNH0030_IF_MULTI_SELECT_LIST_ARARI_AREA</vt:lpstr>
      <vt:lpstr>UNNH0030_IF_MULTI_SELECT_LIST_GYO</vt:lpstr>
      <vt:lpstr>UNNH0030_IF_MULTI_SELECT_LIST_KINGAKU</vt:lpstr>
      <vt:lpstr>UNNH0030_IF_MULTI_SELECT_LIST_SOSU</vt:lpstr>
      <vt:lpstr>UNNH0030_IF_MULTI_SELECT_LIST_TAX</vt:lpstr>
      <vt:lpstr>UNNH0030_IF_MULTI_SELECT_SHOSHIKI_COPY_SAKI</vt:lpstr>
      <vt:lpstr>UNNH0030_IF_MULTI_SELECT_SOSU_SUSHIKI_COPY_SAKI</vt:lpstr>
      <vt:lpstr>UNNH0030_IF_MULTI_SELECT_TAX_SUSHIKI_COPY_SAKI</vt:lpstr>
      <vt:lpstr>UNNH0030_IF_MULTI_SELECT_TENKAI_KENSU</vt:lpstr>
      <vt:lpstr>UNNH0030_IF_MULTI_SELECT_TENKAI_START</vt:lpstr>
      <vt:lpstr>UNNH0030_IF_PAGE_SAVE_CHECK</vt:lpstr>
      <vt:lpstr>UNNH0030_IF_PREVIOUS_ID</vt:lpstr>
      <vt:lpstr>UNNH0030_IF_REF_NO</vt:lpstr>
      <vt:lpstr>UNNH0030_IF_RIREKI_NO</vt:lpstr>
      <vt:lpstr>UNNH0030_IF_SAVE_ADDRESS_1</vt:lpstr>
      <vt:lpstr>UNNH0030_IF_SAVE_ADDRESS_2</vt:lpstr>
      <vt:lpstr>UNNH0030_IF_SAVE_ARARIEKI_B</vt:lpstr>
      <vt:lpstr>UNNH0030_IF_SAVE_ARARIEKI_H</vt:lpstr>
      <vt:lpstr>UNNH0030_IF_SAVE_ARARIRITSU_B</vt:lpstr>
      <vt:lpstr>UNNH0030_IF_SAVE_ARARIRITSU_H</vt:lpstr>
      <vt:lpstr>UNNH0030_IF_SAVE_BARA_TANI</vt:lpstr>
      <vt:lpstr>UNNH0030_IF_SAVE_BAT_LOOP_CNT</vt:lpstr>
      <vt:lpstr>UNNH0030_IF_SAVE_BAT_URIAGE_NO</vt:lpstr>
      <vt:lpstr>UNNH0030_IF_SAVE_BUNSEKI_HOHO</vt:lpstr>
      <vt:lpstr>UNNH0030_IF_SAVE_BUSHO_CD</vt:lpstr>
      <vt:lpstr>UNNH0030_IF_SAVE_CHECK_ERROR_KOMOKU</vt:lpstr>
      <vt:lpstr>UNNH0030_IF_SAVE_CHECK_RESULT</vt:lpstr>
      <vt:lpstr>UNNH0030_IF_SAVE_CHECK_START</vt:lpstr>
      <vt:lpstr>UNNH0030_IF_SAVE_COPY_MOTO</vt:lpstr>
      <vt:lpstr>UNNH0030_IF_SAVE_COPY_SAKI</vt:lpstr>
      <vt:lpstr>UNNH0030_IF_SAVE_COPY_START</vt:lpstr>
      <vt:lpstr>UNNH0030_IF_SAVE_DBS_CREATE_DATE</vt:lpstr>
      <vt:lpstr>UNNH0030_IF_SAVE_DBS_CREATE_USER</vt:lpstr>
      <vt:lpstr>UNNH0030_IF_SAVE_DBS_STATUS</vt:lpstr>
      <vt:lpstr>UNNH0030_IF_SAVE_DBS_UPDATE_DATE</vt:lpstr>
      <vt:lpstr>UNNH0030_IF_SAVE_DBS_UPDATE_USER</vt:lpstr>
      <vt:lpstr>UNNH0030_IF_SAVE_DEL_FLG</vt:lpstr>
      <vt:lpstr>UNNH0030_IF_SAVE_DEMPYO_KBN</vt:lpstr>
      <vt:lpstr>UNNH0030_IF_SAVE_DEMPYO_SOFU_MEI</vt:lpstr>
      <vt:lpstr>UNNH0030_IF_SAVE_DOJI_FLG</vt:lpstr>
      <vt:lpstr>UNNH0030_IF_SAVE_EIGYO_TANTO_CD</vt:lpstr>
      <vt:lpstr>UNNH0030_IF_SAVE_ERROR_CHECK</vt:lpstr>
      <vt:lpstr>UNNH0030_IF_SAVE_ERROR_MESSAGE</vt:lpstr>
      <vt:lpstr>UNNH0030_IF_SAVE_FAX</vt:lpstr>
      <vt:lpstr>UNNH0030_IF_SAVE_GENKA_KINGAKU</vt:lpstr>
      <vt:lpstr>UNNH0030_IF_SAVE_GENKA_SURYO</vt:lpstr>
      <vt:lpstr>UNNH0030_IF_SAVE_GENKA_TOTAL</vt:lpstr>
      <vt:lpstr>UNNH0030_IF_SAVE_GENTANKA</vt:lpstr>
      <vt:lpstr>UNNH0030_IF_SAVE_GYO_NO</vt:lpstr>
      <vt:lpstr>UNNH0030_IF_SAVE_HAMBAI_KINGAKU</vt:lpstr>
      <vt:lpstr>UNNH0030_IF_SAVE_HAMBAI_TANKA</vt:lpstr>
      <vt:lpstr>UNNH0030_IF_SAVE_IRISU_TANI</vt:lpstr>
      <vt:lpstr>UNNH0030_IF_SAVE_JOGAI_GYO</vt:lpstr>
      <vt:lpstr>UNNH0030_IF_SAVE_JUCHU_KBN</vt:lpstr>
      <vt:lpstr>UNNH0030_IF_SAVE_JURI_NO</vt:lpstr>
      <vt:lpstr>UNNH0030_IF_SAVE_JUSHO_NO_PRINT_FLG</vt:lpstr>
      <vt:lpstr>UNNH0030_IF_SAVE_KAISHU_DATE</vt:lpstr>
      <vt:lpstr>UNNH0030_IF_SAVE_KEISHO</vt:lpstr>
      <vt:lpstr>UNNH0030_IF_SAVE_KENSU</vt:lpstr>
      <vt:lpstr>UNNH0030_IF_SAVE_KOMI_TOTAL</vt:lpstr>
      <vt:lpstr>UNNH0030_IF_SAVE_MITSU_NO</vt:lpstr>
      <vt:lpstr>UNNH0030_IF_SAVE_NOHIN_DATE</vt:lpstr>
      <vt:lpstr>UNNH0030_IF_SAVE_NUKI_TOTAL</vt:lpstr>
      <vt:lpstr>UNNH0030_IF_SAVE_NYURYOKU_DATE_TIME</vt:lpstr>
      <vt:lpstr>UNNH0030_IF_SAVE_PRINT_CHECK</vt:lpstr>
      <vt:lpstr>UNNH0030_IF_SAVE_RENDO_CHECK</vt:lpstr>
      <vt:lpstr>UNNH0030_IF_SAVE_RENDO_KBN</vt:lpstr>
      <vt:lpstr>UNNH0030_IF_SAVE_RESULT_CD</vt:lpstr>
      <vt:lpstr>UNNH0030_IF_SAVE_RESULT_KENSU</vt:lpstr>
      <vt:lpstr>UNNH0030_IF_SAVE_RESULT_MESSAGE</vt:lpstr>
      <vt:lpstr>UNNH0030_IF_SAVE_RESULT_URIAGE_NO</vt:lpstr>
      <vt:lpstr>UNNH0030_IF_SAVE_ROW_KBN</vt:lpstr>
      <vt:lpstr>UNNH0030_IF_SAVE_SAKI_URIAGE_NO</vt:lpstr>
      <vt:lpstr>UNNH0030_IF_SAVE_SEIKYU_CD</vt:lpstr>
      <vt:lpstr>UNNH0030_IF_SAVE_SHOHIN_CD</vt:lpstr>
      <vt:lpstr>UNNH0030_IF_SAVE_SHOHIN_MEI</vt:lpstr>
      <vt:lpstr>UNNH0030_IF_SAVE_SHOKON_LIST_DATE_TIME</vt:lpstr>
      <vt:lpstr>UNNH0030_IF_SAVE_SHOKON_NO</vt:lpstr>
      <vt:lpstr>UNNH0030_IF_SAVE_SOFU_TANTO</vt:lpstr>
      <vt:lpstr>UNNH0030_IF_SAVE_SOSU</vt:lpstr>
      <vt:lpstr>UNNH0030_IF_SAVE_START</vt:lpstr>
      <vt:lpstr>UNNH0030_IF_SAVE_TAX</vt:lpstr>
      <vt:lpstr>UNNH0030_IF_SAVE_TAX_RATE</vt:lpstr>
      <vt:lpstr>UNNH0030_IF_SAVE_TEIKA</vt:lpstr>
      <vt:lpstr>UNNH0030_IF_SAVE_TEISEI_BIKO</vt:lpstr>
      <vt:lpstr>UNNH0030_IF_SAVE_TEKIYO_B</vt:lpstr>
      <vt:lpstr>UNNH0030_IF_SAVE_TEKIYO_H</vt:lpstr>
      <vt:lpstr>UNNH0030_IF_SAVE_TEL</vt:lpstr>
      <vt:lpstr>UNNH0030_IF_SAVE_URIAGE_DATE</vt:lpstr>
      <vt:lpstr>UNNH0030_IF_SAVE_URIAGE_NO</vt:lpstr>
      <vt:lpstr>UNNH0030_IF_SAVE_URIAGE_NYURYOKUSHA_CD</vt:lpstr>
      <vt:lpstr>UNNH0030_IF_SAVE_URIAGE_STS</vt:lpstr>
      <vt:lpstr>UNNH0030_IF_SAVE_URIAGE_SURYO</vt:lpstr>
      <vt:lpstr>UNNH0030_IF_SAVE_URIAGE_SURYO_TANI</vt:lpstr>
      <vt:lpstr>UNNH0030_IF_SAVE_W_MODE</vt:lpstr>
      <vt:lpstr>UNNH0030_IF_SAVE_W_PAGE</vt:lpstr>
      <vt:lpstr>UNNH0030_IF_SAVE_W_ROW</vt:lpstr>
      <vt:lpstr>UNNH0030_IF_SAVE_W_SERIAL</vt:lpstr>
      <vt:lpstr>UNNH0030_IF_SAVE_YUBIN_NO</vt:lpstr>
      <vt:lpstr>UNNH0030_IF_W_MODE</vt:lpstr>
      <vt:lpstr>UNNH0030_IF_W_SERIAL</vt:lpstr>
      <vt:lpstr>UNNH0030_IF_W_SERIAL_CREATE</vt:lpstr>
      <vt:lpstr>UNNH0030_IF_W_USER_ID</vt:lpstr>
      <vt:lpstr>UNNH0030_SAVE_BAT_FLG</vt:lpstr>
      <vt:lpstr>UNNH0030_SAVE_TEMP_FLG</vt:lpstr>
      <vt:lpstr>UNNH0030_IF!必須チェック設定</vt:lpstr>
    </vt:vector>
  </TitlesOfParts>
  <Company>MouseComputer PC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k.yamamoto</dc:creator>
  <cp:lastModifiedBy>中川 雄太</cp:lastModifiedBy>
  <cp:lastPrinted>2017-02-23T04:27:28Z</cp:lastPrinted>
  <dcterms:created xsi:type="dcterms:W3CDTF">2012-09-11T00:34:42Z</dcterms:created>
  <dcterms:modified xsi:type="dcterms:W3CDTF">2017-03-10T02:18:45Z</dcterms:modified>
</cp:coreProperties>
</file>